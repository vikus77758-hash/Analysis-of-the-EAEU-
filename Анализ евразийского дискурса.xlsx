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Рег. уровень_безопис" sheetId="1" r:id="rId4"/>
    <sheet state="visible" name="1.2) Рег. ур_динам_по странам" sheetId="2" r:id="rId5"/>
    <sheet state="visible" name="2) Глобальный уровень" sheetId="3" r:id="rId6"/>
    <sheet state="visible" name="2.1) Подсчет по глоб. ур." sheetId="4" r:id="rId7"/>
    <sheet state="visible" name="3) Нац.уровень" sheetId="5" r:id="rId8"/>
  </sheets>
  <definedNames>
    <definedName hidden="1" localSheetId="0" name="_xlnm._FilterDatabase">'1.1) Рег. уровень_безопис'!$A$1:$G$151</definedName>
  </definedNames>
  <calcPr/>
  <extLst>
    <ext uri="GoogleSheetsCustomDataVersion2">
      <go:sheetsCustomData xmlns:go="http://customooxmlschemas.google.com/" r:id="rId9" roundtripDataChecksum="HYaYZcTmbsNPAJA5XN+jRj0p5Fb1q9bb4YbGEpz/n+w="/>
    </ext>
  </extLst>
</workbook>
</file>

<file path=xl/sharedStrings.xml><?xml version="1.0" encoding="utf-8"?>
<sst xmlns="http://schemas.openxmlformats.org/spreadsheetml/2006/main" count="1722" uniqueCount="562">
  <si>
    <t>Страна</t>
  </si>
  <si>
    <t>Год</t>
  </si>
  <si>
    <t>Дата</t>
  </si>
  <si>
    <t xml:space="preserve">Состав </t>
  </si>
  <si>
    <t>Лидер</t>
  </si>
  <si>
    <t>Тип события</t>
  </si>
  <si>
    <t>Место проведения</t>
  </si>
  <si>
    <t>Текст</t>
  </si>
  <si>
    <t>Ссылка</t>
  </si>
  <si>
    <t xml:space="preserve">Кол-во упоминаний </t>
  </si>
  <si>
    <t>Кол-во_ сюжет_транспортно_логистический</t>
  </si>
  <si>
    <t>Кол-во_ сюжет_экономический</t>
  </si>
  <si>
    <t>Кол-во_сюжет_геополитический</t>
  </si>
  <si>
    <t>Кол-во_Сюжет_цивилизационный</t>
  </si>
  <si>
    <t>Кол-во_сюжет_институциональный</t>
  </si>
  <si>
    <t>Кол-во_сюжет_социально_гуманитарный</t>
  </si>
  <si>
    <t xml:space="preserve">евразий- </t>
  </si>
  <si>
    <t xml:space="preserve"> "автомобильный транспорт", "железнодорожный транспорт",
        "авиасообщение", "морской транспорт", "мультимодальный транспорт",
        "транспортная инфраструктура", "железная дорога", "пункт пропуска",
        "логистика", "грузоперевозки", "транзит", "транзитный потенциал",
        "грузооборот", "контейнерные перевозки",
        "связанность", "транспортная связанность", "единое транспортное пространство",
        "транспортный коридор", "шёлковый путь", "шелковый путь",
        "север-юг", "транспортный маршрут",
        "транспортные тарифы", "либерализация перевозок",
        "цифровая логистика", "умная граница", "навигационные пломбы",
        "логистический хаб", "сухой порт", "контейнерный терминал"</t>
  </si>
  <si>
    <t>"рынок", "общий рынок", "единый рынок", "ёмкий рынок",
        "торговля", "товарооборот", "экспорт", "импорт", "поставки",
        "инвестиции", "инвесторы", "капитал", "капиталовложения",
        "ввп", "экономический рост", "рост экономики", "развитие экономики", "конкурентоспособность",
        "барьеры", "ограничения", "пошлины", "тарифы", "нетарифные барьеры",
        "производительность", "добавленная стоимость", "промышленность", "отрасли",
        "бизнес", "предприниматели", "компании", "предприятия",
        "интеграция рынков", "экономическая интеграция", "экономический союз"</t>
  </si>
  <si>
    <t xml:space="preserve"> "центр силы", "полюс", "полюс роста", "центр мирового", "центр регионального",
        "многополярный мир", "многополярность",
        "суверенитет", "независимость", "стратегическая автономия",
        "геополитика", "геополитический", "геополитические интересы", "стратегические интересы",
        "мировой порядок", "международная система", "архитектура безопасности",
        "влияние", "лидерство", "позиционирование", "роль в мире", "баланс", "противостояние"</t>
  </si>
  <si>
    <t xml:space="preserve"> "цивилизация", "цивилизационный", "евразийская цивилизация",
        "общая история", "историческое единство", "исторические корни", "наследие",
        "культура", "культурные традиции", "духовные ценности", "духовность",
        "идентичность", "общая идентичность", "общность",
        "традиционные ценности", "общие ценности", "менталитет",
        "особый путь", "свой путь развития", "путь наших народов",
        "братские народы", "многовековые связи", "историческое братство"</t>
  </si>
  <si>
    <t>"договор", "соглашение", "ратификация", "ратифицирован", "протокол", "решение", "документ", "орган", "комиссия", "совет", "комитет", "рабочая группа", "институт", "институты союза", "регламент", "процедура", "механизм", "инструменты", "нормативная база", "дорожная карта", "дорожные карты", "программа", "план мероприятий", "компетенции", "полномочия", "юрисдикция", "порядок председательства", "распределение голосов", "структура органов", "правовая база", "договорно-правовая база", "договорно‑правовая база", "юрисдикция суда"</t>
  </si>
  <si>
    <t xml:space="preserve"> "граждане", "наши граждане", "люди", "население",
        "трудовая миграция", "мигранты", "условия труда", "социальные гарантии",
        "образование", "университеты", "студенты", "академические обмены",
        "наука", "научное сотрудничество", "исследования",
        "культура", "культурные обмены", "язык", "гуманитарные проекты",
        "здравоохранение", "медицина", "фармацевтика", "социальная защита",
        "пенсии", "социальные выплаты", "уровень жизни", "качество жизни",
        "молодежь", "молодёжные программы", "молодежные программы", "студенческие программы"</t>
  </si>
  <si>
    <t>Россия</t>
  </si>
  <si>
    <t>23 декабря</t>
  </si>
  <si>
    <t>Путин</t>
  </si>
  <si>
    <t>заседание ВЕЭС</t>
  </si>
  <si>
    <t>Москва</t>
  </si>
  <si>
    <t>В.Путин: Уважаемые коллеги, добрый день!
Мы проводим заключительное в этом году заседание Высшего Евразийского экономического совета.
В углублении интеграции достигнуты хорошие, масштабные результаты. В сжатые сроки завершена подготовка Договора о создании Евразийского экономического союза. Мы подписали его в мае на саммите в Астане, а уже к нашей встрече в октябре в Минске Договор был ратифицирован парламентами России, Белоруссии и Казахстана и вступит в действие с 1 января 2015 года.
Таким образом, Евразийский экономический союз заработает в полную силу. Как мы уже неоднократно говорили, будет создан общий ёмкий рынок с более чем 170 миллионами потребителей, обеспечена свобода передвижения товаров, услуг, капитала и рабочей силы. Бизнес получит возможность вести дела по универсальным прозрачным правилам международной торговли, основанным в том числе на принципах Всемирной торговой организации.
Взаимная выгода от участия в интеграционных процессах очевидна. Успешная деятельность Таможенного союза, который мы создали в 2011 году, наглядно это подтвердила. Экономические связи внутри «тройки» укрепились и количественно, и качественно. Товарооборот вырос на 50 процентов. Что касается качества, то улучшилась структура взаимной торговли – за счёт повышения доли товаров с высокой добавленной стоимостью.
Начало функционирования Евразийского союза означает переход на более продвинутый этап интеграции. Убеждён, это придаст дополнительный импульс развитию экономик наших государств. Союз станет мощным центром роста всего региона, увеличатся торговые и инвестиционные потоки, будут укрепляться деловые связи и повысится благосостояние наших граждан.
Реализуемый нами интеграционный проект уникален не только по масштабу и содержанию, но и по духу. Он основан на принципах равноправия, доверия, взаимного уважения и учёта интересов друг друга. При этом его участники не отказываются от государственного суверенитета и сохраняют свою национальную самобытность.
Мы стремимся находить взаимоприемлемые развязки и компромиссы по самым различным вопросам, руководствуемся принципом консенсуса при принятии основополагающих решений. Наши страны в равной степени представлены в руководящих органах и Суде Союза.
Всё это делает евразийскую интеграцию привлекательной для соседей и партнёров по СНГ. Два месяца назад в Минске мы заключили Договор о присоединении к Союзу Армении. Процедуры его ратификации завершены, так что со 2 января будущего года Армения станет полноценным членом нашего объединения.
С 1 января 2015 года Евразийский экономический союз заработает в полную силу. Будет создан общий ёмкий рынок, обеспечена свобода передвижения товаров, услуг, капитала и рабочей силы. Бизнес получит возможность вести дела по универсальным правилам международной торговли.
Сегодня подпишем Договор о вступлении в Евразийский союз Киргизии. Киргизские друзья совместно с правительствами «тройки», Евразийской комиссией прилагают серьёзные усилия для адаптации национального законодательства к требованиям Таможенного союза и Единого экономического пространства. Реализована большая часть соответствующих дорожных карт. Важно не снижать темпов и сообща завершить эту работу.
Интерес к наращиванию сотрудничества с Евразийским союзом проявляют и страны из других регионов. В финальную стадию вступила подготовка проекта соглашения о свободной торговле с Вьетнамом.
Аналогичные договорённости прорабатываются с Турцией, Индией, Израилем. Совсем недавно, я коллегам сейчас об этом рассказывал, в ходе поездки в Узбекистан договорились с Президентом Узбекистана о том, что начнём работу, создадим рабочую группу по работе над договором о зоне свободной торговли между нашим объединением и Узбекистаном.
Готовятся меморандумы о взаимопонимании с АСЕАН и МЕРКОСУР. Уверен, интересам нашего объединения одинаково отвечает расширение связей со всеми странами и организациями как на Востоке, так и на Западе – на основе равноправия и взаимной выгоды.
Суммируя, хочу подчеркнуть, что наше интеграционное взаимодействие успешно развивается, налицо его конкретные осязаемые результаты. Однако останавливаться на достигнутом, конечно, нельзя, впереди новые большие задачи. Предстоит на практике наладить стабильное и эффективное функционирование Евразийского союза, продолжить работу по укреплению его институциональных основ. Ряд важных решений в этом направлении мы примем уже сегодня. В их числе договорённость о порядке председательства в нашем объединении.
Среди других приоритетов вижу необходимость повышения конкурентоспособности и инвестиционной привлекательности Евразийского союза, запуск перспективных совместных проектов и создание высокотехнологичных рабочих мест в нефтегазовом комплексе, металлургии, химической промышленности, авиа- и машиностроении, космической отрасли.
Нужно снимать остающиеся барьеры, ограничивающие свободу передвижения товаров, услуг, капиталов, рабочей силы. Предстоит реализовать планы по формированию с 2016 года общего рынка фармацевтической и медицинской продукции. Шагом к этому станет сегодняшнее наше решение об обороте лекарственных средств и медицинских изделий.
Мы также утвердим перечень секторов услуг, в которых единый рынок начнёт функционировать уже с 1 января 2015 года. От этого выиграют строители, предприятия оптовой и розничной торговли, туристического бизнеса. Важно также не затягивать с взаимным признанием лицензий на ведение этих видов деятельности наших стран, чтобы наши компании уже с первых дней работы Союза могли в полной мере воспользоваться преимуществами интеграции.
Рассчитываю, что наше заседание по традиции пройдёт в деловой и конструктивной атмосфере.
Благодарю вас за внимание.</t>
  </si>
  <si>
    <t>http://www.kremlin.ru/events/president/transcripts/47311</t>
  </si>
  <si>
    <t>10 октября</t>
  </si>
  <si>
    <t>Минск</t>
  </si>
  <si>
    <t>В.ПУТИН: Уважаемые коллеги!
Россия, Белоруссия и Казахстан уверенно идут по пути углубления евразийской интеграции. Парламенты наших стран к встрече в Минске синхронно ратифицировали Договор о Евразийском экономическом союзе. Как и договаривались, Евразийский экономический союз заработает с 1 января 2015 года.
Мы переходим на новую, более высокую ступень интеграции, что позволит эффективнее решать задачи модернизации экономик наших стран и повышения их конкурентоспособности. Будет проводиться согласованная политика в ключевых отраслях промышленности, энергетики и сельского хозяйства, будут устранены барьеры, ограничивающие свободу передвижения товаров, услуг, капитала, рабочей силы. Создаваемый общий евразийский рынок начнёт функционировать по универсальным, прозрачным и понятным правилам, основанным на нормах и принципах Всемирной торговой организации.
Отмечу, наш интеграционный проект уже приносит практическую отдачу. В рамках Таможенного союза с 1 июля 2011 года товарооборот вырос на 50 процентов, превысив отметку в 64 миллиарда долларов. Улучшилась структура взаимной торговли: продукция с высокой степенью переработки стала постепенно замещать сырьевые товары, [её доля] увеличилась существенным образом, а сырьевых товаров – снизилась с 40 до 28,9 процента.
Весьма важно, что курс на тесную интеграцию пользуется широкой общественной поддержкой в наших странах. По данным социологических опросов, которые проведены Евразийским банком развития, деятельность Таможенного союза положительно оценивается 79 процентами граждан Российской Федерации, 68 процентами граждан Белоруссии и 84 процентами граждан Казахстана. Столь высокий уровень доверия необходимо оправдать достижением ощутимых результатов, а именно дальнейшим повышением качества жизни и благополучия населения наших стран.
Уважаемые коллеги, в ходе нынешнего заседания мы подпишем Договор о присоединении Армении к Евразийскому экономическому союзу. Рассчитываем, что законодатели наших государств также слаженно одобрят его до конца года.
На наш взгляд, Армения готова к работе в Евразийском экономическом союзе на равных с Россией, Белоруссией и Казахстаном. За относительно короткий срок, с осени 2013 года, наши армянские друзья подтянули экономическое регулирование под общие стандарты, привели национальное законодательство в соответствие с нормами нашего интеграционного объединения.
Надеемся, что уже в первые год-два после присоединения Армении мы увидим положительный макроэкономический эффект. Товарооборот «тройки» с Арменией и так рос высокими темпами, прибавляя до 10 процентов ежегодно. После снятия таможенных и административных барьеров такая позитивная тенденция, надеюсь, ещё больше укрепится. Должны улучшиться и другие ключевые индикаторы: валовой продукт, потребительский спрос, реальные доходы населения и занятость.
Сегодня предстоит также утвердить дорожную карту интеграции Киргизии в Единое экономическое пространство. Она позволит дополнить принятый ранее, на майском саммите в Астане, план по адаптации киргизской экономики к стандартам Таможенного союза.
Мы понимаем, что киргизским коллегам необходимо содействие как в совершенствовании внутреннего законодательства, так и в проведении структурных преобразований. Россия такую помощь уже оказывает в рамках двусторонних договорённостей. Рассчитываем, что мы сможем объединить наши усилия с белорусскими и казахстанскими партнёрами.
Помимо Армении и Киргизии интерес к сотрудничеству с Евразийским экономическим союзом проявляют и другие государства и региональные организации. В Евразийскую экономическую комиссию уже поступило несколько десятков предложений об установлении преференциальных режимов торговли.
Этим так называемым внешним досье, как представляется, следует заниматься более активно. В частности, важно как можно скорее завершить переговоры по проекту соглашения о зоне свободной торговли с Вьетнамом, интенсифицировать экспертные консультации с Израилем, Индией, Египтом, продолжить развивать диалог с Южноамериканским общим рынком (МЕРКОСУР), Ассоциацией государств Юго-Восточной Азии (АСЕАН).
Отдельно хочу сказать об отношениях с нашим соседом, Украиной, в контексте подписанного ею Соглашения об ассоциации с ЕС.
В августе здесь, в Минске, главы государств «тройки» встретились с украинским Президентом и представителями Евросоюза. И Киев, и Брюссель прислушались к нашим аргументам, приняли решение отсрочить применение экономического блока Соглашения об ассоциации до 31 декабря 2015 года. Теперь появилась возможность откорректировать те положения упомянутого Соглашения, реализация которых могла бы нанести существенный ущерб экономике Таможенного союза и нашим традиционным торговым связям с Украиной. Конечно, переговоры предстоят непростые, и нам необходимо выступать с солидарных позиций, чтобы убедить партнёров отказаться от противопоставления европейской и евразийской интеграции в пользу сопряжения обоих проектов.
Уважаемые коллеги! Хотел бы вновь подчеркнуть, что значение евразийской интеграции в жизни наших государств объективно возрастает. Это требует от всех нас ещё более слаженных и скоординированных действий, важно не снижать набранного темпа работы. До конца года нам необходимо утвердить ещё около пятидесяти документов по некоторым организационным и финансовым вопросам деятельности Евразийского экономического союза.
Предлагаю, уважаемые коллеги, провести следующее наше заседание в декабре в Москве, где мы могли бы завершить весь подготовительный процесс. Мы уже и с Нурсултаном Абишевичем Назарбаевым, и с Президентом Белоруссии Александром Григорьевичем Лукашенко об этом говорили, я хотел бы об этом сказать здесь официально, на нашей встрече. И хочу вас поблагодарить за внимание.
Спасибо большое.</t>
  </si>
  <si>
    <t>https://kazakhstan.mid.ru/ru/press-centre/news/vstrecha_glav_gosudarstv_vysshego_evraziyskogo_ekonomicheskogo_soveta/</t>
  </si>
  <si>
    <t xml:space="preserve">5 марта </t>
  </si>
  <si>
    <t>Московская область</t>
  </si>
  <si>
    <t>В.ПУТИН: Добрый день, уважаемые друзья, коллеги!
Россия, Белоруссия и Казахстан последовательно продвигаются по пути интеграции, и сегодня мы в рамках Высшего Евразийского экономического совета на уровне глав государств поговорим о том, что происходит в этой сфере, куда мы двигаемся, каким темпом, выполняем ли мы все запланированные ранее шаги, все планы.
Наша общая цель – перейти на новый, более высокий уровень взаимодействия и создать в начале 2015 года, как мы договаривались, Евразийский экономический союз. Для этого необходимо выдержать намеченные сроки и завершить к маю подготовку проекта договора.
В соответствии с поручением, которое мы дали на предыдущем заседании в Москве (оно состоялось в декабре), правительства «тройки», Евразийская экономическая комиссия ускорили работу над текстом договора, он в деталях обсуждался и вчера в Астане на уровне вице-премьеров. Наш участник, это первый вице-премьер российского Правительства Игорь Шувалов, сегодня мне с утра уже докладывал об этих результатах.
Институциональная часть договоров должна определить международно-правовой статус и организационные рамки будущего союза, закрепить основные принципы его деятельности. Функциональная, отраслевая часть будет регламентировать механизмы экономического взаимодействия.
При этом важно гарантировать так называемые четыре свободы, то есть по обеспечению беспрепятственного перемещения товаров, услуг, капиталов и рабочей силы, зафиксировать конкретные обязательства по устранению изъятий и ограничений, сохраняющихся в Таможенном союзе и Едином экономическом пространстве.
Союз надо наделить широким набором полномочий в сфере экономического регулирования. Это позволит проводить общую и согласованную политику в ключевых отраслях, повысить устойчивость и потенциал развития национальных экономик, обеспечит ёмкий единый рынок и приток дополнительных инвестиций.
Евразийские интеграционные процессы уже приносят вполне конкретные результаты, конкретную отдачу. Несмотря на общее замедление темпов роста мировой экономики, мирового хозяйства, в 2013 году товарооборот в рамках тройки не только не снизился, а чуть-чуть всё-таки увеличился и составил 64,1 миллиарда долларов.
При этом улучшается структура взаимной торговли, сокращается доля сырьевых ресурсов в экспортно-импортных операциях, причём это изменение идёт за счёт повышения технологической продукции, за счёт товаров с высокой добавленной стоимостью, – и изменения значительные. В общей структуре с 28,9 процента доля высокотехнологичной продукции увеличилась до 40 процентов.
Интеграция создаёт предпосылки для равноправной конкуренции на рынке государств Таможенного союза. Расширяется потребительский спрос. Тем самым стимулируется инновационная активность наших компаний, производители более эффективно используют имеющиеся ресурсы.
Приоритетным направлением интеграционного взаимодействия стал учёт интересов бизнес-сообщества. Евразийская экономическая комиссия наладила тесные сотрудничества с объединениями деловых кругов наших стран, консультируется с предпринимателями по вопросам совершенствования нормативной базы Таможенного союза и Единого экономического пространства. Я скажу больше, не просто консультируется: по сути, представители бизнес-кругов включены в этот процесс и являются соавторами всех этих документов.
Евразийский интеграционный проект привлекает наших партнёров по СНГ. В наиболее продвинутой стадии находятся переговоры о подключении к нему и Армении, и Кыргызстана.
С армянской стороной принят и успешно реализуется план мероприятий по адаптации к нормам и требованиям Таможенного союза и Единого экономического пространства. Поэтому считаем возможным перейти к подготовке проекта договора о присоединении Армении к будущему Евразийскому экономическому союзу.
Конечно, нужно все минусы и плюсы здесь взвесить, причём для всех участников этого процесса. Важно продолжить и содействие Кыргызстану по присоединению. Необходимо вместе с нашими партнёрами утвердить дорожную карту дальнейших действий.
Ключевой экономический партнёр Таможенного союза – Украина. Нас объединяют тесные промышленные и торговые связи. Украинцы входят в зону свободной торговли СНГ.
Экстраординарная ситуация, сложившаяся на Украине, вызывает серьёзное беспокойство. Украинская экономика находится в тяжёлом, если не сказать тяжелейшем кризисе. Возможны негативные последствия и для рынка Таможенного союза.
Поэтому нужно вместе подумать над тем, что бы предпринять в целях защиты наших производителей и экспортёров, а также проработать параметры дальнейшего взаимодействия с Украиной. Безусловно, нам нужно сделать всё, чтобы помочь нашим партнёрам выйти из той сложной ситуации, в которой они сегодня находятся.
Мы, конечно, обсудим сегодня и другие аспекты, касающиеся ситуации вокруг Украины.
Евразийское интеграционное объединение открыто к сотрудничеству со всеми государствами и уже приступило к формированию пакета соглашений о свободной торговле с рядом государств.
Получено около 40 предложений о заключении таких договоров, в том числе от Европейской ассоциации свободной торговли: это Исландия Лихтенштейн, Норвегия, Швейцария, – от Вьетнама, Израиля, Индии, Чили, Перу.
И в заключение подчеркну: Россия дорожит конструктивными, равноправными и открытыми отношениями, которые сложились в сфере экономики между нашими странами, высоко ценит достигнутые совместные результаты.
Убеждён, евразийская экономическая интеграция открывает перед участниками этого проекта новые, уникальные возможности, которые могут и должны быть использованы на благо граждан наших стран.
Я вас благодарю за внимание и хочу передать слово нашим сегодняшним гостям. Пожалуйста.
А.ЛУКАШЕНКО: Уважаемые коллеги!
Сегодня мы собрались, чтобы обсудить ход работы над проектом договора о Евразийском экономическом союзе.
Учитывая, что Президент России очень подробно изложил ситуацию вокруг Единого экономического пространства, охарактеризовал направления нашей работы по формированию договора, я ограничусь только несколькими проблемами, которые надо решать. И изложу свою позицию с точки зрения Белоруссии, как мы это видим.
Мы планировали собраться в середине марта. Но эксперты после работы в Астане нас подтолкнули к тому, чтобы мы решили ряд вопросов на нашем уровне, чтобы дать им возможность работать более активно. В противном случае, как они сказали, можем не успеть к середине этого года создать мощный правовой механизм нашего экономического союза. Поэтому мы перенесли немного эту встречу. Наверное, правильно сделали. Это даст возможность комиссии и специалистам пару недель уже иметь в резерве, для того чтобы подготовить договор к рассмотрению на высшем уровне.
На предыдущей встрече в Москве нами определены вопросы для дополнительной проработки. Перед экспертами поставлена задача – завершить работу по их согласованию. Как меня информировали, в подготовке документов удалось продвинуться вперёд, но отдельные аспекты всё же требуют решения на нашем уровне, о чём я только что сказал.
Надеюсь, что в ходе сегодняшней встречи нам удастся найти взаимоприемлемое решение, чтобы подписать договор в согласованные сроки. Мы не можем повторить тот печальный опыт, который был характерен для нас в рамках СНГ. Мы очень много говорили об СНГ. Говорили-говорили и заговорили.
Люди ждали от нас шагов по формированию в рамках СНГ нормальных отношений и союза. Не получилось. И у людей очень большая настороженность, чтобы это не произошло с нашим Таможенным союзом и Единым экономическим пространством. У нас просто нет выбора и нет выхода: мы должны в заявленные сроки подготовить договор и в заявленные сроки его подписать. В противном случае нас люди не поймут.
Хотел бы отметить два момента, принципиальных для Беларуси и, наверное, важных для всех наших стран. Во-первых, в нашем интеграционном проекте мы должны выйти на конкретные результаты. Таким результатом является завершение создания Таможенного союза без каких-либо ограничений и изъятий. В этом вопросе стороны продвинулись дальше всего.
Фактически остались изъятия лишь по некоторым, однако весьма чувствительным товарам, включая алкоголь, табак, лекарства, нефть, газ. И нам необходимо принять по ним принципиальное решение.
Однако появились подходы, когда отмену изъятий по товарам начали увязывать с отменой изъятий по услугам, капиталу, рабочей силе. Наша принципиальная позиция – создание Евразийского экономического союза должно базироваться на полномасштабном Таможенном союзе, без изъятий, в том числе без пошлин, количественных ограничений или чего-то другого.
Свобода движения товаров должна стать примером для решения задач по реализации остальных трёх свобод. Без этого будущий экономический союз лишится прочного фундамента. Одновременно мы продолжаем целенаправленно работать над реализацией тех договорённостей, которые закреплены в базовых соглашениях Единого экономического пространства.
Во-вторых, по проекту договора. Позиция белорусской стороны по отдельным положениям институциональной части договора была изложена в ходе нашей предыдущей встречи в Москве. Эксперты ведут работу по её согласованию. Думаю, нет необходимости возвращаться к этому вопросу и теперь.
Функциональная часть договора, о которой только что говорил Президент России, совершенствуется, идёт работа. Хотя эта работа активизировалась, однако готовность проекта оценивается всё теми же экспертами примерно 70–80 процентами, о которых были проинформированы на нашей прошлой встрече.
Сближения по наиболее чувствительным позициям для каждой из сторон практически не произошло, в том числе по формированию общего энергетического рынка, либерализации автомобильного транспортного рынка, доступу к газотранспортной системе, правилам субсидирования сельского хозяйства стороны постоянно выдвигают новые предложения, которые могут размыть уже имеющиеся договорённости.
Поэтому предлагаю в нашей дальнейшей работе по проекту договора руководствоваться следующим подходом. Совершенствовать нормативно-правовую базу ЕЭП при согласии с предлагаемыми изменениями всех трёх сторон. Если же кто-то против, то включать в проект договора нормы соглашений ЕЭП в их неизменном состоянии, которые есть сегодня, чтобы не допустить отхода, отката назад, потому что по некоторым позициям эксперты нам говорят о том, что это уже происходит при обсуждении. В противном случае мы рискуем неоправданно затянуть процесс подготовки договора и, соответственно, начало работы Евразийского экономического союза.
Вот два принципиальных момента, на наш взгляд, по которым мы должны принять решения и более активно двигаться в направлении создания нашей экономической системы, экономического союза.
Будем откровенно говорить, события в мире нас очень активно подталкивают к тому, чтобы этот процесс ускорять. Нам, наверное, меньше надо посматривать по сторонам, а заниматься своими делами, своими государствами, тогда нас и уважать будут, и ценить будут.
Благодарю.</t>
  </si>
  <si>
    <t>https://eccis.org/news/2830/suzet-5-marta-v-moskve-sostoalos-zasedanie-vyssego-evrazijskogo-ekonomiceskogo-soveta</t>
  </si>
  <si>
    <t xml:space="preserve">8 мая </t>
  </si>
  <si>
    <t>В.Путин: Уважаемые коллеги, добрый день!
Наше заседание – первое с начала работы Евразийского экономического союза. Я очень рад отметить, что большинство принятых решений по запуску евразийского интеграционного проекта реализовано в полной мере и в сроки, о которых мы договаривались. На мировой арене появилось новое экономическое объединение с едиными правилами движения товаров, услуг, капитала, трудовых ресурсов.
Со 2 января полноправным членом союза стала Армения, и уже приняты решения – надеюсь, после ратификации всё это вступит в силу – по присоединению Киргизии в полномасштабном формате.
Важно, что у всех участников Евразийского союза есть настрой на углубление интеграции. Более тесные торговые инвестиционные связи несомненно будут способствовать дальнейшему социально-экономическому развитию наших стран, будут укреплять конкурентоспособность нашего объединения в мировой экономике и в конечном счёте обеспечат рост благосостояния населения наших стран.
Евразийская интеграция доказывает свою эффективность: взаимный товарооборот стран-участниц вырос почти на двадцать миллиардов долларов, улучшилась инфраструктура торговли, возросла доля товаров с высокой добавленной стоимостью и сократилась доля сырья, причём сократилась значительно – с 40 до 28,9 процента.
На 2015–2016 годы в рамках Евразийского союза согласованы общие макроэкономические ориентиры роста, запланирован комплекс мер по стимулированию хозяйственного развития, углублению сотрудничества в реальном секторе и улучшению делового климата.
Предлагаем подумать над возможностью более тесного взаимодействия в сфере монетарной политики. Убеждён, действуя слаженно, центробанки наших стран могли бы эффективнее противостоять негативному влиянию резких колебаний курсов валют.
Мы прекрасно отдаём себе отчёт в том, что это дело будущего. Здесь никто не собирается забегать вперёд. Согласованные действия монетарной политики должны быть основаны на интеграционных процессах в экономической прежде всего сфере после достижения определённого уровня взаимодействия. Обсуждать эти вопросы, говорить, думать об этом – всё это можно делать уже сейчас.
В завершающей стадии находится работа по созданию общего рынка энергоресурсов Евразийского союза. На наше утверждение представлена концепция единого рынка электроэнергетики, который начнёт функционировать с 2019 года. Этот документ определяет этапы формирования, механизмы регулирования, порядок взаимной торговли электроэнергией.
Продолжается формирование общего транспортного пространства Евразийского союза. Нам предстоит утвердить программу поэтапной либерализации рынка автомобильных грузоперевозок. Ставится задача сократить транспортные издержки, развить добросовестную конкуренцию в данном секторе услуг. Будет обеспечена гармонизация правил и требований для автоперевозчиков.
По линии национальных корпораций развития разрабатываются совместные программы кредитования экспортёров на внешних рынках. Это поможет выправить недавний спад в нашей торговле с третьими странами.
Идёт создание евразийской системы «единого окна» для бизнеса. Её запуск позволит унифицировать фискальные, таможенные и административные процедуры внешнеэкономической деятельности.
До конца года нам предстоит серьёзно обновить договорно-правовую базу: в работе находятся более 50 проектов документов. Нужно, в частности, принять новый Таможенный кодекс, подписать соглашение о взаимодействии в валютно-финансовой и социально-экономической сферах. Завершить работу по большинству документов необходимо к следующему заседанию совета – это октябрь, в Астане.
Интерес к углублению отношений с союзом проявляют и зарубежные партнёры. Налажено взаимодействие со структурами ООН. В сентябре на 70-й сессии Генеральной Ассамблеи ООН Евразийский экономический союз должен получить статус наблюдателя. Важно, чтобы наши внешнеполитические ведомства координировали усилия при рассмотрении в ООН соответствующей заявки.
Евразийская экономическая комиссия ведёт переговоры по соглашениям по свободной торговле с рядом государств. Согласован и будет подписан в ближайшее время договор с Вьетнамом, аналогичные документы прорабатываются на экспертном уровне с Израилем, Индией, Египтом.
Перспективным представляется развитие экономического сотрудничества Евразийского союза с Китайской Народной Республикой, говорил об этом сегодня и на встрече с Председателем КНР Си Цзиньпином.
Кстати говоря, Председатель КНР также проявляет к этому интерес и говорит о том, что этот процесс вполне можно было бы вписать в «Экономический пояс так называемого Шёлкового пути» – проект, который продвигается нашими друзьями в Китае. Считаю целесообразным поручить Евразийской комиссии начать переговоры с КНР о заключении соглашения с КНР о торгово-экономическом сотрудничестве.
На перспективу, думаю, стоит подумать над возможностью гармоничного совмещения Евразийской экономической интеграции и, как я уже сказал, китайской инициативы «Экономического пояса Шёлкового пути».
Убеждён, тесная кооперация с китайскими партнёрами будет способствовать притоку инвестиций в государства союза, поможет создать новые рабочие места, эффективнее освоить евразийский транспортный потенциал.
Я хочу вас поблагодарить за внимание и передаю слова Александру Григорьевичу Лукашенко, Президенту Беларуси, которая председательствует в этом году в Евразийском экономическом союзе.</t>
  </si>
  <si>
    <t>http://www.kremlin.ru/catalog/persons/119/events/49435</t>
  </si>
  <si>
    <t xml:space="preserve">16 октября </t>
  </si>
  <si>
    <t xml:space="preserve">Астана </t>
  </si>
  <si>
    <t>нет полного текста речи</t>
  </si>
  <si>
    <t>-</t>
  </si>
  <si>
    <t>21 декабря</t>
  </si>
  <si>
    <t>26 декабря</t>
  </si>
  <si>
    <t>в узком составе</t>
  </si>
  <si>
    <t>Санкт-Петербург</t>
  </si>
  <si>
    <t>В.Путин: Уважаемые коллеги!
Я на правах хозяина несколько слов скажу, а потом передам слово Нурсултану Абишевичу, который возглавляет Высший Евразийский экономический совет, Казахстан у нас в этом году его возглавляет.
Но прежде чем мы начнём работать, хочу вас всех поприветствовать в Петербурге.
Евразийскому экономическому союзу исполняется два года, поэтому у нас есть хороший повод подвести итоги совместной работы за этот период и обменяться мнениями о перспективах дальнейшего развития евразийской интеграции.
В процессе строительства Евразийского экономического союза мы вместе добились действительно серьёзных успехов. Создан ёмкий общий рынок, действующий по согласованным правилам, основанным на универсальных принципах Всемирной торговой организации, заметно повысились показатели и взаимной торговли. Последовательно устраняются барьеры на пути свободного движения товаров, услуг, рабочей силы и капитала. За время функционирования союза число нетарифных ограничений сокращено более чем на 30 процентов.
В этом году заработал единый рынок лекарственных средств и медицинских изделий. Это поможет снизить цены на социально важную фармацевтическую продукцию, а также позволит усилить контроль за её качеством и порядком обращения. Эффективнее станет и борьба с контрафактом.
В рамках Союза приняты Концепции формирования к 2025 году общих рынков газа, нефти и нефтепродуктов. Разрабатываются универсальные правила торговли электроэнергией и доступа к услугам субъектов естественных монополий в этой области.
Ведётся совершенствование союзных правил регулирования в антимонопольной сфере. Продолжается работа над созданием к 2025 году общего финансового рынка. Согласованный экспертами проект Концепции поэтапной либерализации этого сектора экономики предусматривает гармонизацию действующих в наших странах правил осуществления кредитно-денежных, валютных, банковских, страховых операций.
Последовательно совершенствуется и договорно-правовая база Евразийского экономического союза. Мы многое сделали по подготовке нового Таможенного кодекса. В Кодекс заложен целый ряд важных правовых нововведений, отвечающих самой передовой мировой практике. Заметно возрастают полномочия Евразийской комиссии по вопросам таможенного регулирования, предусматривается широкое использование цифровых технологий при проведении процедур оформления товаров на внешних границах Союза.
Одним из ключевых приоритетов деятельности Евразийского экономического союза становится формирование благоприятной деловой среды для полноценного раскрытия имеющегося у наших стран производственного и технологического потенциала.
Необходимо активнее содействовать предприятиям наших стран в развитии промышленной кооперации, энергичнее вовлекать в производственные и технологические цепочки малый и средний бизнес.
Первоочередной задачей на ближайшую перспективу видится формирование единого цифрового пространства Евразийского экономического союза. Недавно подробно мы у себя, в Москве, обсуждали с Председателем Коллегии Евразийской комиссии Тиграном Суреновичем Саркисяном эту тему. И я с ним полностью согласен, в последние годы цифровая экономика получила широкое распространение, прежде всего в таких странах, как Китай, Соединённые Штаты, и отставание государств Евразийского союза в области глобальной электронной торговли и межотраслевых цифровых платформ может сказаться на нашей конкурентоспособности как на внешних, так и на внутренних рынках самого Союза.
Я в детали здесь вдаваться не буду. Хочу отметить только, что у нас развивается и на внешнем контуре интересная и плодотворная работа с нашими возможными партнёрами. С Вьетнамом, как вы знаете, уже достигнуто Соглашение о свободной торговле. Интересуются таким же развитием отношений с нами Израиль, Индия, Иран, Сингапур, Египет. У нас ведётся работа и с Китайской Народной Республикой. Но всё это мы вместе с вами сможем сегодня обсудить.
Я хочу вас всех ещё раз сердечно поприветствовать в Петербурге.
Спасибо большое.
&lt;…&gt;</t>
  </si>
  <si>
    <t xml:space="preserve">http://www.kremlin.ru/events/president/news/53596
</t>
  </si>
  <si>
    <t xml:space="preserve">31 мая </t>
  </si>
  <si>
    <t>в расширенном составе</t>
  </si>
  <si>
    <t>Астана</t>
  </si>
  <si>
    <t>В.Путин: Уважаемые коллеги!
За полтора года работы Евразийского экономического союза нам действительно многое удалось сделать в продвижении этого масштабного интеграционного проекта, главное – с полным основанием можно констатировать, что союз состоялся как современная международная организация, нацеленная на решение конкретных задач экономического развития наших стран.
После присоединения Армении и Киргизии евразийской «пятёркой» сформирован ёмкий общий рынок с населением более 182 миллионов человек, обеспечена преемственность в управлении интеграционными процессами со стороны наднационального органа союза – Евразийской экономической комиссии. С 1 февраля назначен новый состав её Коллегии, который без раскачки включился в работу. В соответствии с решаемыми задачами усовершенствована и структура самой Комиссии. Создана солидная договорно-правовая база, которая расширяется на основе согласованных нами планов. В развитие учредительного Договора о Евразийском экономическом союзе принято более 60 соглашений.
По ряду направлений работу необходимо продолжать и далее в таком же активном темпе. Это касается, в частности, подготовки нового Таможенного кодекса и Соглашения о порядке заключения союзом международных договоров, то есть дальнейшее продвижение интеграции зависит от своевременного принятия необходимых для нашего развития нормативных документов.
Многого удалось достичь в деле сокращения взаимных барьеров на пути свободного движения товаров, рабочей силы, услуг и капитала. Не могу не согласиться с коллегами, которые выступали по поводу того, что их ещё очень много. Напомню только, что из выявленных на этапе подготовки Договора о союзе 422 торговых ограничений более 80 уже устранено, ещё около 30 находятся в процессе отмены, а 16 должны быть ликвидированы в течение текущего, 2016 года.
Крайне важно продолжить унификацию нетарифного регулирования, развивать механизмы отслеживания движения товаров от момента их ввоза на таможенную территорию союза до их передачи потребителю, совершенствовать взаимодействие в сфере санитарно-эпидемиологического контроля.
Необходимо и далее уделять приоритетное внимание проведению согласованной политики в ключевых секторах экономики, а также гармонизации законодательства в области естественных монополий.
Перспективным видится подключение государств союза к программе импортозамещения, проводимой в России. Мы приглашаем всех наших партнёров к совместному производству оборудования и комплектующих более чем в 25 отраслях, включая машиностроение, электронную и лёгкую промышленность, сельское хозяйство.
К 2019 году должен быть сформирован общий рынок электроэнергии, утверждена его концепция, начата подготовка соответствующей программы. По оценкам экспертов, реализация этой задачи обеспечит дополнительный прирост ВВП государств – членов союза в размере 7 миллиардов долларов.
Сегодня мы сделаем очередной шаг к созданию к 2025 году единого рынка углеводородов, о чём мы с вами очень много говорили и спорили в своё время, примем соответствующие документы, которые предусматривают равные условия конкуренции на территории всего союза, что даст совокупный эффект в газовой отрасли более 1 миллиарда долларов, а в нефтяной – до 8 миллиардов в год.
Уже в текущем году заработает общий рынок в социально значимой сфере лекарственных средств и медицинских изделий. На завершающем этапе находится согласование договорённостей о правилах и принципах обращения этой продукции.
Поступательно развивается наше сотрудничество в инновационной сфере. Создаётся Евразийский инжиниринговый центр по станкостроению, совместно разрабатываются евразийские технологические платформы.
Неотъемлемой составляющей интеграционного процесса является либерализация торговли услугами. В текущем году предстоит принять дорожные карты по унификации законодательства в области строительства и проектирования, проведения научных исследований, а также в туризме. Единые правила уже охватывают 43 сервисных сектора, или более 50 процентов от общего объёма производимых в Союзе услуг.
Весьма перспективной представляется идея создания единого информационного пространства. Предложили бы Комиссии подготовить соображения на этот счёт.
Эффективному функционированию интеграционного объединения способствует системное выстраивание отношений с внешними партнёрами. Мы поддерживаем предложение казахстанского председательства сконцентрировать усилия на дальнейшем углублении экономических связей Союза с другими странами и интеграционными объединениями, в первую очередь с государствами Шанхайской организации сотрудничества и АСЕАН.
На этом направлении уже сделано немало. Создана зона свободной торговли с Вьетнамом, готовится перечень конкретных проектов в развитие идеи сопряжения Евразийского экономического союза с китайской инициативой «Шёлкового пути».
Евразийской комиссией подписаны меморандумы о взаимопонимании с правительствами Монголии, Перу, Чили. В планах – разработка торговых договорённостей с Сербией. Готовятся соглашения о сотрудничестве с Южной Кореей, Эквадором и МЕРКОСУР. Интерес к установлению тесных связей с союзом проявляют Иран, Индия, Египет, Израиль.
Приветствуем также инициативу казахстанских партнёров о проведении международной конференции по налаживанию взаимодействия между Евразийским союзом и ЕС. Необходимо, чтобы Евразийская экономическая комиссия активно подключилась к её проработке.
И ещё хотел бы отметить большую практическую поддержку, которую оказывает созданный год назад Евразийский деловой совет. Считаю это направление тоже чрезвычайно важным. Недавно его возглавил Виктор Борисович Христенко, имеющий хороший опыт работы в наших интеграционных структурах.
И в заключение, пользуясь возможностью, хотел бы пригласить всех вас, как мы в узком составе договорились, провести нашу следующую встречу в декабре, по традиции, в Москве.
Спасибо за внимание.</t>
  </si>
  <si>
    <t xml:space="preserve">
http://www.kremlin.ru/catalog/persons/119/events/52049</t>
  </si>
  <si>
    <t>14 апреля</t>
  </si>
  <si>
    <t xml:space="preserve">Бишкек </t>
  </si>
  <si>
    <t>В.Путин: Уважаемые коллеги! Уважаемый Председатель!
Прежде всего хочу, так же как и присутствующие здесь главы государств, искренне поприветствовать Президента Молдавии Игоря Николаевича Додона, который впервые участвует в заседании Высшего Евразийского экономического совета.
На заседании Высшего Евразийского экономического совета.
На заседании Высшего Евразийского экономического совета.
Отмечу, что сотрудничество в рамках ЕАЭС продвигается успешно. Мы вместе добились результатов в деле формирования и укрепления ёмкого общего рынка с универсальными правилами для экономических операторов. Можно с полной уверенностью сказать, что наш общий рынок сработал в качестве своеобразной подушки безопасности, несмотря на определённые издержки, связанные с внешней конъюнктурой, которая сложилась неблагоприятно (об этом уже было здесь сказано).
Тем не менее как подушка безопасности наши интеграционные институты сработали, в определённой степени нивелировали воздействие неблагоприятной внешней конъюнктуры, а национальные экономики смогли адаптироваться к новым реалиям. Это действительно так.
Обращаю внимание, что в январе текущего года по сравнению с январём прошлого года объём взаимной торговли в рамках союза вырос на 38 процентов. Как Нурсултан Абишевич говорил, кризисы приходят, но они рано или поздно заканчиваются. 38 процентов у нас плюс, а поставки государств-членов в третьи страны выросли на 37 процентов.
Существенно улучшилась (и это отмечаю как, наверное, самое главное) структура экспортно-импортных операций, снизился удельный вес сырья в торговле в 2016 году и обозначился рост доли машин, транспортных средств и оборудования, продовольственных и сельхозтоваров.
В рамках ЕАЭС мы вместе добились результатов в деле формирования и укрепления ёмкого общего рынка с универсальными правилами для экономических операторов.
В 2016 году производство в сфере сельского хозяйства союза увеличилось почти на четыре процента. Наметился рост в промышленности. Рассчитываем на позитивную динамику в этих отраслях и в текущем году.
Отдельно хотел бы отметить, что существенная часть этого прироста приходится именно на российский рынок, который всё более активно осваивается государствами – членами ЕАЭС. Это выгодно как нашим партнёрам по союзу, так и российским потребителям. В 2016 году на Россию пришлось около 62 процентов объёма совокупных внутрисоюзных поставок.
Во многом благодаря рынку союза в Казахстане развивается новая отрасль – автомобилестроение. Хочу проинформировать Нурсултана Абишевича: мы приняли решение по Вашему предложению о продолжении расширения нашего сотрудничества в космосе с использованием Байконура.
Мы все наши планы скорректируем в самое ближайшее время, имею в виду использование космодрома Восточный, с тем, чтобы активно вместе с вами работать по имеющимся у нас проектам, которые вы сформулировали. С использованием не только Байконура на длительную перспективу, но и с реализацией тех планов по совместным пускам, по разработке новых видов ракетно-космической техники.
Шагом к укреплению ЕАЭС является сопряжение информационных систем наших госорганов, прежде всего таможенных служб, с целью создания механизма мониторинга движения товаров по территории союза.
В Киргизии создаются условия для восстановления текстильного и швейного производства. Как известно, в 2016 году экспорт киргизских товаров лёгкой промышленности в страны союза вырос на 38 процентов. Товарооборот сельхозпродукции между Арменией, скажем, и Россией также увеличился, причём на солидную величину – в 22 процента. Развивается кооперация с Республикой Беларусь, причём развивается очень активно.
По некоторым крупным предприятиям взаимная зависимость составляет сейчас 40 и более процентов. Многие виды товаров, произведённые в Белоруссии, рассматриваются в Российской Федерации как производство отечественного производителя и пользуются такими же льготами при государственных закупках на территории Российской Федерации.
В последнее время проделана значительная работа по совершенствованию договорно-правовой базы союза: согласованы такие фундаментальные документы, как Таможенный кодекс, Концепция формирования общих рынков газа, нефти и нефтепродуктов, поэтапной либерализации финансового рынка. По всем этим направлениям удалось выйти на взаимоприемлемые решения.
Приоритетное внимание необходимо уделять дальнейшей работе по улучшению макроэкономической ситуации, увеличению объёмов инвестиций в основной капитал, созданию большей добавленной стоимости и развитию несырьевого экспорта.
Российский рынок всё более активно осваивается государствами – членами ЕАЭС. Это выгодно как нашим партнёрам по союзу, так и российским потребителям.
Важную роль в решении актуальных вопросов экономического роста, обеспечения финансовой стабильности наших стан играет Евразийский банк развития и управляемый им Евразийский фонд стабилизации и развития. Банк выполняет значимую роль в осуществлении крупных инвестиционных инициатив.
На реализацию этих целей уже предусмотрено около четырёх миллиардов долларов. Последний пример такого сотрудничества – недавно подписанное соглашение о предоставлении Киргизской Республике кредита на сумму 110 миллионов долларов для финансирования конкретных инфраструктурных проектов в республике.
Одной из насущных задач является последовательное устранение препятствий на пути свободного движения товаров, рабочей силы, услуг и капиталов. Такие барьеры у нас ещё, к сожалению, сохраняются, но мы договорились о том, что постепенно будем их устранять. В соответствии с Договором о союзе эти процессы будут планомерно реализовываться до 2025 года.
Ещё одним шагом к укреплению ЕАЭС является сопряжение информационных систем наших госорганов, прежде всего таможенных служб, с целью создания механизма мониторинга движения товаров по территории союза. Это позволило бы либерализовать и улучшить решение таких проблемных вопросов для транзита товаров третьих стран, в том числе и Украины. Мы об этом с вами дискутировали неоднократно и пришли к выводу, что введение этой электронной системы отслеживания движения товаров помогло бы и нашим партнёрам, которые находятся вне союза.
Проделана значительная работа по совершенствованию договорно-правовой базы союза: согласованы такие фундаментальные документы, как Таможенный кодекс, Концепция формирования общих рынков газа, нефти и нефтепродуктов, поэтапной либерализации финансового рынка.
Эффективный контроль невозможен без внедрения обязательного оформления товаросопроводительных документов в электронной форме. Это передовая мировая практика. С учётом технических особенностей подобных проектов необходимо в максимально короткий срок завершить подготовку соответствующего соглашения.
Если говорить о международной деятельности союза, напомню, что уже действует соглашение о свободной торговле с Вьетнамом, ведутся переговоры с Китайской Народной Республикой, Израилем, Сербией, Египтом, Индией, Сингапуром, и уже упоминалось здесь о наших контактах и соответствующей работе с Ираном. Мы также контактируем активно с Шанхайской организацией сотрудничества, АСЕАН и другими организациями.
Развитие внешнего контура нашего интеграционного объединения должно быть продолжено на системной и плановой основе.
В заключение хотел бы сказать и выразить надежду, что Евразийский союз продолжит крепнуть и расти на благо народов наших стран. Думаю, что у нас есть все основания для такого оптимизма.
Спасибо большое за внимание.</t>
  </si>
  <si>
    <t>http://www.kremlin.ru/events/president/transcripts/54293</t>
  </si>
  <si>
    <t>11 октября</t>
  </si>
  <si>
    <t>Сочи</t>
  </si>
  <si>
    <t>В.Путин: Уважаемые коллеги!
Рад вас всех ещё раз поприветствовать на нашей встрече, и в том числе нашего гостя – Президента Молдавии Игоря Николаевича Додона.
Только что в узком составе мы обсудили текущие вопросы деятельности Евразийского экономического союза, подвели некоторые итоги интеграционной работы и приняли ряд важных решений. Можно с уверенностью сказать, что союз успешно функционирует и развивается.
Интеграция положительно сказывается на темпах экономического роста наших государств. Совокупный ВВП Евразийского экономического союза увеличился в текущем году на 1,8 процента. Позитивная динамика фиксируется в стратегических производственных отраслях: в промышленности рост составил 2,4 процента, в сельском хозяйстве – почти 1 процент, расширились грузовые, пассажирские перевозки соответственно на 6,9 и на 7,8 процента.
Возросли объёмы внешней торговли союза – плюс 26 процентов, а положительное сальдо экспортно-импортных операций превысило 77 миллиардов долларов. При этом доля машин, оборудования и транспортных средств достигла 17,5 процента. Удельный же вес энергетических товаров снизился до 28 процентов.
Товарооборот между государствами – членами Евразийского экономического союза увеличился в текущем году на 30 процентов. 
Товарооборот между государствами – членами Евразийского экономического союза увеличился в текущем году на 30 процентов. Это прямое следствие того, что мы создали в рамках союза единый рынок и общее экономическое пространство.
Убеждены, нужно продолжать системную работу по устранению ограничений, мешающих свободному передвижению товаров, рабочей силы, услуг и капитала между нашими государствами.
Следует ускорить разработку дорожной карты по ликвидации имеющихся пока ещё барьеров в сфере промышленности, агропромышленном комплексе, энергетике, техническом регулировании.
Государствам – членам Союза предстоит завершить все внутренние процедуры, чтобы, как запланировано, с 1 января будущего года вступил в силу новый Таможенный кодекс Евразийского экономического союза. В свою очередь, Евразийская экономическая комиссия должна заранее принять технические решения, необходимые для практического применения кодекса во внутрисоюзной торговле.
Государствам – членам Союза предстоит завершить все внутренние процедуры, чтобы с 1 января будущего года вступил в силу новый Таможенный кодекс ЕАЭС. 
В ходе заседания в узком составе мы также утвердили новый важный документ, который называется «Основные направления цифровой повестки Союза до 2025 года». Напомню, инициатива его разработки была выдвинута на заседании нашего Союза ещё в декабре прошлого года. Россия готова активно участвовать в практической реализации цифровой повестки. Речь идёт о проведении согласованной со странами Союза политики в области развития интернет-экономики, формирования общих правил цифровой торговли, единых стандартов обмена информацией и её защиты.
Отмечу, принимаемые нами сегодня решения о налаживании сотрудничества в области космических и геоинформационных услуг, а также об объединении действующих в государствах Евразийского экономического союза национальных систем дистанционного зондирования Земли также являются одним из очень важных наших решений.
В числе ключевых задач видим совершенствование кредитно-финансовой инфраструктуры Евразийского экономического союза. Предлагаем эффективнее задействовать потенциал Евразийского банка развития и Евразийского фонда стабилизации для обеспечения роста экономик наших стран, использовать специальные инвестиционные механизмы Евразийского банка и Стабфонда для укрепления финансовой устойчивости государств – членов Союза.
В числе ключевых задач видим совершенствование кредитно-финансовой инфраструктуры ЕАЭС. Предлагаем эффективнее задействовать потенциал Евразийского банка развития и Евразийского фонда стабилизации. 
Особого внимания, как представляется, требуют вопросы, связанные с продвижением позиций Евразийского экономического союза на международной арене, развитием связи нашего объединения с другими государствами. В этом контексте считаем важным налаживать более тесную кооперацию с партнёрами из СНГ, которые не входят в Евразийский экономический союз. Мы сегодня достаточно подробно говорили об этом и о том, что нам нужно утвердить статус наблюдателя.
Стоит ускорить и уже начатый переговорный процесс о создании зон свободной торговли с теми странами, с которыми договорились выстраивать такую работу и с которыми Комиссия уже ведёт работу. Большое значение придаём подготовке проекта соглашений о сотрудничестве между Евразийским экономическим союзом и этими странами.
В заключение хотел бы высказать признательность киргизским друзьям за большую работу, проделанную в ходе председательства Киргизии в органах Евразийского экономического союза в текущем году. В качестве следующего председателя Россия готова к интенсивному взаимодействию со всеми партнёрами по союзу в целях дальнейшего укрепления нашего интеграционного объединения.
Позвольте передать слово Президенту Армении Сержу Азатовичу Саргсяну.
В.Путин: Уважаемые коллеги!
Хочу всех вас поблагодарить за сегодняшнюю достаточно конструктивную, содержательную работу. В узком составе мы дискутировали практически по всем вопросам, глубоко погружались во все проблемы. Надеюсь, что такая же содержательная работа сохранится в будущем.
Хочу пожелать Комиссии, всем нашим коллегам, которые занимаются работой в рамках нашего объединения, в рамках нашего союза, так же интенсивно работать в будущем.
Россия берёт на себя обязанности председателя в следующем году. Заверяю вас, что мы будем делать всё, что от нас зависит, чтобы наше объединение развивалось, и развивалось успешно.
Нурсултан Абишевич сегодня предложил созвать и внеочередной саммит, посвящённый развитию цифровых технологий, цифровой экономики. Мы все это поддержали. Согласуем с Казахстаном время, место, с удовольствием примем участие.</t>
  </si>
  <si>
    <t>http://www.kremlin.ru/events/president/news/55819</t>
  </si>
  <si>
    <t>14 мая</t>
  </si>
  <si>
    <t>В.Путин: Уважаемые коллеги!
Только что мы завершили заседание Высшего Евразийского экономического совета в узком составе. Обсуждены важные аспекты деятельности Евразийского союза и достигнут ряд договорённостей. Не скрою, это не без дискуссий, не без споров, но нам удалось всё-таки добиться общих решений.
Отмечу решение об учреждении статуса страны-наблюдателя при ЕАЭС, согласован вопрос, чтобы такой статус был предоставлен Республике Молдова. В этой связи хотел бы поприветствовать присоединившегося к нашему заседанию Президента Игоря Николаевича Додона. Рассчитываем, что Республика Молдова в качестве наблюдателя будет активно участвовать в деятельности нашего интеграционного объединения. Мы готовы рассмотреть заявки и других заинтересованных стран, прежде всего наших соседей – государств СНГ.
В ходе заседания в узком составе подробно обсуждены и другие актуальные вопросы взаимодействия «пятёрки». Россия как председатель ЕАЭС высказала свои соображения по повестке интеграционной работы на 2018 год. В числе первоочередных задач – повышение эффективности функционирования общего внутрисоюзного рынка, сближение национальных правил экономического регулирования.
Приоритетное внимание по-прежнему будет уделяться устранению остающихся ограничений и изъятий на пути свободного перемещения товаров, капиталов, рабочей силы. Ориентируемся на создание наиболее комфортных условий для развития предпринимательской активности, в том числе за счёт системной работы с деловыми кругами и учёта их пожеланий.
Хорошие возможности для наращивания сотрудничества открываются в атомной энергетике, в области возобновляемых энергоисточников, в экологии, медицине, космосе. В этих передовых отраслях важно расширять производственную кооперацию, совместно работать над новыми технологиями и ноу-хау, внедрять инновации, отвечающие требованиям мировой экономики, глобального технологического развития.
Ещё один приоритет – реализация цифровой повестки ЕАЭС. Российское председательство предлагает осуществить несколько перспективных цифровых проектов в области интернет-торговли, технологии отслеживания движения товаров, создания транспортных коридоров, промышленной кооперации. Совсем недавно по инициативе Президента Казахстана прошёл соответствующий форум по этой проблематике. Мы это всячески поддерживаем и будем работать вместе. Естественно, будут заинтересованы, рассмотрены и соответствующие инициативы наших партнёров по объединению. Об одной из них я только что сказал.
Конечно, следует предпринимать дополнительные шаги по формированию единого рынка услуг ЕАЭС. В прошлом году в число секторов, функционирующих по наднациональным правилам, вошли туризм, научно-исследовательская деятельность, реклама. К концу текущего года 60 процентов общего объёма услуг будет регулироваться на основе союзного права.
Хотел бы отметить, что в целом Евразийский экономический союз развивается весьма динамично. Так, например, в 2017 году валовой внутренний продукт стран-участниц вырос на 1,8 процента, промышленное производство увеличилось на 1,7 процента, а сельскохозяйственное – на 2,5 процента.
Снизился уровень инфляции во всех наших государствах в среднем по Союзу до 3,1 процента. Улучшилось состояние внешней и внутренней торговли. Поставки товаров и услуг на рынки третьих стран возросли на 24,4 процента, а товарооборот между государствами – членами ЕАЭС вырос на 26 с лишним процентов.
Совершенствуется сфера технического регулирования. В этих условиях по предложению Евразийской экономической комиссии создаются профильные советы руководителей ведомств, стандартизации и аккредитации. Аналогичный орган будет учреждён и для координации политики в транспортной сфере. В его задачу войдёт разработка мер по развитию рынка перевозок в рамках ЕАЭС.
Также сформируем совет министров сельского хозяйства стран Союза, который займётся согласованием общей стратегии в агропромышленной сфере и продвижением союзной продукции на зарубежные рынки.
Эффективно заработал Суд Евразийского экономического союза, обеспечивающий объективное юридическое рассмотрение возникающих между странами спорных ситуаций.
Стоит отметить и то, что наше объединение воспринимается международными экспертами как открытый, общий рынок и единое инвестиционное и деловое пространство. В рейтинге Doing Business – 2018 ЕАЭС занимает 35-е место из 190 мест, в 2017 году это было 40-е. По отдельным индексам мы вошли в число лидеров, например регистрация собственности, присоединение к электросетям, исполнение контрактов и так далее.
Развивается сотрудничество с другими странами и интеграционными объединениями. Сегодня мы подпишем соглашение о международных договорах ЕАЭС. Оно определит протокольные, юридические и организационные процедуры взаимодействия с зарубежными партнёрами. Упомяну, что успешно реализуется соглашение о зоне свободной торговли с Вьетнамом. В 2017 году совокупный экспорт государств ЕАЭС в эту страну вырос сразу на 40 процентов.
На этой неделе в Астане планируется подписать соглашение о торгово-экономическом сотрудничестве с Китаем и временное соглашение об образовании зоны свободной торговли с Ираном. Продолжаются переговоры по заключению преференциальных договорённостей с Израилем, Сербией, Сингапуром. В скором времени стартуют аналогичные переговоры с Египтом и Индией.
Спасибо большое за внимание, уважаемые коллеги.
Передаю слово Премьер-министру Армении Николу Воваевичу Пашиняну.
Пожалуйста.</t>
  </si>
  <si>
    <t>http://www.kremlin.ru/events/president/transcripts/57468</t>
  </si>
  <si>
    <t>6 декабря</t>
  </si>
  <si>
    <t xml:space="preserve">Путин </t>
  </si>
  <si>
    <t>В.Путин: Уважаемые коллеги! Друзья! Добрый день! Всех вас рад приветствовать в Петербурге.
Сегодня на заседании Высшего Евразийского экономического совета предстоит подвести итоги совместной деятельности по развитию экономической интеграции в текущем году и, конечно, поговорить о планах на будущее.
Подчеркну, что сотрудничество в рамках Евразийского экономического союза продвигается довольно успешно и весьма динамично, способствует более полному раскрытию экономического потенциала наших государств.
Совокупный ВВП стран союза увеличился в первом полугодии 2018 года на два процента. Продолжился рост производства в промышленности: в целом по Евразэс [Евразийский экономический союз]– плюс 3,3 процента, в сельском хозяйстве – плюс 2,4 процента.
На 12 процентов выросли объёмы внутрисоюзной торговли, достигнув 44 миллиардов долларов. Товарооборот с внешними партнёрами увеличился на 21 процент – до 548 миллиардов долларов, причём преимущественно за счёт наращивания нашего экспорта.
Евразэс улучшил свои позиции в международных рейтингах, в частности, в ведении бизнеса: по данным Doing Business – 2018, по средневзвешенным показателям государств-членов он переместился на 31-е место. Напомню, в 2017 году это было 40-е из 190 экономик мира.
В течение года российское председательство Евразэс продолжило работу по всей интеграционной повестке дня, в том числе по вопросам функционирования общего внутреннего рынка. Вместе с партнёрами по союзу сосредоточили усилия на расширении практики наднационального регулирования.
На нашей встрече в мае в Сочи подписано соглашение о маркировке товаров, реализация которого обеспечит прозрачность торговых операций, позволит лучше защитить права потребителей и гарантировать равные условия конкуренции.
К сегодняшнему заседанию подготовлены проекты важных решений: о создании общих рынков нефти, нефтепродуктов, газа. По оценкам экспертов, осуществление этих планов даст прибавку к ВВП наших стран до девяти миллиардов долларов.
Продолжается совершенствование системы технического регулирования и контроля за качеством продукции. Единые технические стандарты уже разработаны для 85 процентов товаров, производимых нашими странами.
Интенсивно развивается производственная кооперация в металлургии, электронике, химической, лёгкой промышленности и других отраслях. При этом приоритетное внимание уделяется экспортно ориентированным секторам и производству товаров с высокой долей инноваций.
Сформирована нормативная и институциональная база для запуска единого цифрового пространства Евразэс. В бюджете союза на 2019 год, который нам сегодня предстоит утвердить, предусмотрены значительные средства на реализацию крупных цифровых проектов.
Перспективным представляется сотрудничество государств Евразэс в сфере предоставления космических услуг, в том числе создание общей группировки орбитальных аппаратов и продвижение геоинформационных сервисов для рынков третьих стран.
Можно подумать и над принятием совместной программы научно-технологического развития. Важно, что между государствами – членами Евразэс укрепляется координация в проведении валютно-финансовой и денежно-кредитной политики.
В сентябре представители центральных банков подписали соглашение о гармонизации законодательства в сфере финансового рынка. Это большой шаг на пути к формированию общего финансового пространства.
Предлагаем проработать вопрос о создании в Евразэс общей расчётной структуры с использованием современных финансовых технологий. Это позволило бы повысить устойчивость национальных платёжных систем наших стран, сделав их менее зависимыми от доллара и других иностранных валют. Это в прямом смысле слова повышение экономического суверенитета.
Российская сторона предлагает также включить в интеграционную повестку вопросы упрощения порядка передвижения граждан, наладить более тесное взаимодействие в области здравоохранения, образования, туризма, спорта и культуры. И конечно, больше внимания следует уделять межрегиональному сотрудничеству.
Продолжают расширяться и внешние связи Евразэс. В мае подписано соглашение о международных договорах с третьими странами и международными организациями.
Россия выполнила необходимые для его вступления в силу внутренние процедуры. Исходим из того, что и в остальных государствах-членах этот процесс завершится в самое ближайшее время.
В ноябре Евразийская экономическая комиссия заключила меморандумы о взаимодействии с исполнительным комитетом СНГ и АСЕАН. Видим в этом шаг на пути к реализации проекта большого евразийского партнёрства.
Сегодня нам предстоит принять решение о вступлении в силу соглашения о торгово-экономическом сотрудничестве с Китаем и временной зоне свободной торговли с Ираном.
Рассчитываем на скорейшее завершение переговоров по преференциальным торговым договорам с Сингапуром, Израилем, Сербией и – в перспективе – с Индией и Египтом.
Отмечу, что по инициативе России к нынешнему заседанию подготовлен проект декларации об углублении интеграционных процессов. Речь идёт о том, чтобы не только подтвердить настрой на всемерное развитие и укрепление Евразийского союза, но и продемонстрировать, что главную стратегическую задачу интеграции мы видим в обеспечении устойчивого экономического роста государств – членов ЕврАзЭС, повышения благосостояния и улучшения качества жизни наших граждан.
В следующем году на председательство в Евразэс заступает Армения. Хотел бы пожелать нашим армянским друзьям успехов.
Позвольте передать слово Николу Владимировичу Пашиняну.
В.Путин: Спасибо большое, уважаемый Александр Григорьевич.
Думаю, что, когда пресса покинет этот зал, мы подискутируем, у нас это всегда в открытом режиме всё делается, откровенно и по-честному. Но не могу не сделать одну реплику по поводу тарифов на газ. У нас выработан план движения к 2025 году, когда мы должны согласовать единые рынки нефти, газа, нефтепродуктов.
Что касается сегодняшней ситуации, то она заключается в том, что важен не тариф, а важна конечная цена газа, в которую включается этот тариф. И здесь Вы правы, надо, конечно, об этом думать.
Но обращаю внимание на то, что сегодня у Беларуси 129 долларов за тысячу кубов, в следующем году будет 127, а в ФРГ – 250. И это, безусловно, большое преимущество для наших союзников по Евразэс.
Хотя, конечно, мы должны стремиться к полной унификации. Но для этого нужно время и другой уровень интеграции между нашими странами. Но это предмет разговоров, переговоров. Мы к этому процессу готовы.
В.Путин: Так и будет, мы же об этом и договорились – создать документы, которые, по сути, являются планом нашего движения к этой цели, «дорожной картой». Просто обращаю внимание на то, что сегодня уже наши партнёры имеют достаточные преимущества.
Я упомянул ФРГ не просто так, и в Белоруссии не должно быть 250 за тысячу кубов. Но если бы Белоруссия не имела преимуществ, связанных с интеграцией, а формировали бы цену на рыночных принципах, это было бы не 129 и не 127, а 200 – вот в чём разница.</t>
  </si>
  <si>
    <t>http://www.kremlin.ru/events/president/news/59319</t>
  </si>
  <si>
    <t xml:space="preserve">29 мая </t>
  </si>
  <si>
    <t>Нур-Султан</t>
  </si>
  <si>
    <t>В.Путин: Уважаемые друзья, коллеги!
Я, безусловно, согласен с прозвучавшими в выступлениях оценками работы Евразийского экономического союза за пять лет.
Действительно, нам есть ещё над чем работать, мы это и делаем, но, безусловно, сегодня Евразэс – это эффективное интеграционное объединение, деятельность которого строится на принципах равноправия, взаимной выгоды и уважения интересов друг друга.
В рамках Союза сформирован, как здесь уже было сказано, общий рынок, охватывающий более 180 миллионов потребителей, обеспечена свобода движения товаров, услуг, капитала, рабочей силы.
Интеграционные процессы стимулировали устойчивое развитие экономик наших стран, способствовали повышению качества жизни и благосостояния наших граждан.
Отмечу, что по итогам прошлого года, здесь уже некоторые цифры звучали, совокупный ВВП государств Евразэс увеличился на 2,5 процента – до 2,2 триллиона долларов. Прирост промышленного производства в целом по объединению составил 3,1 процента.
При этом товарооборот с третьими странами прибавил 18,8 процента, преодолев рубеж в 750 миллиардов долларов. И действительно, он рос у нас даже чуть быстрее, чем объёмы внутренней торговли между участниками объединения: он поднялся на 9,2 процента – до 60 миллиардов долларов.
Я, честно говоря, в этом усматриваю тоже позитивный эффект от самого объединения. Потому что объединение, во-первых, это значит, что оно не мешает суверенно развивать свою экономику и контакты с другими странами.
Это всё происходит в обычном режиме и, более того, создаёт наиболее благоприятные условия для работы с третьими странами, поскольку создаёт общие, понятные, прозрачные правила взаимодействия, основанные, кстати говоря, на принципах ВТО.
Все эти показатели, которые только что были приведены, наглядно свидетельствуют, что евразийская интеграция работает и приносит реальные результаты.
Здесь уже говорилось, мы выступили с инициативой наделения Нурсултана Абишевича Назарбаева званием Почётного председателя Высшего евразийского экономического совета, и мне очень приятно, что все коллеги поддержали.
И в этом есть смысл, смысл большой. Не только потому, что Нурсултан Абишевич является автором этой идеи и внёс огромный вклад в реализацию самого этого плана, но и потому, что действительно он увлечён этим планом и работает и сейчас и многое ещё может нам сделать полезного для формирования и укрепления нашего Союза.
Спасибо, Нурсултан Абишевич, за то, что Вы согласились с этим предложением.
Подчеркну, перед Евразэс стоят масштабные задачи по углублению взаимодействия между нашими странами в самых разных отраслях: торговле, финансах, социальной политике.
Более слаженных совместных усилий требует унификация законодательной базы в области экономики. На наш взгляд, необходимо продолжить курс на гармонизацию административных правил и процедур, устранение остающихся нетарифных барьеров, облегчение бюрократической нагрузки на бизнес.
Предстоит и далее совершенствовать координацию политики государств-объединений в ключевых отраслях экономики. В полной мере осуществить принятые в рамках Евразэс решения о введении наднационального регулирования в банковском и финансовом секторах, в медицине и фармацевтике, транспорте, нефтегазовой промышленности.
Здесь у нас ещё есть и споры, и обсуждения, но в целом решения приняты, нужно их только реализовывать. И в энергетике в целом, конечно.
В этом контексте большое значение имеет договорённость о формировании общего электроэнергетического рынка Союза, который мы утвердим сегодня.
То же самое касается и решения об учреждении Евразийского совета по промышленности. Он займётся выработкой предложений по созданию совместных предприятий с учётом специализации и разделения труда, сложившихся между государствами Евразэс.
И здесь, конечно, нам нужно стремиться к тому, о чём Нурсултан Абишевич говорил, и мы можем это сделать, – создание крупных союзных корпораций, думать о целых отраслях производства, распределяя наилучшим образом свои компетенции и взращивая эти компетенции.
Серьёзные перспективы для наращивания сотрудничества стран Союза имеются в сфере цифровой экономики. Уже в ближайшее время начнётся осуществление пилотных проектов по маркировке и прослеживаемости товаров, а также организации цифровых транспортных коридоров, которые позволят заметно укрепить и увеличить транзит грузов по таможенной территории Евразэс.
Я с пониманием отношусь к той критике, которая и в наш адрес иногда звучит, по поводу предоставления льготных условий для стран, которые не являются членами нашего Союза. Но в условиях развития наших планов в области цифрового обеспечения торговых потоков все эти проблемы будут выстраиваться должным образом.
Цифровые технологии в целом призваны обеспечить более тесное взаимодействие по линии малого, среднего бизнеса, выстраивания новых производственных цепочек. Эффективный трансфер технологий, развитие открытой и благоприятной деловой среды – всё это будет более эффективно решаться в рамках «цифры». Для этого в рамках нашего объединения разрабатывается единая информационная база данных о производителях и их продукции.
Мы выступаем за то, чтобы евразийская интеграция постепенно охватывала всё новые и новые области, в том числе социальную и трудовую политику. И здесь я не могу не согласиться с Президентом Кыргызстана, это очень важная сфера деятельности.
Отмечу подготовку Евразийской комиссией соглашения, которое даст возможность при начислении пенсий учитывать стаж за весь период трудовой деятельности на территории всех государств Союза. Думаю, что для конкретного гражданина, простого человека, который всю жизнь работал, это имеет очень важное значение.
Для нас, по большому счёту, и для этого человека будет не важно, где конкретно он работал, главное – чтобы были соответствующие документы, подтверждающие этот стаж. Вступление в силу этого документа позволит в более полном объёме обеспечить права и интересы граждан наших государств.
И конечно, особого внимания требуют вопросы, связанные с укреплением системы совместных финансовых институтов Евразэс, призванных поддержать устойчивость экономик стран – участниц объединения, в том числе в периоды нестабильности и на глобальных рынках.
В настоящее время Евразийский банк развития финансирует свыше 80 проектов, большая часть из них в области энергетики, транспорта, инфраструктуры, осуществляет инвестиции в жизненно важной для государств Союза сфере. Совокупный объём вложений банка достиг 7,7 миллиарда долларов.
Приоритетным направлением деятельности Евразэс является расширение связей с другими государствами, в первую очередь с нашими ближайшими соседями. И, пользуясь присутствием на заседании главы государства – наблюдателя при Евразэс Президента Молдавии Игоря Николаевича Додона и почётного гостя – Президента Таджикистана Эмомали Шариповича Рахмона, хочу воспользоваться их пребыванием, чтобы ещё раз подчеркнуть нашу заинтересованность в углублении взаимодействия Евразэс с представленными ими странами.
Выступаем за развитие сотрудничества Союза с динамичными экономиками Азиатско-Тихоокеанского региона. Президент Армении говорил уже о том, что он работал недавно совсем в Пекине с нашими китайскими коллегами и уверен, что такая работа, так же как и работа с ШОС, АСЕАН, другими странами и интеграционными объединениями, безусловно, будет способствовать развитию и осуществлению идеи большого евразийского партнёрства.
Стратегическим партнёром нашего Союза, безусловно, является Китай. Это огромная экономика. По паритету покупательной способности Китайская Народная Республика обогнала Соединённые Штаты и стала по объёму экономики первой экономикой мира. Безусловно, это наш сосед, мы должны это учитывать.
Мы учитываем это, работаем, тем более что наши процессы в рамках Евразэс вполне стыкуются с идеей Председателя Си Цзиньпина об «Экономическом поясе Шёлкового пути». В ближайшие месяцы вступит в силу соглашение о торгово-экономическом сотрудничестве между Евразэс и КНР, которое станет прочной основой для взаимовыгодной кооперации в самых разных сферах.
И вообще круг внешнеторговых партнёров Евразийского союза постоянно расширятся. Сегодня мы примем решение о подписании соглашения о зоне свободной торговли с Сербией. На финальной стадии переговоры по аналогичному документу с Сингапуром, который признан сейчас самой конкурентоспособной экономикой мира. Завершается ратификация временного соглашения с Ираном. Рассчитываем на столь же динамичную работу с Израилем, Египтом, Индией.
Как представляется, есть хорошие перспективы и для развития взаимовыгодных контактов Евразэс со странами и интеграционными объединениями Африканского континента.
И, уважаемые коллеги, пользуясь случаем, отмечу, что 24 октября в России, в Сочи, пройдёт саммит Россия – Африка. Мы приглашаем руководство Евразийской экономической комиссии принять участие в этом мероприятии.
Как известно, сейчас готовится меморандум о взаимодействии Комиссии с Африканским союзом, и этот документ можно было бы подписать на полях сочинской встречи, если, конечно, Комиссия будет к этому готова, а коллеги это всё поддержат.
Благодарю за внимание.</t>
  </si>
  <si>
    <t>http://www.kremlin.ru/catalog/countries/KZ/events/60597</t>
  </si>
  <si>
    <t>1 октября</t>
  </si>
  <si>
    <t>Ереван</t>
  </si>
  <si>
    <t>В.Путин: Уважаемые друзья!
Согласен с положительными оценками работы Евразийского экономического союза. Евразэс развивается поступательно, создан объёмный общий рынок, который успешно функционирует. Интеграционные процессы в рамках Евразийского союза оказывают самое благоприятное воздействие на рост экономик стран-участниц, способствуют повышению уровня жизни наших граждан.
Отмечу, что продолжают расти и совокупные ВВП государств Евразэс, увеличивается промышленное, сельскохозяйственное производство. В то же время перед нашим объединением стоят и новые масштабные задачи. При этом особое внимание, на наш взгляд, следовало бы уделить системной работе по устранению барьеров в торговле товарами и услугами, причём в различных секторах рынка.
В числе приоритетов и введение общесоюзного регулирования в финансовой сфере. По итогам текущего заседания имеется в виду утвердить Концепцию формирования общего финансового рынка Евразэс. Этот документ станет «дорожной картой» по разработке и утверждению универсальных правил предоставления банковских и страховых услуг, операций с ценными бумагами. Реализация предусмотренных «дорожной картой» мероприятий позволит упростить доступ граждан наших стран к финансовым инструментам, сделать этот сегмент рынка унифицированным и транспарентным.
Хорошими темпами идёт и процесс совершенствования союзного законодательства в сфере энергетики. Рассчитываем, что уже в ближайшее время вступят в силу договорённости по формированию единого электроэнергетического рынка Евразэс. Общее электроэнергетическое пространство должно быть сформировано одновременно с созданием союзных рынков газа, нефти и нефтепродуктов в 2025 году. В первую очередь нужно завершить процесс унификации законодательств государств-членов в сфере поставки и транспортировки газа.
Конечно, следует и далее наращивать сотрудничество государств Евразэс в сфере цифровой экономики. В частности, общим интересам отвечает скорейший запуск стандартизированной системы поиска вакансий «Работа без границ». Реализация этого проекта позволит гражданам наших стран узнавать в сети Интернет о свободных рабочих местах во всех государствах союза.
Большое значение придаём скорейшей реализации соглашения о прослеживаемости товаров, ввезённых на таможенную территорию Евразэс. Евразийская экономическая комиссия согласно нашему сегодняшнему решению получит соответствующие дополнительные полномочия.
Важно обеспечить прозрачность обращения продукции на союзном рынке, поэтому нужно наладить полноценный обмен юридически значимыми электронными сопроводительными товарными документами, а также энергичнее внедрять электронную маркировку товаров. К слову, пилотный проект по маркировке ряда товаров подтвердил эффективность данной меры в борьбе с контрафактной продукцией, увеличил налоговые поступления.
Уважаемые коллеги!
Считаем важным и далее проводить работу, направленную на укрепление взаимовыгодного экономического сотрудничества Евразэс с заинтересованными зарубежными партнёрами.
И конечно, я так же, как и другие коллеги, приветствую здесь сегодня и Президента Молдавии Игоря Николаевича Додона, Президента Ирана господина Хасана Рухани, Премьер-министра Сингапура господина Ли Сянь Луна.
Подчеркну, что подписываемое сегодня в присутствии господина Ли Сянь Луна соглашение о зоне свободной торговли с Сингапуром создаст благоприятные условия для наращивания встречных экспортно-импортных операций, углубления кооперации в самых разных сферах.
Совсем недавно я имел удовольствие быть по приглашению правительства в Сингапуре. Должен сказать и подтвердить, что, конечно, Сингапур – это надёжный, устойчивый партнёр с быстро развивающейся экономикой и хорошим административным регулированием.
Ожидаем также, что в конце октября вступит в силу временное соглашение, ведущее к образованию зоны свободной торговли между Евразэс и Ираном. Его реализация приведёт к значительному снижению импортных тарифов, отмене других ограничений, мешающих движению товарных потоков. Всё это, несомненно, будет способствовать росту взаимной торговли и инвестиций.
Вообще, география контактов нашего союза постоянно расширяется. Объединение ведёт предметные переговоры о сотрудничестве с 13 странами и более чем 20 международными структурами и организациями. Это и Сербия, и Израиль, Египет. Вскоре стартуют аналогичные переговоры по зоне свободной торговли с Индией с её колоссальным, огромным рынком – быстро развивающаяся экономика, по темпам сегодня она номер один в мире.
В привязке к саммиту Россия–Африка – хочу вас проинформировать об этом, уважаемые коллеги, 23–24 октября в Сочи пройдёт впервые саммит Россия–Африка – Евразийская экономическая комиссия намерена подписать меморандум о взаимопонимании с комиссией Африканского союза, направленный на развитие многостороннего сотрудничества «пятёрки» со странами Африканского континента.
Евразэс уже давно и плодотворно расширяет взаимодействие с динамичными экономиками Азиатско-Тихоокеанского региона. Необходимо и далее налаживать тесные связи Евразийского союза с Шанхайской организацией сотрудничества и АСЕАН, работать в пользу большого евразийского партнёрства.
Особую роль в этом контексте играют торгово-экономические отношения Евразийского экономического союза с Китаем, который, кстати, сегодня отмечает большой праздник – 70‑летие образования Китайской Народной Республики. Я от имени России хочу поздравить наших китайских друзей с этим событием. Мы убеждены, что скорое вступление в силу соглашения о сотрудничестве с КНР станет шагом на пути сопряжения интеграционных процессов в рамках Евразэс с китайской инициативой «Один пояс, один путь».
И в заключение, уважаемые коллеги, хотел бы поблагодарить наших армянских коллег и друзей за организацию нашей сегодняшней совместной работы.
Благодарю вас за внимание.</t>
  </si>
  <si>
    <t>http://www.kremlin.ru/events/president/news/61682</t>
  </si>
  <si>
    <t>20 декабря</t>
  </si>
  <si>
    <t>В.Путин: Уважаемые коллеги, друзья!
Хочу вас искренне, сердечно поприветствовать в Петербурге. Как и договаривались, мы встречаемся в очередной раз в преддверии Нового года. Поэтому надеюсь, что наша сегодняшняя работа будет конструктивной, предпраздничной и будет отвечать нашему настроению.
Оно заключается в том, чтобы двигаться дальше и как можно основательнее, как можно быстрее в направлении реализации всех наших планов.
Сейчас не буду перечислять все плюсы, которые мы получили от взаимной работы на протяжении нескольких лет. Хочу ещё раз поблагодарить нашего почётного председателя Нурсултана Абишевича Назарбаева, который в своё время выступил инициатором создания этого объединения.
Нурсултан Абишевич, всё функционирует у нас, функционирует самым наилучшим образом. Мы очень рады Вас приветствовать в этом качестве сегодня в Петербурге.
Хочу обратить внимание на то, что есть вопросы, которые, конечно, ещё подлежат решению, это связано с различного рода ограничениями, изъятиями. В этой связи отмечу, что в принципе это характерно для любых экономических интеграционных объединений. Мы с вами постепенно, но двигаемся в направлении снятия этих ограничений по мере готовности наших стран к тем или иным шагам.
У нас должна быть в ближайшее время выработана – и она, собственно, уже почти выработана, – согласована в окончательном виде стратегия нашего развития. Думаю, что и этому вопросу – по сути, это вопрос стратегического характера – мы уделим сегодня необходимое внимание, так же как и выборам руководства нашей комиссии, исполнительного органа нашего союза. На этот раз его в соответствии с принципом ротации должен возглавить представитель Белоруссии. Мы сегодня тоже об этом поговорим и соответствующее решение должны принять.
Я вас всех ещё раз приветствую. Хорошего вам пребывания в Петербурге. Надеюсь на успешную рабочую встречу сегодня.</t>
  </si>
  <si>
    <t>http://www.kremlin.ru/events/president/transcripts/62375</t>
  </si>
  <si>
    <t>онлайн</t>
  </si>
  <si>
    <t>В.Путин: Прежде всего хочу присоединиться к словам благодарности нашим белорусским друзьям за инициативу провести сегодняшнее мероприятие.
Согласен со многими прозвучавшими сейчас оценками. Пандемия коронавируса оказывает действительно негативное влияние на все стороны жизни, причём практически во всём мире, на экономику, социальную сферу, снизилась мобильность населения, затруднена торговля товарами и услугами, подвержены волатильности глобальные финансовые и – только что об этом говорил Президент Казахстана – сырьевые рынки, для нас это очень важно. Существенно возрастает нагрузка на систему здравоохранения, требуются действительно экстраординарные меры, чтобы остановить распространение инфекции.
Как мы видим, в некоторых наших странах принимаются действительно чрезвычайные меры. Ещё раз скажу, Президент Казахстана только что об этом сказал. Понятно, что эффективно противостоять пандемии можно только путём объединения усилий международного сообщества. Именно такие, коллективные подходы Россия продвигает на всех многосторонних площадках: и в ООН, и в «Группе двадцати», и в СНГ.
И, конечно же, считаем крайне востребованным тесное сотрудничество между государствами Евразэс. Поддерживаем подготовленный для нашего утверждения проект совместного заявления лидеров «пятёрки». Полагаем, что в нём в полной мере отражены подходы к организации дальнейшей работы в рамках Союза в условиях распространения коронавирусной инфекции.
Несколько слов о том, какие мероприятия реализуются в России для борьбы с коронавирусом и минимизации последствий пандемии для экономики.
Созданы и активно действуют координационный совет во главе с Правительством России, оперативный штаб по предупреждению завоза и распространения вируса, рабочая группа Госсовета, которая координирует работу в регионах.
По оценкам экспертов, пик заболеваемости в России ещё не пройден. На 13 апреля в России зафиксировано 18 328 случаев заражения. К сожалению, из жизни ушли 148 человек. Вылечились 2558.
Мы внимательно следим за санитарно-эпидемиологической обстановкой, проводим необходимые профилактические и другие мероприятия, чтобы сдержать распространение инфекции. В большинстве российских регионов введён режим самоизоляции или карантина для снижения темпов эпидемии. До 30 апреля по всей стране установлены нерабочие дни с сохранением заработной платы.
Увеличиваются объёмы диагностики и тестирования для выявления заболевших и носителей вируса. Значительные финансовые ресурсы направлены на развёртывание оснащённых специальным оборудованием инфекционных блоков в больницах, на закупку медицинского оборудования и техники.
По линии Минобороны ведётся строительство 16 специализированных госпиталей для размещения пациентов с коронавирусной инфекцией, которые будут сданы в ближайшее время. И, разумеется, ими будут пользоваться при необходимости не только военнослужащие, но и гражданские лица.
Принято решение о дополнительных выплатах медперсоналу, который, рискуя жизнью и здоровьем, помогает больным, достойно исполняет свой служебный долг.
Поддержка оказывается и гражданам. Прежде всего семьям с детьми, временно безработным, тем, кто столкнулся с существенным – это более чем 30 процентов – сокращением доходов. Им предоставляются каникулы, отсрочки по ипотеке. Общий объём средств, выделяемых Правительством на минимизацию негативных последствий эпидемии, достигает 1,2 процента ВВП. Такой же объём содействия предусмотрен и Центральным банком России.
Реализован и ряд серьёзных мер в сфере банковского регулирования и финансов, в том числе в целях повышения доступности заёмных средств для поддержки регионов, сталкивающихся с падением налогового дохода. Одновременно для недопущения оттока капитала увеличена до 15 процентов налоговая ставка на доход, выведенный на зарубежные счета.
Целевая помощь оказывается предприятиям, прежде всего тем, которые сохраняют занятость, малому и среднему бизнесу. На шесть месяцев предоставлена отсрочка по налогам, страховым платежам, упрощены административные процедуры получения лицензионных и разрешительных документов.
И это не всё. Мы, разумеется, думаем над следующими шагами поддержки экономики.
Конечно, многое делается для того, чтобы вернуть граждан России, оказавшихся в разгар эпидемии за границей. В этой работе задействованы наши авиационные компании, организуются специальные чартерные рейсы. Вернувшиеся помещаются на карантин. Материальная поддержка оказывается и тем, кто всё ещё ждёт вылета на родину, находится за границей.
Мы не остаёмся безучастными и к проблемам, с которыми из-за пандемии сталкиваются другие государства, стараемся помочь прежде всего остро нуждающимся странам. Продолжим, безусловно, эту работу, будем делиться полученным опытом, обмениваться оперативной информацией. Здесь уже отмечалось, что Россия очень активно работает над лекарствами, специальными средствами для борьбы с пандемией, над вакцинами. Действительно, работа идёт хорошо. И я надеюсь, что мы в ближайшее время сможем с вами поделиться полученными результатами.
Хотел бы особо отметить антикризисную работу, которая развёрнута по линии Евразийского экономического союза. В прошлую пятницу состоялось заседание межправсовета с участием премьер-министров. Приняты принципиальные решения, направленные на минимизацию последствий распространения коронавируса, поддержание стабильной социально-экономической обстановки в наших государствах. Для импорта на территорию Евразэс социально значимых товаров – продовольствия, лекарств, медицинского оборудования, средств индивидуальной защиты – открыт зелёный коридор. Согласен с теми коллегами, которые сказали о том, что надо подумать над расширением этой практики. То есть такие товары освобождены от ввозных таможенных пошлин, упрощены и ускорены соответствующие таможенные процедуры.
Правительства государств Союза условились сообща принимать меры по ограничению вывоза в третьи страны критически важных медицинских препаратов и техники, социально значимых товаров, с тем чтобы не допустить их нехватки на союзном рынке, если возникнет необходимость помогать друг другу с доставкой гуманитарной помощи, товаров первой необходимости.
Стоит подумать о том, чтобы снизить или обнулить таможенные пошлины на комплектующие и материалы для экономически и социально значимых отраслей, в целом поддержать промышленное производство наших стран, те сектора экономики, которые в наибольшей степени пострадали в условиях эпидемии. Речь идёт прежде всего о воздушном транспорте, туризме, гостиничном бизнесе, сфере развлечений и досуга, общественного питания, культуры и спорта.
Созданный по линии Евразийской экономической комиссии координационный совет по борьбе с пандемией в режиме реального времени отслеживает обстановку в Евразэс, оценивает потребности и возможности государств-членов по поставкам критически важных товаров.
Согласен, что в случае необходимости можно привлечь и ресурсы Евразийского фонда стабилизации и развития и Евразийского банка развития.
Не могу не согласиться и с тем, что методы борьбы с пандемией должны быть разумными и пропорциональными, не приводить к разрыву наработанных десятилетиями кооперационных связей, остановке международной торговли, прекращению взаимных инвестиций. Уже сейчас в рамках Евразэс нужно начать разработку мер системного характера, призванных создать условия для восстановления и обеспечения дальнейшего экономического развития. Речь идёт, в частности, о том, чтобы активизировать процесс цифровизации в сфере логистики, об этом уже тоже говорилось, таможенных и налоговых процедур.
В целях сохранения макроэкономической устойчивости востребовано взаимодействие Центробанков государств-членов по вопросам смягчения параметров кредитования предприятий реального сектора экономики, расширения безналичных и «быстрых» платежей, дистанционного получения банковских услуг.
Как известно, к очередному заседанию Высшего совета, которое запланировано на 19 мая, готовится проект стратегических направлений развития Евразийской экономической интеграции до 2025 года. Предложил бы с учётом приобретаемого в условиях пандемии опыта усилить положения документа, которые касаются сотрудничества в области здравоохранения, оценить, насколько имеющиеся механизмы адекватны и позволят нам в будущем, в случае повторения подобных критических ситуаций, действовать более оперативно, более слаженно и с большей отдачей.
И в заключение хотел бы попросить Александра Григорьевича Лукашенко как Председателя Высшего Евразийского экономического совета проинформировать наших коллег по СНГ, председательствующих сейчас в Содружестве узбекских партнёров об итогах сегодняшней встречи, предпринимаемых странами Евразийского союза усилиях по борьбе с распространением коронавируса, подчеркнув нашу готовность к совместной работе со всеми партнёрами по СНГ.
Благодарю вас за внимание.</t>
  </si>
  <si>
    <t>http://www.kremlin.ru/events/president/news/63199</t>
  </si>
  <si>
    <t xml:space="preserve">Россия </t>
  </si>
  <si>
    <t xml:space="preserve">19 мая </t>
  </si>
  <si>
    <t>«Уважаемые коллеги, добрый день ещё раз!
Вы уже отмечали, что мы живём в непростые времена, можно сказать, сложные, связанные с пандемией. Это всё напрямую отражается на нашем взаимодействии, отражается на экономике, на прямых контактах между людьми, а это создаёт известные трудности и в реализации нашей совместной повестки дня. И тем не менее Беларусь, которая председательствует сейчас в нашей организации, находит возможности активно, я хочу это подчеркнуть, активно продолжать нашу совместную работу. Хочу поблагодарить Президента Белоруссии, это уже второе мероприятие, которое проводится. 14 апреля уже было подобное мероприятие, была видеоконференция членов Высшего Евразийского экономического совета, комиссия работает активно с представителем Белоруссии тоже, мне кажется, это хороший пример для подражания.
Разумеется, все мы заинтересованы в том, чтобы обеспечить динамичное развитие нашего объединения. Оно работает уже более пяти лет, приносит ощутимую отдачу всем нашим государствам, способствует решению важнейших задач по развитию национальных экономик, повышению уровня жизни наших граждан.
Именно на дальнейшее углубление разностороннего сотрудничества в рамках «пятёрки» ориентирован подготовленный к сегодняшнему заседанию проект Стратегии развития евразийской экономической интеграции на перспективу до 2025 года. В нём ставятся комплексные задачи по завершению формирования общего рынка товаров, услуг, капитала и рабочей силы, совершенствованию таможенного и административного регулирования, формированию цифрового пространства. Коллеги тоже об этом говорили, присоединяюсь, это очень важное направление. Имеется в виду также выстроить систему управления совместными кооперационными проектами в высокопроизводительных секторах экономики.
Стратегия закладывает основу для активизации процессов импортозамещения, промышленной локализации и продвижения совместных инициатив с высокой интеграционной составляющей. В наших странах должны быть созданы новые производственные мощности, обеспечивающие продовольственную безопасность, выпуск товаров первой необходимости, другой критически важной продукции.
Стратегия предусматривает расширение сотрудничества государств – членов Евразэс в научно-технической и гуманитарной областях. Предполагается реализация крупных совместных проектов в сфере профессионального и университетского обучения, подготовки кадров, повышения академической мобильности и осуществления многосторонних образовательных программ. Конечно, столь масштабные планы по развитию Евразийского экономического союза на период до 2025 года требуют от всех государств-членов ещё более активного взаимодействия и плотной координации. Но в целом, на наш взгляд, получился действительно масштабный документ, определяющий курс Евразийского экономического союза на ближайшую и среднесрочную перспективу. Его принятие создаст надёжную основу для углубления интеграции, дальнейшего сближения наших экономик и расширения областей нашего сотрудничества.
Проект практически согласован, за исключением одного пункта, касающегося тарифов на транспортировку газа. Предыдущий выступающий, Президент Кыргызстана, об этом тоже упомянул. Имеется в виду формула, которую поддерживают три страны – Россия, Казахстан и Киргизия. Её суть в том, что подходы к ценообразованию на газ можно было бы определить позднее на переговорах по формированию общего рынка газа Евразэс. Эту формулу пока не принимают наши армянские и белорусские коллеги, у них своя точка зрения по этому вопросу. Если бы они смогли согласиться с ней, то других препятствий на пути одобрения Стратегии не осталось бы вообще.
Что касается предлагаемого нашими армянскими и белорусскими друзьями единого тарифа на услуги по транспортировке и транзиту газа, то мы считаем, что единый тариф может быть реализован лишь на едином рынке с единым бюджетом, единой системой налогообложения. Столь глубокий уровень интеграции в Евразэс пока ещё не достигнут, мы об этом с вами хорошо знаем, а пока цены на газ должны формироваться на основе рыночной конъюнктуры, учитывать затраты и инвестиции поставщиков, а также обеспечивать обоснованную норму прибыли на вложенный в добычу капитал. Это обычная, хочу подчеркнуть, уважаемые коллеги, обычная мировая практика.
Если позиции наших армянских и белорусских друзей останутся без изменений, то, наверное, было бы логично вообще исключить пункт по газу из проекта Стратегии, чтобы одобрить её сегодня. Обсуждение же подходов к ценообразованию на газ можно будет продолжить по линии экспертов государств – членов Евразийской экономической комиссии. Кстати, на неё возлагается особая ответственность за работу по реализации планируемых нами стратегических задач. Для этого необходимо укрепить организационную роль комиссии, усилить её ответственность в том числе за реализацию принимаемых Высшим Евразийским экономическим советом решений.
Считаем также целесообразным энергичнее подключать к деятельности Евразийской экономической комиссии Евразийский банк развития и Евразийский фонд стабилизации. Эти региональные финансовые механизмы могут и должны оказывать содействие осуществлению крупных совместных интеграционных проектов.
Конечно же, важно и далее проводить работу, направленную на укрепление взаимовыгодного экономического сотрудничества Евразэс с заинтересованными зарубежными партнёрами.
С союзом уже установили тесные прямые контакты многие государства и интеграционные структуры, и их круг постоянно растёт. В активе Евразэс международные соглашения с Китаем, Вьетнамом, Ираном, Сербией, Сингапуром, на продвинутом этапе находится переговорный процесс с Израилем и Египтом, запущены торговые консультации с Индией.
Конечно, стоит уделять первостепенное внимание поддержанию различных форматов диалога и с другими партнёрами, прежде всего по СНГ, расширять связи с Ассоциацией государств Юго-Восточной Азии и Шанхайской организацией сотрудничества. Убеждён, что совместная работа с этими крупнейшими региональными объединениями, а также продолжение усилий по сопряжению деятельности Евразэс с реализацией китайской инициативы «Один пояс, один путь» позволит в перспективе реализовать проект создания большого евразийского партнёрства.
Перед нашим объединением стоят действительно большие, масштабные задачи. Много предстоит сделать для того, чтобы окончательно победить эпидемию коронавирусной инфекции, восстановить рост экономики, решить вопросы, связанные с социальными проблемами. Разумеется, Россия будет в постоянном контакте со всеми нашими коллегами и друзьями. Мы найдём способ активно работать, так, как это сделала Белоруссия. Ещё раз хочу подчеркнуть: Россия заинтересована в развитии нашего объединения.
Хочу поблагодарить всех коллег за сегодняшнюю совместную работу и выразить слова благодарности Президенту Белоруссии Александру Григорьевичу Лукашенко.
Спасибо большое».</t>
  </si>
  <si>
    <t>https://e-gorod.ru/саммит-еаэс-19-мая-2020-видеоформат-выступл/</t>
  </si>
  <si>
    <t>11 декабря</t>
  </si>
  <si>
    <t>В.Путин: Уважаемый Александр Григорьевич! Уважаемые друзья!
Прежде всего хотел бы присоединиться к прозвучавшим здесь словам благодарности в адрес белорусского руководства за проделанную работу в ходе председательства в Евразийском экономическом союзе в 2020 году.
Несмотря на то что эта работа велась в непростых условиях, связанных с распространением пандемии коронавируса, нам вместе удалось всё-таки многого добиться, интеграционные процессы в рамках Евразэс продолжали успешно развиваться.
Об этом свидетельствует и солидный пакет решений и договорённостей, подготовленных для утверждения на сегодняшнем заседании Высшего Евразийского экономического совета. Убеждён, что их реализация будет способствовать дальнейшему расширению взаимодействия в торговле, в инвестициях, экономике в целом, финансах, в промышленности и энергетике, да и во всех других сферах.
Уже отмечалось, что государства «пятёрки» оперативно наладили эффективное сотрудничество в борьбе с коронавирусом, а принятый в июле совместный план мероприятий, направленный на укрепление систем здравоохранения стран Евразэс и предотвращение распространения инфекции, выполняется в полном объёме.
Что касается России, то мы передали партнёрам по союзу тест-системы для проведения в общей сложности свыше 900 тысяч исследований на COVID-19, поставляем и продолжим поставлять медикаменты, средства индивидуальной защиты, расходные материалы.
Очень важно, что, как вы знаете, российские специалисты находятся в постоянном контакте с коллегами из стран «пятёрки», оказывают консультативную помощь, делятся опытом. В наиболее пострадавшие районы государств Евразэс выезжали наши бригады врачей-эпидемиологов, направлялись мобильные лаборатории.
Сейчас прорабатывается вопрос о поставках в страны союза российской вакцины «Спутник-V». Кстати, у нас уже прошла регистрацию вторая вакцина – «ЭпиВакКорона», и ещё одна находится на завершающей стадии испытаний. И мы, конечно же, заинтересованы в том, чтобы все партнёры по «пятёрке» приняли участие в научных и клинических исследованиях российской вакцины, в организации совместного производства.
Пандемия коронавируса, к сожалению, оказала негативное влияние на положение дел в экономике и социальной сфере наших государств. Наблюдается спад валового внутреннего продукта, объёмов торговли, промышленного производства. Всё это сказывается и на уровне занятости и безработицы.
Поэтому перед всеми нами, перед всеми странами Евразэс наряду с заботой о жизни и здоровье людей, конечно, в числе приоритетов стоит и задача сделать так, чтобы нынешние экономические неурядицы не приобрели затяжной и долгосрочный характер. И это побуждает нас ещё больше сплотиться, ещё более энергично заниматься выправлением ситуации, решением вопросов экономического восстановления и развития, активнее продвигаться по пути интеграционного строительства.
Мы поддерживаем подготовленный правительствами «пятёрки» проект стратегических направлений развития евразийской интеграции до 2025 года, предусматривающий завершение формирования в рамках Евразэс общего рынка товаров, услуг, капитала, рабочей силы, а также единого цифрового пространства. Всё это нацелено на то, чтобы стимулировать рост экономик наших государств и в конечном итоге повысить благосостояние и качество жизни наших граждан – собственно говоря, в этом состоит наша основная цель.
Отдельно хотел бы остановиться на вопросах сотрудничества государств – членов Евразэс в сфере цифровизации. Мы все в этом году воочию убедились, насколько важное значение с учётом возникших обстоятельств имело использование передовых информационных технологий. Во многом благодаря этому удалось обеспечить нормальное функционирование государственных органов, буквально всех отраслей промышленности, образования, медицины.
Подчеркну, что Россия была одним из инициаторов развития взаимодействия на данном направлении. Мы с удовлетворением отмечаем, что принятая в 2017 году на саммите Высшего Евразийского экономического совета в Сочи цифровая повестка союза последовательно реализуется. Она предусматривает проведение государствами «пятёрки» согласованной политики в области развития интернет-экономики, формирование общих правил электронной торговли, единых стандартов обмена информацией и её защиты.
В рамках Евразэс уже осуществляются крупные цифровые проекты в сфере транспорта, промышленности, рынка труда.
Продвижением цифровых инициатив занимается, как известно, Евразийский банк развития. По его линии учреждён и специальный фонд, призванный содействовать финансированию новых перспективных проектов в сфере информационной интеграции. Один из таких проектов предложен Россией и подразумевает создание мобильного приложения, позволяющего значительно упростить административные формальности при передвижении между странами Евразэс.
Электронные технологии помогают и в деле защиты нашего общего рынка и, соответственно, потребителей от контрафактной продукции. Мы нацелены на ограничение нелегального товарооборота, улучшение конкурентной среды для бизнеса, для наших с вами предприятий. Используемые в рамках Евразэс цифровые механизмы маркировки товаров, применение которых, напомню, также было инициировано Россией, помогают обеспечить контроль за перемещением грузов по территории союза.
Представляется полезным расширить сферу действия соглашения о маркировке товаров. До конца года будут внедрены цифровые метки для маркировки табачных изделий, некоторых лекарственных препаратов, парфюмерии, обуви, фотооборудования, автомобильных шин. С 1 января 2021 года предусматривается введение маркировки товаров лёгкой промышленности, а затем и отдельных видов молочной продукции.
Уважаемые коллеги, друзья!
Хотел бы отметить, что развивающаяся интеграция в рамках Евразэс вызывает заинтересованное внимание целого ряда зарубежных государств, мы уже об этом говорили.
Сегодня Высший Евразийский экономический совет примет решение о предоставлении Республике Узбекистан – приветствую нашего коллегу Президента Узбекистана – и Республике Куба – тоже разрешите поприветствовать Президента Кубинской Республики – статуса наблюдателя. Это действительно важный качественный шаг по укреплению связей союза с нашими естественными, традиционными партнёрами.
Реализуется соглашение о сотрудничестве Евразэс с такими крупными экономическими странами, как Китай, Индия – в ближайшее время состоится первый раунд переговоров по соглашению о свободной торговле с Индией. А сегодня утвердим решение о запуске аналогичных переговоров с Ираном. Мы также поддерживаем идею заключения преференциальных договорённостей с Индонезией и Монголией.
Стоит особо отметить, что 10 ноября в ходе прошедшего под российским председательством заседания совета глав государств Шанхайской организации сотрудничества был подписан Меморандум о взаимопонимании между Секретариатом ШОС и Евразийской экономической комиссией.
Видим в этом ещё один шаг на пути к осуществлению выдвинутой нами идеи создания большого евразийского партнёрства в сфере безопасности, экономического и гуманитарного взаимодействия. В этом контексте, конечно, большое значение имеет развитие сотрудничества с другими странами и региональными интеграционными объединениями. В первую очередь речь идёт о сопряжении деятельности Евразэс с реализацией китайской известной инициативы «Один пояс, один путь». В конечном итоге упомянутые мной шаги, несомненно, сыграют свою положительную роль для формирования на всём пространстве нашего общего евразийского континента по-настоящему благоприятной атмосферы партнёрства и сотрудничества.
Уважаемые коллеги!
В заключение хотел бы пожелать нашим казахстанским друзьям, которые будут принимать председательство в Евразийском союзе, успехов в будущем году. Можете, безусловно, уважаемые коллеги, рассчитывать на нашу поддержку, на всемерное содействие с нашей стороны.
Не сомневаюсь, что Казахстан, поскольку он является инициатором создания нашего объединения – и я хочу ещё раз вспомнить о роли первого Президента Казахстана Нурсултана Абишевича Назарбаева в этом, хочу его поблагодарить за эту идею и за то, что продвигал её на постсоветском пространстве, причём достаточно энергично и эффективно, – не сомневаюсь в этой связи, что казахстанское председательство будет успешным.
Благодарю вас за внимание.</t>
  </si>
  <si>
    <t>http://www.kremlin.ru/events/president/news/64643</t>
  </si>
  <si>
    <t>10 декабря</t>
  </si>
  <si>
    <t>В.Путин: Уважаемый Касым-Жомарт Кемелевич! Уважаемые коллеги, друзья!
Я тоже, как и все, присоединяюсь к словам благодарности в адрес наших казахстанских друзей за проделанную работу в ходе председательства в Евразийском экономическом союзе в этом году.
Подчеркну: я видел, знаю, как Президент Республики [Казахстан] лично вовлечён в эту работу, уделяет этому много своего времени.
Несмотря на сложные условия, связанные с пандемией коронавируса и волатильностью на глобальных рынках, взаимодействие в рамках Евразэс развивалось весьма продуктивно.
Действительно, хочу ещё раз подтвердить то, что было сказано только что нашим казахстанским коллегой: первый Президент Казахстана Нурсултан Абишевич Назарбаев был инициатором создания нашего объединения. Прекрасно помню о его телефонном звонке, когда он позвонил и задал ряд сакраментальных, так бы сказал, вопросов по поводу того, что Россия видит в качестве приоритетов на ближайшее будущее. И договорились, что таким приоритетом и для Казахстана, и для России будет создание интеграционного объединения, о котором мы говорили раньше и к которому были готовы присоединиться и Белоруссия и, кстати говоря, Украина тогда. Но с Украиной не получилось, хотя такие намерения были высказаны тогдашним руководством Украины.
Тем не менее с лёгкой руки первого Президента Казахстана этот процесс начал развиваться, и сегодня мы чувствуем, что это было сделано абсолютно правильно – в этот сложный период времени для всей мировой экономики и для нашей экономики тоже. Мы видим, что совместными усилиями удалось также нарастить взаимную торговлю, несмотря ни на какие трудности. За девять месяцев текущего года объём товарооборота между государствами – членами союза – Касым-Жомарт Кемелевич сказал, по их данным, где-то на 16 процентов вырос, – по нашей статистике, на 10 процентов превысил аналогичный показатель доковидного, 2019 года. Это хороший показатель в любом случае. Устойчивую динамику демонстрируют встречные инвестиции, финансовый сектор и рынок труда.
Хотел бы также с удовлетворением отметить, что продолжается процесс совершенствования общего законодательства Евразийского союза. Оно приводится в соответствие с новыми масштабными задачами интеграционного строительства. Министерства и ведомства экономического блока наших стран вместе с Евразийской экономической комиссией активно занимаются выявлением и устранением препятствий на пути свободного движения товаров, услуг, капиталов, рабочей силы – то, о чём сказал сегодня в своём выступлении первый Президент Казахстана.
Сегодня на данном направлении будут сделаны очередные серьёзные шаги – существенный шаг вперёд в связи с подготовленным и выносимым на наше одобрение солидным пакетом поправок к Договору о Евразийском экономическом союзе. Цель этих поправок – заполнить имеющиеся лакуны и пробелы в правовом регулировании хозяйственно-экономической деятельности на пространстве Евразэс. Россия непосредственно участвовала в разработке этих поправок, и, безусловно, мы поддерживаем их принятие.
Также поддерживаем проекты совместных документов, касающихся дальнейшего развития единого рынка услуг, в том числе в таких секторах, как строительство, аудиторская и оценочная деятельность.
Кроме того, сегодня на наше утверждение вынесено подготовленное по инициативе России соглашение о применении в Евразэс электронных навигационных пломб – хочу ещё раз вернуться к тому, что мы обсуждали несколько лет назад, – они позволяют отслеживать – действительно, согласен с коллегами, которые сейчас только об этом сказали, – трансграничные перевозки грузов, надёжно гарантировать сохранность товаров и упростить процедуры их оформления на границе. Кстати сказать, это в значительной степени снижает озабоченности многих других стран, которые присматриваются к работе нашего объединения и являются сегодня наблюдателями.
Использование таких пломб, безусловно, повысит транспарентность таможенных операций, позитивно скажется на развитии сектора транспортных услуг на территории Евразэс. Об этом только что коллега из Кыргызстана сказал, полностью с ним согласен. И, что немаловажно, сделает более привлекательными наши транспортные маршруты для транзитных перевозок грузов между Европой и Азиатско-Тихоокеанским регионом.
У России имеется и ряд других предложений по обеспечению прозрачности рынков товаров и услуг Евразэс, и мы надеемся на их поддержку со стороны партнёров по интеграции.
В частности, речь идёт о более широком внедрении механизмов маркировки товаров, которые уже успешно применяются для отдельных товарных позиций. Эта практика показала свою эффективность в решении таких задач, как борьба с нелегальным товарооборотом, особенно в потребительском секторе, увеличение налоговых поступлений в бюджеты стран-участниц, создание конкурентоспособной среды для бизнеса.
Российская сторона также последовательно выступает за дальнейшее расширение в рамках Евразэс взаимовыгодной промышленной кооперации, о чём говорил сегодня Президент Белоруссии.
В текущем году утверждены комплексная стратегия промышленного сотрудничества стран – членов Евразэс и «дорожная карта» по её реализации. Эти взаимодополняющие документы закладывают фундамент для углубления кооперационных связей между производственными предприятиями наших государств и ускорения в рамках союза процесса импортозамещения.
Борьба с коронавирусной инфекцией стимулирует наши страны к более тесному партнёрству в фармацевтической индустрии и в целом в области медицины.
Я помню, как Премьер-министр Армении был инициатором разворачивания нашей совместной работы по этому направлению и даже предлагал целую программу в этой связи. Собственно говоря, мы её сейчас и осуществляем.
В соответствии с поручением, которое мы дали в рамках нашего заседания в декабре прошлого года, в большинстве государств Евразэс успешно налажен выпуск российских вакцин. При этом хочу подчеркнуть: Россия не только инвестировала в создание производственных мощностей и новых рабочих мест, но и осуществила трансфер самых современных биомедицинских технологий.
Таким образом, наши партнёры по Евразэс смогли увеличить темпы вакцинации населения высокоэффективными препаратами – собственного производства, хочу подчеркнуть. Благодаря этому повышается коллективный иммунитет к COVID-19 на всём евразийском пространстве. А это важно в плане создания условий для полноценного возобновления свободного перемещения граждан наших стран по территории союза.
Решению задачи восстановления мобильности населения в условиях пандемии помогает и реализация другого совместного проекта в области инноваций и информационных технологий, имею в виду мобильное приложение для смартфонов «Путешествую без COVID-19». Кстати, помимо государств Евразэс оно используется и в других странах: в Азербайджане, Молдавии, Таджикистане и Узбекистане. Мы предлагаем продолжить работу по улучшению функционала и расширению географии применения этого приложения.
Есть и другие весьма актуальные и важные сферы, в которых следует нарастить сотрудничество государств – членов Евразэс. Это касается, например, взаимодействия по климатической повестке и тематике «зелёной» трансформации экономики. Коллеги только что тоже об этом говорили.
К слову, по инициативе России сформирована специальная рабочая группа высокого уровня, которая занялась координацией наших позиций по вопросам борьбы с выбросами парниковых газов и достижения углеродной нейтральности, сохранения окружающей среды. И мы рассчитываем на дальнейшую конструктивную совместную работу с партнёрами по Евразэс по этой тематике. Я знаю, что все вы, уважаемые коллеги, вовлечены так или иначе в эту работу. Предлагаю действовать более слаженно и более энергично по этому направлению.
С удовлетворением отмечу, что к деятельности Евразийского союза всё активнее подключаются государства-наблюдатели – здесь тоже об этом было сказано, я приветствую от всей души наших коллег: это Куба, Узбекистан, кстати говоря, и Молдавия проявляла к этому тоже в своё время интерес. Они имеют возможность участвовать в деятельности интеграционных органов на всех уровнях, знакомиться с процессом подготовки интеграционных документов и использования в своих целях принятых решений.
Мы знаем, как сейчас складывается энергетическая ситуация в Европе. Молдавия была бы поближе к решению некоторых вопросов и легче бы, наверное, решала те проблемные вопросы, которые возникают, была бы хотя бы в курсе происходящих событий и принимаемых нами решений. Но мы договорились, исходя из общих интересов решили эти вопросы, но в целом это совершенно очевидный факт: были бы в материале, легче было бы решать вопросы, о которых мы говорим.
Кроме того, развивающаяся в рамках Евразэс интеграция привлекает заинтересованное внимание и других зарубежных государств. В частности, налажена гибкая система связей нашего союза со странами ‒ членами таких интеграционных объединений, как Шанхайская организация сотрудничества и АСЕАН.
Действительно, ведутся переговоры с Ираном о заключении полноформатного соглашения о свободной торговле, сегодня тоже об этом говорилось. С этой страной согласовано и продление действующего временного соглашения – на три года или до вступления в силу постоянного соглашения о свободной торговле. Реализация этого документа даст хорошие результаты, я в этом нисколько не сомневаюсь.
Вообще, подчеркну, что Россия всячески приветствует активизацию международных деловых связей и контактов Евразийского союза, выступает за дальнейшее расширение спектра преференциальных и непреференциальных соглашений с зарубежными государствами. И мы, конечно, поддерживаем представленный проект решения на этот счёт.
С учётом сказанного отмечу, что перед нашими киргизскими друзьями, которые будут председательствовать в Евразийском союзе в следующем году, встают по-настоящему серьёзные и ответственные задачи. Безусловно, Кыргызстан может рассчитывать на всемерное содействие со стороны России.
Хочу поблагодарить вас за внимание. Спасибо большое.</t>
  </si>
  <si>
    <t>http://www.kremlin.ru/events/president/news/67334</t>
  </si>
  <si>
    <t xml:space="preserve">14 октября </t>
  </si>
  <si>
    <t xml:space="preserve">онлайн </t>
  </si>
  <si>
    <t>В.Путин: Уважаемые друзья, коллеги!
Я, так же как и вы, хотел бы выразить удовлетворение тем, что, несмотря на известные трудности, связанные с пандемией коронавируса, наше интеграционное взаимодействие продолжается и продолжает углубляться. И выступления коллег подтверждают, что мы все заинтересованы в дальнейшем поступательном развитии Евразийского экономического союза, тесно сотрудничаем и добиваемся результатов, причём в самых разных областях, прежде всего в экономике и торговле.
Успешно реализуется такой важный совместный проект, как «Стратегические направления развития экономической интеграции до 2025 года», который мы с вами утвердили в конце прошлого года.
Практически во всех государствах Евразэс возобновился экономический рост. В частности, в России по итогам первых шести месяцев 2021 года ВВП увеличился на 4,8 процента. При этом во всём Евразийском союзе повысились промышленное производство – на 4,4 процента и выпуск сельхозпродукции – на 0,6 процента.
Хорошие темпы набраны во взаимной торговле: в январе – июне товарооборот между государствами – членами Евразэс увеличился почти на треть (31,9 процента), а объём внешней торговли Евразийского союза с третьими странами – на четверть.
Причём таких показателей удалось добиться несмотря на то, что некоторые государства – члены Евразэс подвергаются – мы знаем об этом и говорили об этом – нелегитимным санкциям со стороны некоторых стран. Ни для кого не секрет, что эти санкции используются не только как инструмент недобросовестной конкуренции, но и как средство для подрыва законных правительств путём создания социальных, экономических и политических проблем или усугубления имеющихся проблем, которых достаточно в любой стране.
Такие внешние неблагоприятные условия, как нам представляется, должны дополнительно стимулировать укрепление сотрудничества внутри нашего союза. Повышается значимость самого тесного взаимодействия в целях перехода на национальные валюты и сокращения использования доллара и евро во взаимных расчётах, организации импортозамещения, развития передовых высокотехнологичных отраслей, обеспечения населения необходимым продовольствием.
Кстати, в России накоплен большой опыт развития в условиях западных ограничений, и мы готовы им делиться с партнёрами по Евразэс.
Сообща проще и быстрее реализовывать крупные экономические проекты. Не могу не согласиться с нашим председателем [Касым-Жомартом Токаевым], что наблюдается дефицит этих проектов, их нужно, конечно, искать и внедрять, внедрять новые технологии, удовлетворять растущий спрос на качественные товары и услуги со стороны потребителей и тем самым эффективно противостоять любому внешнему давлению.
В этом контексте считаем важным продолжать в Евразэс планомерную работу по наращиванию кооперации в промышленной и сельхозсферах, обеспечению максимальной свободы движения товаров, услуг, капитала и рабочей силы – так, чтобы сформировать действительно полноценный, устойчивый общий рынок.
Подчеркну, что по всем этим направлениям уже многого удалось добиться. За последнее время государства – члены Евразэс существенно продвинулись в унификации регулирования розничной торговли товарами. Начат процесс гармонизации национального регулирования в сфере защиты прав потребителей, одобрены общие принципы и подходы к обеспечению продовольственной безопасности.
Сегодня на наше утверждение представлено решение о переходе ко второму этапу формирования общих рынков нефти и нефтепродуктов Евразийского экономического союза.
Подготовлен и проект совместного заявления о сотрудничестве в экологической сфере. Этот документ отражает понимание того принципиального значения, которое имеет борьба с изменением климата и сохранение окружающей среды для всех наших государств.
На повестке дня – интенсификация взаимодействия по природоохранной тематике и, в частности, выработка гармонизированной системы климатического регулирования, с тем чтобы компании наших стран работали по понятным и согласованным правилам, касающимся экологии и защиты окружающей среды.
Отмечу, что в России в настоящее время предпринимаются активные усилия по снижению углеродоёмкости экономики, сокращению эмиссии парниковых газов, развитию «зелёной энергетики». И мы предлагаем в рамках Евразэс начать унификацию стандартов по вопросам углеродной отчётности, осуществлять взаимовыгодные климатические проекты, совместно создавать собственные технологии, основанные на использовании безуглеродных источников энергии, конечно, включая и такие, как атомная и гидроэнергетика.
Ещё одно направление взаимодействия государств Евразийского союза, которому следовало бы уделять особое внимание, на наш взгляд, это цифровизация. Об этом мы сегодня тоже говорим. Работа в данной сфере набирает обороты, что, безусловно, отвечает интересам как деловых кругов, так и граждан наших стран, поскольку упрощает ведение бизнеса, повышает мобильность и доступность услуг.
В качестве примера приведу запуск 1 июля совместного цифрового проекта на евразийском пространстве – унифицированной системы поиска «Работа без границ». Этот электронный сервис предоставляет доступ к информации о вакансиях, анкетам соискателей по всему Евразийскому союзу.
Цифровые технологии во многом помогают адаптировать экономики наших стран, да и вообще нашу жизнь, к ситуации, вызванной распространением коронавирусной инфекции. Разработанное в России мобильное приложение «Путешествую без COVID-19» стало существенным подспорьем в восстановлении свободы передвижения граждан по территории государств – членов Евразэс. Оно надёжное и удобное, люди оценили его эффективность, поэтому в число участников данного проекта вошли также и наши соседи: Азербайджан, Молдавия, Таджикистан и Узбекистан.
Уважаемые коллеги!
Не могу не отметить, что развивающаяся интеграция в рамках Евразэс привлекает заинтересованное внимание целого ряда зарубежных стран, вы об этом уже говорили.
Важно, что к работе Евразийского союза всё активнее подключаются государства-наблюдатели. Они имеют возможность участвовать в деятельности интеграционных органов, причём на всех уровнях, знакомиться с процессом подготовки интеграционных документов и исполнения принятых решений.
Эффективно реализуется на практике гибкая система связей Евразэс и с другими государствами, а также интеграционными структурами, такими как ШОС и АСЕАН.
В июле вступило в силу соглашение о свободной торговле с Сербией, ведётся обсуждение аналогичных договоров с Египтом, Ираном, одобрен запуск переговоров с Индией. В активной фазе – работа исследовательских групп по изучению целесообразности создания зон свободной торговли с Индонезией и Монголией.
Всё это очень полезно с точки зрения возможного расширения евразийской интеграции и воплощения в жизнь инициативы создания Большого Евразийского партнёрства.
Вообще, подчеркну, что чем более очевидными будут реальные достижения Евразэс в экономике, торговле, социальной сфере, а главное – в деле повышения благосостояния граждан, тем, конечно, весомее будет авторитет нашего объединения, его влияние в мире. Это очевидные вещи.
В заключение хотел бы выразить признательность казахстанским партнёрам, которые, председательствуя в Евразэс в текущем году, в столь непростой обстановке всемерно способствуют дальнейшему развитию интеграционных процессов.
Благодарю вас за внимание.</t>
  </si>
  <si>
    <t>http://www.kremlin.ru/events/president/transcripts/deliberations/66927</t>
  </si>
  <si>
    <t>21 мая</t>
  </si>
  <si>
    <t>Уважаемые друзья, коллеги!
Я всех приветствую. Но особенно хотел бы поблагодарить Президента Кубы товарища Мигеля Диас-Канеля Бермудеса прежде всего потому, что он счёл возможным присоединиться к нашей сегодняшней онлайн-встрече, несмотря на то что в Гаване только пять утра.
Разговор об актуальных задачах развития евразийской интеграции действительно назрел, и я благодарю казахстанских наших друзей за то, что они организовали такую встречу. Накопилось действительно много вопросов, по которым нужно принять решения, причём решения уже нужно принимать и на нашем уровне, чтобы они были окончательно затверждены.
Вполне естественно, что в наших дискуссиях ключевое, приоритетное место занимает тематика взаимодействия в борьбе с пандемией коронавируса, в преодолении её социально-экономических последствий.
Что касается России, то, вы знаете, нам удалось достаточно быстро создать три собственные весьма эффективные и безопасные вакцины от коронавируса. Скоро будет запущена в оборот четвёртая вакцина – «Спутник Лайт». Наши соответствующие службы занимаются вакцинацией российских граждан, и достаточно активно идёт эта работа.
Выпуск «Спутника V» успешно локализован – здесь коллеги уже говорили – и в Казахстане, и в Белоруссии. Россия – единственная страна, которая передаёт технологии по вакцинам. Рассматривается теперь возможность развёртывания таких производств в Армении и Киргизии.
С учётом нынешних обстоятельств считаем важным уделить особое внимание сотрудничеству в области лекарственной безопасности. Кстати говоря, у нас и лекарственные препараты появились отечественные, весьма эффективные в борьбе коронавирусом.
До конца года эксперты Евразэс должны подготовить план мероприятий по обеспечению наших стран стратегически значимыми лекарственными препаратами для лечения не только коронавируса, но и других опасных заболеваний. По сути, речь идёт о том, чтобы уже в ближайшей перспективе организовать производство эффективных и доступных лекарств в Евразэс в объёмах, достаточных для удовлетворения потребностей наших национальных систем здравоохранения.
Также хочу выделить совместный проект по созданию цифровой платформы «Путешествую без COVID-19», реализуемый при содействии Фонда цифровых инициатив Евразийского банка развития. По-моему, наши армянские коллеги и выступали с этой инициативой. Цель проекта – облегчение взаимных поездок граждан наших стран, существенное ускорение процедур пересечения государственных границ при соблюдении санитарных норм и с учётом текущей эпидемиологической ситуации.
Я разделяю озабоченности Александра Григорьевича Лукашенко, когда он говорит о сегодняшних ограничениях. Но со своей стороны Россия стремится и будет стремиться максимально улучшить условия для прибывающих к нам на работу граждан зарубежных стран, и конечно, в первую очередь из государств – членов Евразэс. В ближайшее время нами будут запущены унифицированная интернет-система «Работа без границ» и соответствующее мобильное приложение, которые позволят в онлайн-режиме оформлять все документы, требующиеся для трудоустройства.
И конечно, на наш взгляд, необходимо наращивать усилия стран Евразэс по координации политики в сфере экономического развития и решения насущных социальных проблем, в том числе вызванных пандемией.
Механизмы интеграции должны работать максимально эффективно, способствовать росту взаимных торговых и инвестиционных связей, промышленной кооперации. Только так мы сможем добиться улучшения макроэкономических показателей, а тем самым и повышения уровня жизни наших граждан.
Подчеркну, мы поддерживаем подготовленные к утверждению на нашей сегодняшней встрече основные ориентиры макроэкономической политики государств – членов Евразэс на 2021–2022 гг. Как представляется, этот документ весьма содержательный, и реализация предложенных в нём мер будет способствовать не только стабилизации экономик наших стран, но и их выводу на траекторию роста.
Безусловно, внимания требуют вопросы укрепления единого общего рынка – коллеги здесь уже говорили об этом, – устранения ненужных барьеров и ограничений на пути торговли товарами и услугами. Работа на этом участке ведётся последовательно, целенаправленно. В результате, даже несмотря на вызванные пандемией трудности, товарооборот между государствами – членами Евразэс в январе–марте текущего года увеличился на 17 процентов.
Сейчас на фоне нестабильной мировой конъюнктуры обостряются проблемы, связанные с резким колебанием цен на социально значимые продукты, – выступавшие коллеги тоже уже об этом сказали. Признательны партнёрам за поддержку российской инициативы по нормализации ситуации в этой сфере. У нас конкретные есть решения по этому вопросу. В частности, не так давно Евразийская комиссия приняла конкретные решения, направленные на консолидацию ценовой политики государств Евразэс на рынке сахара. Столь же оперативно следует принимать меры и по другим видам продукции, когда это потребуется.
Стоило бы также активизировать совместную работу по проблематике борьбы с изменением климата и охраны окружающей среды. Как известно, международные усилия на экологическом направлении становятся драйвером глобальной технологической трансформации. Мы видим, что все страны Евразэс проявляют большой интерес к тому, чтобы разрабатывать и внедрять «зелёные» технологии, реализовывать собственные инновационные проекты в этой сфере.
Но, конечно, нельзя допустить, чтобы эта тема использовалась как ещё один инструмент каких-то ограничений в экономике. Поэтому предлагаем подумать над тем, чтобы сформировать в союзе банк климатических данных и цифровых инициатив, в том числе касающихся учёта углеродного следа. Пользоваться этим банком мы могли бы все – все компании наших стран, работающие над проектами, нацеленными на улучшение экологической обстановки.
Уважаемые коллеги!
Мы с удовлетворением отмечаем, что развивающиеся интеграционные процессы в рамках Евразэс привлекают внимание целого ряда зарубежных государств, вы сегодня тоже об этом сказали. Последовательно расширяются и диверсифицируются внешние связи нашего объединения. Разработана и успешно применяется гибкая система взаимодействия с государствами, интеграционными структурами и международными организациями. Эта система позволяет поддерживать и развивать торгово-экономические связи с партнёрами на разных курсах и уровнях, учитывая при этом их настрой и их готовность к выстраиванию интеграционного сотрудничества на основе взаимной выгоды и уважения друг друга.
Мы выступаем за дальнейшее увеличение числа преференциальных договоров с крупнейшими нашими торговыми партнёрами союза. Напомню, такие документы уже подписаны между Евразэс и Вьетнамом, Сербией, Ираном, Сингапуром. Считаем важным активизировать переговоры по аналогичным документам с Израилем и, как Александр Григорьевич предложил, с Египтом – мы тоже это поддерживаем. Скорее начать переговорный процесс с нашим крупным партнёром – Индией, внимательно изучить вопрос о целесообразности заключения соглашений о свободной торговле с другой большой страной – Индонезией, с нашим соседом Монголией.
Мы с вами неоднократно говорили о сопряжении интеграционных процессов Евразэс с реализуемой Китаем инициативой «Один пояс, один путь». Согласен с коллегами: шагом к этому стало заключение Соглашения о торгово-экономическом сотрудничестве между Евразийским союзом и КНР. Нужно, конечно, двигаться дальше. Но уже этот документ последовательно выполняется, тем самым создаётся хорошая основа для практического осуществления выдвинутой идеи формирования большого евразийского партнёрства в сфере безопасности, экономической и гуманитарной областях.
В целом мы удовлетворены тем, как развивается взаимодействие в Евразэс. Главное, что оно приносит реальные экономические выгоды, которые ощущает население наших стран. Я упомянул о том, что, несмотря на все трудности, всё-таки торговля подрастает, и это очень хороший признак того, что мы всё-таки в правильном направлении действуем и наши усилия приносят конкретный результат.
Благодарю вас за внимание.</t>
  </si>
  <si>
    <t>https://barnaul.mid.ru/ru/press-centre/news/vystuplenie_prezidenta_rossiyskoy_federatsii_v_v_putina_v_rezhime_videokonferentsii_na_zasedanii_vys/</t>
  </si>
  <si>
    <t>9 декабря</t>
  </si>
  <si>
    <t>Бишкек</t>
  </si>
  <si>
    <t>В.Путин: Я прежде всего хотел бы присоединиться к словам благодарности в адрес Президента Кыргызстана и поблагодарить всех наших киргизских друзей за работу, которая была проделана в качестве председателя Евразийского экономического союза.
В этом году наше интеграционное объединение работало эффективно, продолжало последовательно развиваться. В условиях волатильности глобальных рынков и неблагоприятной мировой политической конъюнктуры по линии Евразэс были предприняты своевременные и эффективные [шаги], позволяющие не только стабилизировать макроэкономическую ситуацию в наших странах, но и добиться улучшения целого ряда показателей развития, стимулировать рост ключевых отраслей экономики, а также оказать поддержку сложившимся на пространстве союза хозяйственным связям.
В частности, уровень безработицы за девять месяцев 2022 года сократился, и сократился в государствах Евразэс очень прилично, очень заметно – на 18 процентов, – и составляет чуть более одного процента, 1,1 процента, от общей численности рабочей силы. Я обращаю внимание коллег, что уровень безработицы является одним из ключевых показателей состояния экономики в целом. К слову, в Евросоюзе безработица – семь процентов, то есть в семь раз больше, чем у нас.
Увеличилось производство продукции сельского хозяйства на 5,4 процента – это очень заметный и очень хороший рост. Это тем более важно – здесь коллеги уже говорили, Александр Григорьевич [Лукашенко] об этом упоминал – на фоне, к сожалению, растущего продовольственного кризиса в мире. Никол Воваевич [Пашинян] тоже обратил внимание на то, что мы согласовали индикативные балансы, то есть мы абсолютно выровняли все наши потребности. Рост на 5,4 процента в сегодняшних условиях – это очень хороший показатель.
Растут объёмы выполненных строительных работ, причём на 4,7 процента. Тоже очень хороший показатель, имея в виду, что стройка тянет за собой очень много других производств. Совокупный прирост инвестиций в основной капитал достиг 6,6 процента – тоже очень хорошо.
Должен сказать, что мы удерживаем в рамках разумного, на очень хорошем уровне и другие макроэкономические показатели, в том числе инфляционные. Касым-Жомарт Кемелевич [Токаев] говорил о том, что в мире инфляционные процессы растут, это раскачивает мировую экономику. Мы этот параметр в целом держим под контролем. У нас – для примера – в России в этом году дефицит бюджета будет два процента, в следующем году мы планируем тоже два, в 2024-м – уже 1,4, в 2025-м уже будет 0,7. Я уверен, что мы это сделаем.
Что касается инфляции, то в этом году он [показатель] будет для нашей экономики приемлемым – 12,2 [процента], в следующем мы рассчитываем – по итогам следующего квартала [2023 года] – уже к пяти процентам подойти, а может быть, и ниже. У нас очевидный тренд на снижение инфляции. Это для всех наших стран имеет значение, потому что макроэкономические показатели в российской экономике так или иначе влияют на экономики всех наших стран.
Мы знаем, что в странах Еврозоны самые большие показатели по инфляции за последние 30–40 лет – все двузначного значения, а в некоторых странах Евросоюза достигают заоблачных величин для европейской экономики – 20 и более процентов.
Кстати говоря, что касается развития экономики в целом, нам предрекали спад экономики под 20 процентов – спад будет в этом году 2,9 процента. В следующем мы ожидаем 0,9 и будем дальше двигаться в позитивном тренде.
Обеспечена бесперебойная торговля всеми жизненно необходимыми товарами в рамках Евразэс, кстати говоря, включая – по продовольствию я уже сказал – и энергетику. В этой связи, конечно, не могу не отметить, что тарифы, цены на энергоносители в странах Евразэс кардинально отличаются от соответствующих тарифов у наших соседей на Западе. Скажем, разница в ценах на газ в странах Евразэс и Евросоюза в десять и более раз – не в какие-то проценты, а в десять и более раз. Это, конечно, создаёт соответствующие условия для экономического развития в нашей зоне.
В текущем году в Евразэс принят ряд принципиальных решений, направленных на снятие остающихся таможенных и административных барьеров. Я не могу не согласиться с Александром Григорьевичем, когда он говорит о том, что нам нужно эффективнее работать по устранению этих барьеров, это правда. Они мешают свободной торговле между нашими странами, и мы должны над этим энергичнее работать.
Между тем ускорилась работа по переходу на национальные валюты во взаимных расчётах. Здесь тоже Александр Григорьевич прав. Начат процесс создания общей платёжной инфраструктуры и интеграции национальных систем передачи финансовой информации.
Государства «пятёрки» тесно взаимодействуют в сфере транспорта и логистики, растут объёмы взаимных грузоперевозок, чему во многом помогло дополнительное обустройство и увеличение пропускной способности пограничных переходов между нашими странами. Хотя и здесь, конечно, нужно ещё поработать и есть над чем работать.
В рамках Евразэс сейчас реализуется целый ряд интеграционных инфраструктурных проектов, нацеленных на создание и эффективное использование магистральных международных коридоров «Восток – Запад» и «Север – Юг». И тоже хочу отметить: очень много заинтересованных стран проявляют себя и хотят присоединиться к этим проектам, в том числе и совместно с нами инвестировать в эту работу.
Отмечу, что государства – участники союза продолжают успешно развивать взаимовыгодную промышленную кооперацию. Сегодня мы принимаем решение об учреждении в Евразэс нового специализированного механизма финансирования промышленности. Такой механизм позволит кредитовать и субсидировать перспективные совместные проекты, в том числе связанные с организацией импортозамещающих производств.
Всё более активно продвигается сотрудничество и в сфере энергетики. По итогам нынешнего заседания будет принято решение об учреждении совета руководителей уполномоченных органов государств Евразэс в сфере энергетики. Мы сегодня в закрытом составе достаточно откровенно и предметно говорили, по-моему, взаимное понимание есть, обязательно будем двигаться по выполнению всех наших планов.
Россия, конечно, поддерживает создание такой координационной структуры, о которой я только что сказал, которая профессионально займётся вопросами, связанными с обеспечением национальных экономик на долгосрочной основе ключевыми энергоресурсами и формированием общих энергетических рынков союза. У нас есть планы соответствующие, и мы будем стремиться к их выполнению.
Уважаемые коллеги!
В следующем году председательство, как вы уже отмечали, в Евразийском экономическом союзе переходит к Российской Федерации. Позвольте мне в общих чертах хотя бы изложить намечаемые нами приоритеты в работе.
В первую очередь полагаем необходимым актуализировать стратегические ориентиры развития Евразэс. Действующий базовый документ «Направления развития экономической интеграции» рассчитан на период до 2025 года, и важно приступить к подготовке новых документов стратегического планирования, задающих основные векторы дальнейшего интеграционного взаимодействия на среднюю и долгосрочную перспективу.
В качестве одного из таких векторов рассматриваем укрепление технологического суверенитета государств – членов Евразэс и формирование нашими странами общей инновационной и промышленной базы в ключевых индустриальных и сельскохозяйственных отраслях. Мы в закрытом режиме обсуждали этот вопрос, тоже хочу обратить внимание на то, что было сказано Президентом Белоруссии. У нас в принципе кооперация развивается неплохо, в последнее время наметилась работа такая позитивная по некоторым ключевым важнейшим направлениям взаимодействия. Уверен, что это приобретёт более широкий характер в целом в нашей организации.
Целесообразно продолжать и усилия по совместному внедрению информационных технологий, в том числе в области электронного документооборота, автоматического обмена транспортной и таможенной информацией между ведомствами и перевозчиками государств союза, а также в сфере маркировки и прослеживаемости товаров, где цифровые решения уже помогают пресекать обращение на союзном рынке небезопасной и некачественной продукции.
Также предлагаем сосредоточить работу «пятёрки» на наращивании инвестиционного сотрудничества, создании благоприятных условий для взаимных капиталовложений, упрощении соответствующих административных процедур и повышении гарантий защиты прав инвесторов. Неотъемлемым элементом такой работы считаем гармонизацию режимов налогового регулирования в государствах Евразэс и в этих целях синхронное внедрение передовых механизмов налогового контроля.
И конечно, в ходе председательства намерены заниматься вопросами, связанными с развитием научных, технических и образовательных контактов. Предлагаем коллегам подумать над новыми идеями и инициативами в целях поощрения практики межвузовского сотрудничества, совершенствования программ стажировок и академических обменов. Считаем полезным шире вовлекать молодых специалистов в интеграционную повестку через программы студенческого туризма, популяризацию общих исторических, социальных и этических ценностей, в поддержку совместных молодёжных проектов в сферах предпринимательства, добровольчества, культуры и спорта.
Как вы все не раз подчёркивали, Евразийский экономический союз и в целом наша интеграционная работа привлекает внимание всё большего числа международных игроков, заинтересованность в развитии связей с нашим объединением проявляют многие иностранные государства. Я сейчас не буду всё повторять, я полностью согласен с предложениями коллег по расширению этой работы, в том числе и с региональными структурами, такими как ШОС и АСЕАН.
Россия приветствует активизацию международных деловых связей и контактов Евразийского экономического союза и будет способствовать дальнейшему расширению спектра преференциальных и непреференциальных соглашений с зарубежными партнёрами.
В заключение хотел бы выразить уверенность в том, что и в следующем году государства – участники Евразэс продолжат взаимодействие столь же тесно и конструктивно, как и в ходе киргизского председательства.
Будем рады видеть вас на очередном заседании Высшего Евразийского экономического совета и на Евразийском экономическом форуме, который планируем провести 24–25 мая 2023 года. Как и договорились в узком составе, место нашей совместной работы, встречи мы определим в рабочем порядке.
Конечно, вне рамок нашей сегодняшней работы хочу вам напомнить, что мы вас ждём на согласованной предновогодней неформальной встрече лидеров СНГ в Санкт-Петербурге.
Благодарю за внимание.</t>
  </si>
  <si>
    <t>http://www.kremlin.ru/events/president/news/70058</t>
  </si>
  <si>
    <t>27 мая</t>
  </si>
  <si>
    <t>В.Путин: Уважаемые коллеги, добрый день!
Поддерживаю тех, кто выступал и позитивную оценку давал деятельности Евразийского экономического союза.
Действительно, в рамках Евразэс наращиваются темпы интеграционного строительства, повышается эффективность общих рынков товаров, услуг, капиталов, рабочей силы. Шаг за шагом формируется всеобъемлющее единое экономическое пространство Евразэс.
Как уже отмечалось, 29 мая исполнится восемь лет со дня подписания основополагающего Договора о Евразэс. За это время мы прошли по-настоящему большой путь, развивая сотрудничество на принципах равноправного диалога и взаимного уважения, укрепляли и значительно укрепили наш Евразийский союз. Сделали это действительно эффективно, превратили его в эффективный и влиятельный региональный экономический организм, организацию.
Налицо значительные достижения по ключевым направлениям сотрудничества: в торговле, промышленности, финансах и сельском хозяйстве. И, что самое главное, пользу от интеграционной работы, которой мы последовательно занимаемся, на практике, в своей повседневной жизни ощущают граждане наших стран.
И мы полностью поддерживаем подготовленное решение объявить 29 мая Днём Евразийского союза. Таким образом, в календаре появится новая знаменательная дата, объединяющая наши народы и символизирующая общую приверженность государств Евразэс интеграционному строительству.
Тот факт, что евразийская интеграция приносит реальную отдачу, подтверждают конкретные экономические показатели.
Устойчивыми темпами растёт взаимная торговля между государствами – членами Союза. По итогам 2021 года объём товарооборота, по нашим данным, по данным нашей статистики, прибавил порядка трети и составил 72,6 миллиарда долларов. При этом совокупный валовый внутренний продукт стран Евразэс вырос на 4,6 процента (в России он чуть больше – на 4,7 процента). Прирост промышленного производства составил 5,3 процента, инвестиций в основной капитал – 6,8 процента, объёма выполненных строительных работ – 5,4 процента, ввода в эксплуатацию жилья – 12 процентов, грузооборот вырос на 4,7 процента.
Важно, что наша совместная работа строится в плановом порядке и на системной основе. Последовательно осуществляется программа стратегического развития евразийской экономической интеграции до 2025 года.
Экономические ведомства и регуляторные органы наших стран продолжают усилия по выявлению и ликвидации остающихся ограничений и барьеров на пути свободного движения товаров, услуг, капитала и рабочей силы на внутреннем рынке Евразэс. Только за два последних года снято 30 подобного рода ограничений.
И конечно, сама жизнь диктует необходимость создания действительно безбарьерного, единого рынка на пространстве Евразэс. Мы все убеждены, что более тесная интеграция позволит нашим странам стать экономически сильнее и значительно уменьшить зависимость от внешней, в том числе и политической, конъюнктуры.
Преимущества интеграционного курса особенно очевидны сейчас, в нынешней непростой международной обстановке, в условиях практически агрессии со стороны некоторых недружественных нам государств. Здесь Президент Белоруссии говорил об этом конкретно. Но мы хотели бы отметить, что Правительством России принимаются своевременные решения для стабильного, уверенного функционирования рынков и финансового сектора. Большое внимание оказывается поддержке ключевых отраслей и системообразующих предприятий. Значительно упрощён порядок ведения бизнеса – значительно снижена административная нагрузка, чтобы максимально обеспечить свободу предпринимательства.
Работаем также над повышением доступности финансирования для пополнения оборотных средств, поддержания банковской ликвидности. В этих целях расширяем практику расчётов в национальных валютах в торговле с теми странами, которые на деле доказали, что являются надёжными партнёрами России. К слову, доля платежей в нацвалютах во взаимных расчётах стран Евразэс уже достигла 75 процентов.
Отмечу в этой связи, что по инициативе России евразийской «пятёркой» принят целый ряд срочных антикризисных мер, направленных на минимизацию последствий санкций, на повышение устойчивости наших экономик, укрепление макроэкономической стабильности, помощь предпринимателям и гражданам наших государств.
Так, Евразийской экономической комиссией уже утверждено более 30 антикризисных решений, и это, безусловно, даёт свой эффект.
В сфере таможенного регулирования начиная с марта одобрено три пакета мер по обнулению пошлин на более чем 1600 товарных позиций критического импорта. В результате экономия импортёров за следующие полгода может составить порядка 800 миллионов долларов.
Кроме того, скорректированы требования технических регламентов Союза. Для сдерживания цен Комиссия подняла пороги беспошлинного ввоза товаров для личного пользования до тысячи евро.
Реализуются шаги по импортозамещению и дальнейшему углублению промышленной кооперации стран Союза в стратегических отраслях, включая гражданское авиастроение и фармацевтику.
Готовится межгосударственная программа по расширению электронной вычислительной инфраструктуры стран Евразэс. Продолжается деятельность по цифровизации логистических коридоров, внедрению высокотехнологичных сервисов таможенного администрирования, развитию и повышению качества интернет-торговли.
Полагаю важным и далее уделять особое внимание вопросам обеспечения продовольственной безопасности. Вы знаете, что в мире складывается ситуация непросто. Наши страны вносят очень серьёзный вклад в решение этих проблем, и Россия, и все другие члены нашей организации ведут себя в высшей степени ответственно.
На сегодняшний день наши пять стран за счёт собственного производства полностью покрывают внутренние потребности по ключевым видам продовольствия и сельхозтоваров. Учитывая, что Евразэс – это и крупнейший в мире экспортёр сельхозпродукции, как я уже сказал, в нашей организации предпринимаются все возможные меры, в том числе таможенно-тарифного и нетарифного регулирования, для обеспечения устойчивости цепочек поставок.
Уважаемые коллеги! Вызывает удовлетворение, что, даже несмотря на сложную международную ситуацию, на развязанную так называемым коллективным Западом конфронтацию, на то, что наши недоброжелатели пытаются чинить всяческие препятствия нашей интеграции, всё-таки – и коллеги сейчас об этом говорили – совершенно очевидно для нас всех, что растёт интерес к деятельности Евразийского экономического союза со стороны многих зарубежных партнёров.
В настоящее время – здесь уже перечислялись эти страны – активно ведутся переговоры по заключению полноформатного соглашения о свободной торговле, в том числе и с Ираном. Это соглашение призвано заменить действующее временное соглашение от 2018 года, реализация которого уже заметно сказалась на товарообороте Союза с Исламской Республикой: по итогам 2021 года товарооборот вырос на 73,5 процента – до пяти миллиардов долларов, экспорт из Евразэс увеличился в 2,1 раза – до 3,4 миллиарда долларов.
Чтобы сохранить нынешний преференциальный режим торговли с Ираном до заключения нового соглашения о свободной торговле, мы поддерживаем решение продлить временное соглашение.
Полагаем также целесообразным активизировать переговоры по соглашению о свободной торговле с Египтом, начать аналогичные переговоры с Индонезией и, кроме того, изучить вопрос о заключении преференциального торгового соглашения с Объединёнными Арабскими Эмиратами.
В заключение присоединяюсь к уже прозвучавшим словам благодарности в адрес Президента Киргизии Садыра Нургожоевича Жапарова за организацию нашей работы. Мы отмечаем те усилия, которые Киргизия прикладывает в качестве председателя в Евразийском экономическом союзе для обеспечения эффективной деятельности нашего объединения в нынешнем году, и стремимся оказывать киргизским друзьям всяческое содействие и будем так поступать в будущем.
Хочу вновь подчеркнуть: для России углубление союзнических связей со всеми государствами Евразэс – ключевой приоритет. Очень надеемся, что и наши ближайшие партнёры, включая Узбекистан, изучая все преимущества сотрудничества в рамках организации, будут делать шаги в направлении, удовлетворяющем интересам самого Узбекистана, но и соответствующим образом развивая наше объединение. Мы со своей стороны – хочу подчеркнуть – будем делать всё для поддержки интеграционных процессов на пространстве Евразии.
Благодарю вас за внимание.</t>
  </si>
  <si>
    <t>http://www.kremlin.ru/events/president/news/68494</t>
  </si>
  <si>
    <t>24-25 мая</t>
  </si>
  <si>
    <t>В.Путин: Дорогие друзья, коллеги!
Мы начинаем нашу работу в широком составе, как и договорились. Я, с вашего позволения, начну наши публичные выступления и потом предоставлю слово всем присутствующим. Подведём затем итог нашей дискуссии и перейдём к документам.
Только что мы завершили заседание Высшего Евразийского экономического совета в узком составе: обменялись мнениями по важным аспектам деятельности нашего объединения, наметили стратегические перспективы углубления интеграционного сотрудничества. И теперь, как я уже сказал, продолжим работу с участием делегаций.
Мне приятно отметить, что в сегодняшнем заседании в качестве гостя впервые принимает участие Президент Азербайджанской Республики Ильхам Гейдарович Алиев. Хотел бы поприветствовать его и всю азербайджанскую делегацию, присоединившегося к нам по видеосвязи главу государства – наблюдателя при Евразэс, Президента Узбекистана Шавката Миромоновича Мирзиёева – он на наших экранах, Шавкат Миромонович, приветствуем Вас – и Президента Таджикистана Эмомали Шариповича Рахмона – Эмомали Шарипович, привет, Вы нас видите, слышите. Спасибо, что вы сегодня вместе с нами. Хочу выразить уверенность, что ваши страны будут наращивать продуктивное и многоплановое сотрудничество с «пятёркой».
Символично, что наша встреча проходит в канун празднования Дня Евразийского экономического союза (29 мая), учреждённого решением Высшего совета в прошлом году и знаменующего общую приверженность государств Евразэс дальнейшему развитию интеграции.
С удовлетворением отмечаю, что сотрудничество в рамках Евразийского союза продолжает укрепляться и наше объединение последовательно утверждается в качестве одного из самостоятельных и самодостаточных центров формирующегося многополярного мира. При этом взаимодействие стран «пятёрки» неизменно выстраивается на принципах взаимной выгоды, учёта интересов друг друга и с ориентиром на обеспечение устойчивого экономического роста и улучшение благосостояния жителей всех наших государств.
Именно на достижение этих ключевых целей направлены мероприятия, проводимые российским председательством в организациях Евразэс в текущем году. При этом мы совместно будем стремиться к тому, чтобы в рамках нашего объединения был достигнут одинаково высокий уровень развития.
Ну, за Арменией нам сложно будет угнаться, сегодня мы это уже констатировали, у них рост ВВП составляет 12 с лишним процентов. Это очень высокий, серьёзный показатель.
Надо сделать так, чтобы граждане всех пяти стран, приезжая в другое государство Союза работать, учиться или вести бизнес, чувствовали себя комфортно, как дома. Добиваться этого можно, если поддерживать внутри Союза реальную, стопроцентную свободу передвижения товаров, услуг, финансов и человеческого капитала, обеспечивать сопряжение конкурентных преимуществ наших государств. Как раз на это ориентированы новые базовые документы стратегического планирования Евразэс, которые зададут основные векторы совместных действий на средне- и долгосрочную перспективу в горизонте до 2030 и 2045 годов. Работа над этими документами, охватывающими самый широкий спектр отраслей интеграции, уже ведётся, и мы предлагаем её активизировать, чтобы до конца года выйти на видимые, осязаемые результаты. И рассчитываю на то, что профильные ведомства наших стран будут действовать именно в таком ключе.
Что касается конкретных задач дальнейшего взаимодействия в рамках Евразэс, то прежде всего хотел бы отметить необходимость развития промышленной кооперации, увеличения количества новых совместных производств под общей торговой маркой «Сделано в Евразэс». Важно, чтобы такой новый бренд как можно скорее стал узнаваемым и завоевал популярность потребителей во всех наших странах, а «Евразийский знак качества» на товарах, изготовляемых на территории государств «пятёрки», означал соответствие продукции самым высоким стандартам.
Разумеется, востребованы слаженные усилия по укреплению технологического суверенитета в системообразующих секторах экономики, по достижению подлинной технологической самодостаточности. В практическом плане предложил бы согласовать и реализовать единые приоритеты технологической трансформации и инновационного сотрудничества, которые позволяли бы нашим странам не зависеть по критически значимым отраслям от иностранных технологий и компаний, тем более если мы встречаем определённые тенденции, связанные с ограничением сотрудничества со стороны других стран в этих отраслях. В этом же контексте можно было бы подумать над созданием евразийских технологических альянсов с подключением заинтересованных партнёров из третьих стран. Целью таких альянсов могла бы стать организация на территории наших государств новых наукоёмких высокотехнологичных производств.
На повестке дня и обеспечение цифрового суверенитета Евразэс. Напомню, что процесс налаживания партнёрства «пятёрки» в IT-сфере Россия инициировала ещё в 2017 году. Важно, чтобы государства – члены союза сформировали единую цифровую экосистему, что подразумевало бы интеграцию национальных систем электронных государственных услуг и электронных правительств каждого из участников «пятёрки». Смею вас заверить, что Россия здесь продвинулась достаточно далеко и сделала очень хорошие заделы.
И конечно, общие усилия должны быть направлены на упрочение финансового суверенитета Евразэс путём обеспечения устойчивой кредитно-банковской и расчётной инфраструктуры, развития и гармонизации евразийского финансового рынка. Тем самым будут созданы благоприятные условия для того, чтобы капиталы оставались в границах наших стран и инвестировались в дальнейшее укрепление экономик государств-членов. В этих целях было бы полезно учредить и евразийское рейтинговое агентство, которое обеспечило бы наличие адекватного оценочного инструментария для обслуживания растущей экономической активности на территории Евразии. Здесь, конечно, нужны принципиальные подходы, жёсткие критерии и умение подчиняться этим критериям – сделать так, чтобы эта работа была абсолютно объективной, в этом вся её ценность. Если этого не будет, то тогда в этом просто нет смысла.
Упомяну и о том, что в этом году российским председательством уделяется значительное внимание вопросам, связанным с изменением климата. Синхронизацией подходов «пятёрки» в области климатического регулирования мог бы заняться Климатический и экологический клуб Евразэс, в задачи которого входила бы реализация совместных научных исследований и разработок, внедрение «зелёных» технологий, достижение международного признания евразийских климатических инициатив, улучшение состояния водных экосистем, сохранение биологического разнообразия, геологоразведка и освоение недр, осуществление проектов по переработке мусора и многое другое.
Хотел бы также обозначить новое и, как представляется, многообещающее направление нашей работы: предложил бы добавить к известным четырём свободам (передвижения товаров, услуг, финансов и человеческого капитала в рамках Евразэс) пятую – свободу знаний, которая реализовывалась бы на основе общих принципов и стандартов образования, здравоохранения и государственного управления. Это будет способствовать формированию и развитию общего культурного пространства и, если позволите, общей евразийской идеологии. Мы сейчас только в узком составе достаточно подробно и неформально об этом говорили – о том, насколько это важно для всех нас. Это особенно важно для молодых людей, молодого поколения.
Параллельно следовало бы активнее вести деятельность по популяризации нашего объединения, его достижений и возможностей для граждан государств-членов, гарантировать людям широкий доступ к достоверной информации об идущих интеграционных процессах, а также всемерно содействовать развитию туризма в рамках евразийского интеграционного контура, создавать сети новых туристических маршрутов.
Естественно, нашей общей поддержки требует практика подготовки квалифицированных кадров и открытия новых рабочих мест в наиболее востребованных областях экономики. В этой связи необходимо стремиться к координации национальных образовательных и научных программ, гармонизации требований к профессиям, выработке общих учебных и профессиональных стандартов, запуску совместных образовательных курсов и единых учебников по техническим и другим дисциплинам. Следует также развивать межвузовское сотрудничество, программы стажировок и академических обменов. При этом сведения о таких возможностях должны быть доступны учащимся из всех стран Евразэс.
Хочу отметить, что дальнейшее интеграционное строительство диктует необходимость укрепления, развития и модернизации созданных нами наднациональных инструментов и институтов, в первую очередь Экономической комиссии, которая должна быстро и адекватно реагировать на происходящие в мире изменения и принимать профессиональные решения, нацеленные на защиту наших общих интересов и продвижение взаимовыгодной интеграции.
Можно было бы подумать о том, чтобы наделить Комиссию дополнительными полномочиями, но так, чтобы принцип консенсуса, заложенный в основу принятия всех ключевых решений в рамках Евразэс, оставался базовым, обеспечивая должное уважение к суверенитету каждой из стран – участниц Союза и делая его ещё более привлекательным для наших потенциальных партнёров и участников.
И конечно, Евразэс должен активно развивать отношения со странами, которые стремятся к равноправному, взаимовыгодному партнёрству, я имею в виду наших партнёров в Азии, в Арабском мире, в Африке, в Латинской Америке, имею в виду сотрудничество с многосторонними объединениями, такими как Содружество Независимых Государств, Шанхайская организация сотрудничества, БРИКС и некоторые другие.
Важно продолжать формирование зон свободной торговли с заинтересованными странами, и в том числе предложить им совместно использовать имеющуюся у участников «пятёрки» международную платёжную инфраструктуру в национальных валютах и цифровых валютах центральных банков.
В заключение хотел бы ещё раз поблагодарить всех руководителей стран – членов Евразэс за тесное взаимодействие и взаимную поддержку при решении стоящих перед объединением задач. Хотел бы ещё раз поблагодарить всех, кто присоединился к нам, к нашей работе сегодня, не будучи членом нашей организации – пока. Уверен: действуя и далее сообща и слаженно, мы будем добиваться, обязательно добьёмся новых весомых результатов в развитии интеграционного сотрудничества в интересах наших государств и народов.
Благодарю вас за внимание. И, как у нас принято, по алфавиту – передаю слово Премьер-министру Армении господину Пашиняну Николу Воваевичу.</t>
  </si>
  <si>
    <t>http://www.kremlin.ru/events/president/news/71204</t>
  </si>
  <si>
    <t>25 декабря</t>
  </si>
  <si>
    <t xml:space="preserve">: Уважаемые коллеги, друзья, добрый день!
Я рад всех приветствовать.
У нас сейчас состоялась беседа в узком составе.
А вначале хотел бы поприветствовать Министра промышленности, рудников и торговли Исламской Республики Иран господина Аббаса Алиабади. Я ещё скажу в своём выступлении, хочу отметить, что мы в узком составе отмечали, что сегодня подписано соглашение о сотрудничестве и зоне свободной торговли между Евразэс и Республикой Иран. Думаю, что это очень хороший шаг вперёд, сейчас ещё скажу об этом.
Мы, как я уже сказал, только что завершили заседание Высшего Евразийского экономического совета в узком составе, обменялись мнениями по важным аспектам деятельности нашего объединения, наметили стратегические перспективы углубления интеграционного сотрудничества. В частности, обсуждался вопрос о принятии декларации о дальнейшем развитии экономических процессов в рамках Евразийского экономического союза до 2030 года и на период до 2045 года. Эта идея была поддержана, все члены Высшего совета согласились утвердить декларацию, и соответствующее решение мы формализуем по итогам нашего заседания.
По сути, декларация – это новый документ программного характера, которым предусмотрены шаги по наращиванию совместных усилий в ключевых отраслях, а также определены дополнительные сферы взаимодействия.
Наши министры экономического блока, эксперты и профильные специалисты хорошо поработали над согласованием текста декларации. Документ вобрал в себя видение всех пяти стран союза, того, как дальше должна развиваться евразийская интеграция, полностью отражает мнения и интересы каждого из участников Евразэс и представляется весьма добротным.
На встрече в узком составе подведены основные итоги деятельности Евразийского союза в ходе российского председательства, которое завершится 31 декабря, и российская сторона, безусловно, благодарна всем партнёрам по объединению за конструктивную совместную работу, в том числе по реализации приоритетов нашего председательства. Взаимодействие в рамках союза продолжает развиваться динамично и успешно по всем ключевым направлениям интеграционного строительства, даже несмотря на известные трудности, связанные с непростой международной внешней ситуацией.
С удовлетворением отмечаем, что в текущем году во всех странах – членах объединения фиксируется стабильный рост экономик. Так, у нас в России за первые три квартала ВВП прибавил три процента, а по итогам года ожидается 3,5 процента. Прирост валового продукта, причём весьма значительный, имеется и в других государствах Евразэс. Насколько я знаю, за девять месяцев он составит в Армении более девяти процентов, это очень хороший показатель; в Казахстане – почти пять, да, Касым-Жомарт Кемелевич?
В Киргизии – более четырёх процентов, а в Белоруссии, так же как и в России, – 3,5.
Промышленное производство в Евразэс увеличилось на 3,5 процента. Строительная отрасль выросла на 9,3 процента. Что немаловажно, количество безработных в целом по Евразийскому союзу сократилось на 14,2 процента, а в России безработица вообще находится на минимальном историческом уровне – менее трёх процентов, 2,9.
По имеющимся данным, за девять месяцев текущего года торговля между пятью нашими странами выросла на 8,9 процента. При этом улучшается её структура, увеличиваются поставки готовой высокотехнологичной продукции с одновременным снижением сырьевой составляющей.
Важно, что доля национальных валют во взаимных расчётах превысила 90 процентов. И этот показатель, без сомнения, будет расти и в дальнейшем с учётом принимаемых нашими странами совместных мер в финансовом секторе.
Планомерно расширяется круг преференциальных внешнеторговых партнёров «пятёрки». Сегодня состоялась, как я уже упомянул вначале, церемония подписания соглашения о свободной торговле между Евразэс и Ираном. Хотел бы поздравить всех нас и присутствующего здесь иранского Министра промышленности и торговли господина Алиабади с тем, что завершена работа над этим стратегическим документом.
Исламская Республика Иран является одной из крупнейших экономик Евразийского региона, технологически развитым государством и ключевым звеном южного торгового пути между рынками Евразэс и странами Ближнего Востока и Южной Азии. Поэтому укрепление связей с этой страной принесёт очевидные выгоды как всем участникам нашего объединения, так и самой Исламской Республике Иран.
Как известно, действующее с 2019 года временное торговое соглашение Евразэс с Ираном позволило нарастить встречный товарооборот в два раза, хотя охватывало лишь незначительный перечень товарных позиций. В соответствии же с подписанным сегодня соглашением тарифные льготы будут распространены на более чем 85 процентов товарной номенклатуры и свыше 90 процентов объёмов текущей торговли наших стран с Исламской Республикой Иран. Рассчитываем на оперативное проведение всеми государствами-членами соответствующих ратификационных процедур.
Напомню, что в настоящее время готовятся важные договорённости и с другими, обладающими большим экономическим потенциалом странами. Речь идёт о преференциальном соглашении между Евразэс и Египтом – одним из наших ключевых партнёров в арабском мире и на Африканском континенте, с которым страны Евразийского союза связывают тесные отношения и интенсивные торгово-экономические контакты. Работа над проектом соглашения о свободной торговле с Египтом находится на весьма продвинутой стадии. И мы, безусловно, заинтересованы в том, чтобы как можно скорее выйти на его подписание.
Помимо этого Евразийская комиссия ведёт переговоры с Объединёнными Арабскими Эмиратами и с Индонезией. Формирование зон свободной торговли с этими странами позволит ещё больше нарастить экспортный потенциал Евразэс, увеличить взаимные поставки на рынки дружественных государств и тем самым придаст дополнительный импульс развитию экономик союза, будет укрупнять и будет диверсифицировать наш общий рынок.
В целом с ростом авторитета и экономического веса Евразэс всё больше стран и международных организаций выражают заинтересованность в установлении взаимовыгодных контактов с «пятёркой». У нас уже налажено тесное сотрудничество с такими крупными региональными структурами, как Шанхайская организация сотрудничества и Ассоциация государств Юго-Восточной Азии.
Реальную отдачу приносит и работа по сопряжению интеграционных процессов по линии Евразэс и китайской инициативы «Один пояс – один путь».
Возвращаясь к сотрудничеству непосредственно в рамках Евразэс, хотел бы акцентировать, что целый ряд важных решений в текущем году был принят в сферах промышленной кооперации, локализации производств, по углублению сотрудничества в области сельского хозяйства и продовольственной безопасности.
Напомню, в частности, что на майском саммите Евразэс в Москве мы одобрили запуск специального механизма финансирования, предусматривающего особые льготы для экономических проектов с участием трёх и более стран – участниц союза.
В нынешнем году также утверждены правила взаимной торговли электроэнергией на общем рынке и начал свою работу Совет руководителей органов государств Евразэс в сфере энергетики. По итогам нашего заседания мы утвердим решение о наделении этого Совета дополнительными контрольными полномочиям.
Продолжается интенсивная работа по развитию единой транспортной системы Евразийского союза, включая международный коридор «Север–Юг». В этом смысле опять же возвращаюсь к нашему сотрудничеству с Исламской Республикой Иран, за которой здесь ключевые позиции.
Активизировалось сотрудничество в сфере науки и техники, последовательно укрепляется технологический суверенитет государств Евразэс. Общими усилиями наших стран продвигается цифровая повестка, в том числе создана и успешно развивается интеграционная информационная система, разработаны и применяются единые стандарты обмена данными и правила цифровой коммерции.
Ещё одним шагом вперёд на этом направлении станет подписание нами сегодня протокола о внесении изменений в Договор о Таможенном кодексе Евразэс в части регулирования внешней электронной торговли.
Естественно, повестка нынешнего заседания Высшего совета включает и другие важные вопросы интеграционного взаимодействия, в их числе координация макроэкономической политики, снятие остающихся ограничений и барьеров во взаимной торговле, совершенствование антидемпинговых механизмов, развитие общего рынка услуг, сближение правового регулирования в сфере естественных монополий. Соответствующие договорённости уже согласованы и будут оформлены сегодня нашими решениями.
Дорогие друзья!
С 1 января Россия передаёт председательские функции в Евразэс Армении. Я хотел бы пожелать успехов нашим армянским коллегам и друзьям. Разумеется, окажем им всю необходимую помощь.
Как мы уже не раз отмечали, в будущем году исполняется десять лет заключению основополагающего договора в Евразэс. И мы сейчас в узком составе договорились, учитывая, что это юбилейное мероприятие, все согласились с моим предложением провести в мае 2024 года саммит, посвящённый этому юбилею, в Москве.
Этот саммит откроет новое десятилетие тесной совместной работы по углублению интеграции, повышению благосостояния и качества жизни граждан наших стран. Чёткие ориентиры на этот счёт определены принимаемой сегодня долгосрочной декларацией о дальнейшем развитии экономических процессов в рамках Евразийского экономического союза до 2030 года и на период до 2045-го.
И ещё хотел добавить: к нашему заседанию подготовлены проекты решений об обновлении состава Коллегии Евразийской экономической комиссии и Суда Евразэс. Хочу, пользуясь случаем, поблагодарить всех действующих членов Коллегии, судей и особенно Председателя Коллегии Михаила Владимировича Мясниковича за весомый вклад в развитие Евразийского экономического союза. Он действительно многое сделал, чтобы комиссия работала ритмично, эффективно.
Также хотел бы поприветствовать заступающего с 1 февраля 2024 года на пост главы Коллегии господина Сагинтаева – мы его очень хорошо знаем, – который уже работал членом ЕЭК и, уверен, энергично и без раскачки примется за свои новые обязанности. Он работал и в Администрации Президента Казахстана и был Премьер-министром Казахстана.
Конечно, желаю успехов всему новому составу Коллегии Евразийской комиссии и Суда Евразэс.
Позвольте передать слово Николу Воваевичу Пашиняну, а затем выступят другие участники саммита.
Кроме того, мы просмотрим видеообращение Президента Республики Куба Мигеля Диаса-Канеля Бермудеса как главы государства – наблюдателя при Евразэс. После чего заслушаем доклад Михаила Владимировича Мясниковича и подпишем и утвердим подготовленные проекты.
Благодарю вас за внимание.
</t>
  </si>
  <si>
    <t>http://www.kremlin.ru/events/president/transcripts/73128</t>
  </si>
  <si>
    <t>8 мая</t>
  </si>
  <si>
    <t>В.Путин: Уважаемые коллеги!
Мы договорились, что я начинаю как принимающая сторона.
Хотел бы проинформировать всех, кто присоединился к нашей работе, что только что мы провели заседание Высшего Евразийского экономического совета в узком составе, обменялись мнениями по актуальным темам деятельности нашего объединения, приняли решения, касающиеся дальнейшего углубления интеграционного сотрудничества.
Хотел бы поприветствовать присоединившихся к заседанию в расширенном составе глав государств – наблюдателей при Евразэс: уважаемых президентов Узбекистана, Шавката Миромоновича Мирзиёева, и Кубы – Мигеля Диас-Канеля Бермудеса.
Наша сегодняшняя встреча приурочена к 10-летней годовщине подписания Договора о создании Евразийского экономического союза. Это действительно основополагающий документ, руководствуясь которым страны – участницы объединения совместно проделали масштабную работу по углублению евразийской интеграции, построению общего рынка и формированию уникальной наднациональной системы экономического регулирования.
Благодаря ликвидации множества торговых и административных барьеров обеспечена высокая степень свободы перемещения товаров. Страны «пятёрки» перешли на единые технические, санитарные, ветеринарные и фитосанитарные нормы и стандарты.
Евразийский союз показал свою эффективность перед лицом новых вызовов, в том числе связанных с проводимой некоторыми странами политикой санкций и демонтажа многих базовых устоев международной торговли.
Мы постоянно ведём тонкую настройку институтов и механизмов Евразэс, что позволяет адаптироваться к изменениям и динамично развиваться, несмотря на кризисные явления в глобальной экономике.
Осязаемых результатов удалось достичь в создании благоприятного инвестиционного климата на пространстве Евразэс. Этому способствовали совместные решения по защите капиталовложений, поддержки бизнеса и гарантиям прав предпринимателей.
Многое сделано и продолжает делаться для продвижения промышленной кооперации, импортозамещения и укрепления технологического суверенитета государств – участников объединения. В частности, в прошлом году по инициативе российского председательства был запущен механизм бюджетного финансирования наукоёмких проектов, осуществляемых предприятиями из стран Евразэс.
Большое внимание в Евразийском союзе неизменно уделяется вопросам продовольственной безопасности, развитию агропромышленного комплекса наших государств. Общими усилиями удалось успешно решить задачу самостоятельного, бесперебойного снабжения внутреннего рынка продуктами питания и жизненно необходимыми видами сельхозпродукции.
Из года в год расширяется партнёрство между странами объединения в сфере транспорта и логистики, хорошими темпами растут объёмы взаимных грузоперевозок, чему заметно помогало дополнительное обустройство и увеличение пропускной способности пограничных переходов между нашими государствами.
Отмечу слаженное взаимодействие участников Евразэс по выстраиванию единой транспортной системы, в активную фазу вошла работа по проекту крупнейшего международного коридора «Север – Юг», который обеспечит прямой выход продукции наших стран к портам на побережье Персидского залива и Индийского океана.
Важно, что в реализации транспортных и инфраструктурных проектов по линии Евразэс нами задействуются самые современные технические средства. Для отслеживания, контроля и безопасности грузоперевозок применяются высокотехнологичные навигационные пломбы, широко внедряются электронные товаросопроводительные документы и другие цифровые решения.
В целом цифровизация стала одним из приоритетов интеграционной повестки. В рамках Евразэс успешно развивается единая информационная система, аккумулирующая сведения о внешнеэкономической деятельности. Разработаны и применяются унифицированные стандарты обмена электронными данными, действуют согласованные правила цифровой коммерции. Повысить эффективность общего рынка и сделать бизнес-процессы ещё более быстрыми и удобными для предпринимателей и потребителей помогло бы взаимное признание используемых в странах Евразэс электронных подписей.
Новым и весьма перспективным направлением представляется взаимодействие по защите окружающей среды и борьбе с климатическими изменениями. На уровне экспертов началась выработка единых подходов к решению актуальных задач в этой сфере.
Уважаемые коллеги!
Как не раз подчёркивалось, Евразийский экономический союз и вся наша интеграционная деятельность привлекает внимание всё большего числа международных игроков. Заинтересованность в развитии связей с нашим объединением проявляют многие иностранные государства и крупные региональные структуры, такие как Содружество Независимых Государств, Шанхайская организация сотрудничества и Ассоциация государств Юго-Восточной Азии.
Планомерно расширяется и круг преференциальных внешнеторговых партнёров Евразэс. Эффективно реализуется торговое соглашение с Китайской Народной Республикой. Реальную отдачу приносит работа по сопряжению интеграционных процессов по линии Евразийского союза и китайской инициативы «Один пояс, один путь».
Договорённости о либерализации торговли действуют также с Сербией, Ираном, Вьетнамом. На стадии подготовки – соглашения с такими обладающими большим экономическим потенциалом странами, как Египет, Индонезия, Объединённые Арабские Эмираты.
К сегодняшнему заседанию подготовлен проект решения о начале переговоров о заключении временного торгового соглашения с Монголией, с которой страны Евразэс связывают тесные добрососедские отношения и интенсивные торгово-экономические контакты.
Нам предстоит утвердить и целый ряд других важных решений, а значит, нынешнее юбилейное заседание Высшего Евразийского экономического совета – это не только подведение итогов совместной работы за прошедшее десятилетие, но и ещё один конкретный шаг по пути углубления интеграции.
Напомню в этой связи, что в декабре прошлого года в Санкт-Петербурге мы определили перспективы развития нашего объединения до 2030 года и на период до 2045-го, приняли соответствующую декларацию, которая теперь подкрепляется содержательными, практическими договорённостями.
В заключение хотел бы ещё раз поблагодарить всех участников этой встречи за тесное сотрудничество и взаимную поддержку. Уверен, действуя и далее сообща и слаженно, мы добьёмся новых весомых результатов в развитии Евразийского союза и всех наших государств.
Позвольте передать слово Премьер-министру Армении Николу Воваевичу Пашиняну, который будет вести наше заседание как председатель Высшего Евразийского экономического совета в текущем году.
Спасибо большое.</t>
  </si>
  <si>
    <t>http://www.kremlin.ru/events/president/transcripts/73992</t>
  </si>
  <si>
    <t>Ленинградская область</t>
  </si>
  <si>
    <t>В.Путин: Никол Владимирович должен быть на связи. Добрый день. Я, с Вашего позволения, скажу несколько вступительных слов, а потом Вам как председателю передам слово.
Уважаемые коллеги!
Рад всех вас приветствовать на заседании Высшего Евразийского экономического совета.
Сегодня по традиции подведём итоги уходящего года, рассмотрим целый ряд подготовленных для утверждения Советом новых, важных решений, направленных на дальнейшее углубление сотрудничества в рамках Евразэс в самых разных сферах. Разумеется, обсудим и текущие вопросы интеграционного строительства, а также наметим планы на перспективу.
Договору об учреждении Евразийского экономического союза в нынешнем году исполняется 10 лет, и этой юбилейной дате было посвящено заседание Высшего Евразийского экономического совета в мае в Москве.
Наше объединение утвердилось в качестве одного из самостоятельных и самодостаточных центров формирующегося многополярного мира и продолжает динамично развиваться. Деятельность Евразийского союза способствует расширению торговли и инвестиционных обменов, наращиванию деловых контактов, углублению кооперационных связей, а главное, интеграционное взаимодействие приносит реальную выгоду каждому из участников нашего объединения, на деле помогает обеспечивать стабильный, устойчивый рост как экономик государств «пятёрки», так и Евразийского региона в целом, ведёт к повышению качества жизни и благосостояния граждан наших стран.
Подчеркну, Россия высоко ценит взаимовыгодное многоплановое сотрудничество с партнёрами по Евразэс, и мы искренне заинтересованы в активизации совместной работы по всестороннему укреплению нашего интеграционного объединения. Убеждён, что все присутствующие коллеги разделяют такой настрой, поэтому рассчитываю, что наше заседание будет продуктивным и по-настоящему деловым.
И, как я уже сказал, в самом начале, после приветственных слов передаю ведение нашего сегодняшнего мероприятия Премьер-министру Республики Армения Николу Воваевичу Пашиняну, который по видеосвязи с нами и как действующий председатель Высшего Евразийского экономического совета будет вести наше заседание. Пожалуйста, Николай Владимирович.
Благодарю за внимание.</t>
  </si>
  <si>
    <t>http://www.kremlin.ru/events/president/news/75948</t>
  </si>
  <si>
    <t>27 июня</t>
  </si>
  <si>
    <t>ключевые итоги***</t>
  </si>
  <si>
    <t xml:space="preserve">Минск </t>
  </si>
  <si>
    <t>Развитие сотрудничества в объединении не может не радовать, темпы роста экономик союза выше среднемировых: более 4% против 3,3%.
Следующая встреча глав государств ЕАЭС пройдет в Санкт-Петербурге перед Новым годом.
Участники саммита в Минске обсуждали санкции только вскользь.
Уровень инвестиций в России растет, несмотря на известные сложности.</t>
  </si>
  <si>
    <t>https://ria.ru/20250627/putin-2025893527.html</t>
  </si>
  <si>
    <t xml:space="preserve">Санкт-Петербург </t>
  </si>
  <si>
    <t xml:space="preserve">
дорогие друзья. как отметили выступившие коллеги, наше сотрудничество в рамках евразийского экономического союза развивается весьма успешно.
00:11
на деле способствует экономическому росту стран- участниц, повышшению доходов бизнеса, а главное- улучшению качества жизни и благосостояния людей.
00:22
так, в текущем году наши экономики демонстрируют уверенную позитивную динамику, растет совокупный ввп.
00:31
и, конечно, чемпионом, я думаю, у нас является кыргызстан с таким заметным ростом десять с лишним процентов валового внутреннего продукта.
00:41
конечно, это очень хороший показатель. мы поздравляем и президента кыргызстана, и всю его команду с этим результатом.
00:52
при этом, что касается нашего союза, совокупный суммарный объем сельхозпродукции.
00:58
скажем, производства сельхозпродукции вырос на два с лишним процентов, розничная торговля- на три, строительства- на четыре и семь.
01:06
доля энергетического экспорта из россии в страны евразэс в этом году выросла почти на двадцать процентов- до тридцати двух миллиардов долларов.
01:16
из совокупного товарооборота- семьдесят три миллиарда долларов за десять месяцев.
01:22
в евразийском союзе налажена устойчивая и независимая от внешнего влияния платежная инфраструктура.
01:29
причем практически все взаиморасчеты выполняются в национальных валютах.
01:35
их доля в коммерческих операциях между государствами евразэс составляет девяносто три процента.
01:42
особо отмечу, что нами реализована рассчитанная на пять лет стратегия евразийской экономической интеграции.
01:51
как результат, устранены многие торговые барьеры, гармонизированы нетарифные регулирования и административные процедуры, улучшена координация в сфере таможенного, таможенной и налоговой политики, запущен механизм поддержки кооперационных проектов.
02:10
дальнейшая интеграционная работа должна выстраиваться на основе одобренной ранее декларации евразийский экономический путь наперед до две тысячи сорок пятого года и в ее развитие сегодня будет утверждена дорожная карта.
02:25
кроме того, на рассмотрении высшего совета вынесен ряд важнейших интеграционных решений.
02:31
они касаются проведения согласованной макроэкономической политики, повышения эффективности технического и ветеринарно- санитарного надзора, либерализации условий сотрудничества в строительном секторе.
02:47
отдельно упомянул проект распоряжения о дальнейших шагах по формированию в евразийском союзе общего финансового рынка.
02:54
речь идет об одном из ключевых направлений интеграционной повестки- о том, чтобы облегчить доступ наших инвесторов к ценным бумагам и фондовым биржам на всем пространстве евразэс, создать оптимальные условия для допуска бизнеса и предприятий кредитным средствам и другим банковским продуктам, а также услугам страхования.
03:20
напомню в этом контексте, что в рамках нашей организации учреждена и действует евразийская перестраховочная компания, которая обеспечена солидным капиталом и призвана поддерживать торговые сделки между нашими странами, и ее возможности нужно задействовать полнее.
03:40
еще один интеграционный приоритет- укрепления транспортного каркаса евразэс.
03:45
со следующего года в евразийском союзе начнется постепенное внедрение навигационных пломб, которые позволяют отслеживать перевозки грузов по территории стран участия в режиме реального времени, гарантируя максимальную прозрачность логистических операций.
04:05
также предлагаем партнерам по евросоюз присмотреться и к опыту использования в рамках союзного государства россии и белоруссии электронных транспортных накладных.
04:15
их применение заметно упростило грузоперевозки, помогло снизить издержки при транспортировке и досмотре товаров.
04:24
многообещающей сферой интеграции является туризм. принимаемая нами сегодня концепция развития сотрудничества на этом направлении содержит конкретные ориентиры по увеличению туристических потоков внутри евразийского союза.
04:40
планируется создание новых трансграничных и международных туристических маршрутов.
04:46
уважаемые коллеги. все больше стран и многосторонних структур выражают готовность выстраивать взаимоотношения с нашим объединением продолжает расширяться круг преференциальных внешнеторговых партнеров евразэс.
05:02
коллеги уже говорили, я позволю себе повторить: в нынешнем году вступило в силу договоренность о свободной торговле с ираном, заключены новые торговые соглашения с объединенными арабскими эмиратами, с монголией.
05:16
сегодня состоится подписание аналогичного документа между евразэс и индонезией.
05:22
оно установит режим свободной торговли в отношении свыше девяноста процентов товарной номенклатуры и порядка девяносто пяти процентов взаимного товарооборота.
05:34
тем самым откроются хорошие перспективы для углубления многопланового взаимодействия стран пятерки с одной из крупнейших и наиболее динамично развивающихся экономик азии и всего мира.
05:50
значительно улучшаться условия доступа произведенные в евразийском союзе продукции на емкие рынки азиатско- тихоокеанского региона в целом общее экономическое пространство евразэс.
06:04
уже заключенные нами преференциальные соглашения, зона свободной торговли снг вместе охватывают огромный рынок в семьсот тридцать миллионов потребителей.
06:17
при этом в проработке находится еще и преференциальное соглашение с индией- страной, проводящей суверенную внешнюю политику, надежным партнером с рынком на полтора миллиарда человек и около четырех триллионов долларов ввп.
06:39
первый раунд консультации по тексту соглашения прошел месяц назад.
06:43
отмечу, что в ходе нашего недавнего государственного визита в нью- дели индийская сторона выразила готовность активизировать процесс согласования этого важного документа.
06:55
сегодня на рассмотрение высшего совета также вынесено решение о начале переговоров с узбекистаном по соглашению об обмене информацией о товарах и транспортных средствах, перемещаемых через таможенные границы евразийского союза.
07:10
это вполне естественный шаг, ведь все государства евразэс поддерживают с узбекистанцами друзьями самые тесные добрососедские отношения и интенсивные торгово- экономические контакты.
07:23
и в заключение хотел бы, пользуясь случаем, и выразить признательность александра григорьевича лукашенко и всем белорусским нашим друзьям, коллегам за конструктивный и инициативный подход к выполнению председательских функций в евразэс и хорошую организацию нашей совместной работы в уходящем году.
07:41
и, конечно, желаю успеховкаеву, всем нашим казахстанским коллегам, заступающим с первого января на председательскую вахту вразэс.
07:53
безусловно, готовы. будем оказывать все необходимое, желаемое содействие.
07:58
ну и, конечно же, как и другие коллеги, выступавшие до меня, поздравляю вас всех с наступающим новым годом.</t>
  </si>
  <si>
    <t>https://yandex.ru/video/preview/9502122485974629429</t>
  </si>
  <si>
    <t>Сумма по РФ</t>
  </si>
  <si>
    <t>Беларусь</t>
  </si>
  <si>
    <t>Лукашенко</t>
  </si>
  <si>
    <t>Александр Лукашенко признал, что переговоры на заседании Высшего Евразийского экономического совета были непростыми. По его мнению, это естественно, поскольку спектр вопросов функционирования ЕАЭС, старт которому будет дан уже через 8 дней, весьма широк, а поставленные задачи амбициозны.
"В результате открытого и, скажу прямо, непростого разговора мы постарались найти точки соприкосновения и развязки по наиболее животрепещущим темам, в том числе по тем, которые в последнее время не сходят со страниц средств массовой информации и обрастают, как это часто бывает, различными домыслами. Сам факт того, что на уровень президентов был вынесен 21 вопрос, притом по экономическим проблемам, говорит о напряженной работе, которая ведется на интеграционной площадке, о масштабе решаемых сегодня задач", - отметил Глава белорусского государства.
Президент Беларуси считает, что плюсы Союза очевидны, а потому остановился на проблемных моментах.
В частности, нерешенным остается вопрос свободного движения товаров, которого в полном объеме как не было, так и нет. Кроме того, до сих пор между российской и белорусской сторонами не обеспечено взаимное предоставление наиболее благоприятных национальных режимов доступа к государственным закупкам, хотя сделать это следовало еще с 1 января 2012 года. 
"Вы - журналисты - хорошо знаете, что происходило на границе России с Беларусью с августа этого года. Сами подробно информировали о предмете прошедших в ноябре-декабре в наших столицах многочисленных двусторонних консультаций на разных уровнях. Правда, информировали об одном и том же по-разному", - сказал Глава белорусского государства.
"Вот и ответьте на вопрос: есть ли на сегодняшний день между нами реальная либерализация условий торговли?" - сказал Президент Беларуси.
Александр Лукашенко обратил внимание и на другую сторону медали в существующих разногласиях, которые, как надеется Президент Беларуси, временны.
"Россельхознадзор ввел ограничения на поставку продукции белорусских предприятий в Российскую Федерацию. Более того, вопреки всем международным нормам нам запретили транзит товаров с белорусской территории! Это все сделано в одностороннем порядке без каких-либо консультаций, минуя Евразийскую экономическую комиссию!" - отметил Глава белорусского государства. "Более того, как стало известно в результате сегодняшних переговоров с Владимиром Владимировичем, и без его согласия", - добавил белорусский лидер.
"Отсюда вывод: четкого механизма взаимодействия и контроля в рамках единого таможенного пространства пока в полном объеме нет. А самое грустное - от ЕЭК не просматривается никакого стремления хоть как-нибудь изменить ситуацию, - сказал Глава белорусского государства. - Представляется, что комиссия фактически дистанцировалась от решения действительно чувствительных проблем".
Александр Лукашенко констатировал, что отношения внутри Таможенного союза и ЕЭП проходят через серьезнейшие испытания.
"Есть вопросы, однозначных ответов на которые, к сожалению, пока нет. А время их уже настоятельно требует", - отметил Президент Беларуси. 
В январе-сентябре 2014 года объем взаимной торговли государств - членов Таможенного союза и ЕЭП сложился на уровне $42,8 млрд, что составляет лишь 89,5% к аналогичному периоду прошлого года. "Промедление с принятием на данном этапе жизненно важных решений может обернуться не только потерей динамики объединительных процессов, но и откатом назад, чего народы наших государств современным политикам не простят, особенно учитывая нашу практику работы в СНГ. Второго СНГ народы не потерпят", - сказал белорусский лидер.
Любой союз должен работать на благосостояние своих граждан, подчеркнул Александр Лукашенко. "Сегодня каждой из сторон исключительно важно выдержать разумный баланс между национальными приоритетами и межгосударственными обязательствами. А всем вместе - добиться желаемой эффективности от Евразийской экономической комиссии. Потенциал стран - членов Союза велик. Сближение лишь умножает наши силы, - считает Президент Беларуси. - А значит, движение, как сейчас модно говорить, на интеграционном треке должно быть продолжено. Другого пути у нас нет". 
Александр Лукашенко также подчеркнул готовность к продолжению равноправного взаимовыгодного диалога по любым вопросам и выразил уверенность, что так же будет выражена и позиция партнеров.
 https://president.gov.by/ru/events/rabochij-vizit-v-rossijskuju-federatsiju-10519</t>
  </si>
  <si>
    <t>https://president.gov.by/ru/events/rabochij-vizit-v-rossijskuju-federatsiju-10519</t>
  </si>
  <si>
    <t>Как отметил Александр Лукашенко, ЕврАзЭС достойно выполнило свою роль, пройден большой и сложный путь интеграционного строительства. "Самое главное, что ЕврАзЭС явилось фундаментом для создания Таможенного союза и Единого экономического пространства, которые, в свою очередь, заложили основы будущего Евразийского экономического союза, - сказал Глава белорусского государства. - Поэтому сегодняшние решения об изменении формата нашего взаимодействия - это адекватное отражение современных тенденций интеграции на постсоветском пространстве". "Сегодня мы проводим наше заседание в условиях, когда Евразийский экономический союз де-факто занял свою нишу в мировой экономической и даже политической повестке дня. Мы де-юре завершаем формирование крупнейшего общего рынка на евразийском пространстве", - сказал белорусский лидер.
Александр Лукашенко обратил внимание, что Беларусь, Казахстан и Россия проинформировали мировое сообщество о практически синхронной ратификации парламентами стран Договора о ЕАЭС, который вступит в силу с 1 января 2015 года</t>
  </si>
  <si>
    <t>https://president.gov.by/ru/events/zasedanija-mezhgosudarstvennogo-soveta-evrazes-i-vysshego-evrazijskogo-ekonomicheskogo-soveta-na-urovne-glav-9979</t>
  </si>
  <si>
    <t xml:space="preserve"> Уважаемые коллеги!
Сегодня мы собрались, чтобы обсудить ход работы над проектом договора о Евразийском экономическом союзе.
Учитывая, что Президент России очень подробно изложил ситуацию вокруг Единого экономического пространства, охарактеризовал направления нашей работы по формированию договора, я ограничусь только несколькими проблемами, которые надо решать. И изложу свою позицию с точки зрения Белоруссии, как мы это видим.
Мы планировали собраться в середине марта. Но эксперты после работы в Астане нас подтолкнули к тому, чтобы мы решили ряд вопросов на нашем уровне, чтобы дать им возможность работать более активно. В противном случае, как они сказали, можем не успеть к середине этого года создать мощный правовой механизм нашего экономического союза. Поэтому мы перенесли немного эту встречу. Наверное, правильно сделали. Это даст возможность комиссии и специалистам пару недель уже иметь в резерве, для того чтобы подготовить договор к рассмотрению на высшем уровне.
На предыдущей встрече в Москве нами определены вопросы для дополнительной проработки. Перед экспертами поставлена задача – завершить работу по их согласованию. Как меня информировали, в подготовке документов удалось продвинуться вперёд, но отдельные аспекты всё же требуют решения на нашем уровне, о чём я только что сказал.
Надеюсь, что в ходе сегодняшней встречи нам удастся найти взаимоприемлемое решение, чтобы подписать договор в согласованные сроки. Мы не можем повторить тот печальный опыт, который был характерен для нас в рамках СНГ. Мы очень много говорили об СНГ. Говорили-говорили и заговорили.
Люди ждали от нас шагов по формированию в рамках СНГ нормальных отношений и союза. Не получилось. И у людей очень большая настороженность, чтобы это не произошло с нашим Таможенным союзом и Единым экономическим пространством. У нас просто нет выбора и нет выхода: мы должны в заявленные сроки подготовить договор и в заявленные сроки его подписать. В противном случае нас люди не поймут.
Хотел бы отметить два момента, принципиальных для Беларуси и, наверное, важных для всех наших стран. Во‑первых, в нашем интеграционном проекте мы должны выйти на конкретные результаты. Таким результатом является завершение создания Таможенного союза без каких‑либо ограничений и изъятий. В этом вопросе стороны продвинулись дальше всего.
Фактически остались изъятия лишь по некоторым, однако весьма чувствительным товарам, включая алкоголь, табак, лекарства, нефть, газ. И нам необходимо принять по ним принципиальное решение.
Однако появились подходы, когда отмену изъятий по товарам начали увязывать с отменой изъятий по услугам, капиталу, рабочей силе. Наша принципиальная позиция – создание Евразийского экономического союза должно базироваться на полномасштабном Таможенном союзе, без изъятий, в том числе без пошлин, количественных ограничений или чего‑то другого.
Свобода движения товаров должна стать примером для решения задач по реализации остальных трёх свобод. Без этого будущий экономический союз лишится прочного фундамента. Одновременно мы продолжаем целенаправленно работать над реализацией тех договорённостей, которые закреплены в базовых соглашениях Единого экономического пространства.
Во‑вторых, по проекту договора. Позиция белорусской стороны по отдельным положениям институциональной части договора была изложена в ходе нашей предыдущей встречи в Москве. Эксперты ведут работу по её согласованию. Думаю, нет необходимости возвращаться к этому вопросу и теперь.
Приоритетным направлением интеграционного взаимодействия стал учёт интересов бизнес-сообщества. Евразийская экономическая комиссия наладила сотрудничество с объединениями деловых кругов наших стран, консультируется с предпринимателями по вопросам совершенствования нормативной базы Таможенного союза и Единого экономического пространства.
Функциональная часть договора, о которой только что говорил Президент России, совершенствуется, идёт работа. Хотя эта работа активизировалась, однако готовность проекта оценивается всё теми же экспертами примерно 70–80 процентами, о которых были проинформированы на нашей прошлой встрече.
Сближения по наиболее чувствительным позициям для каждой из сторон практически не произошло, в том числе по формированию общего энергетического рынка, либерализации автомобильного транспортного рынка, доступу к газотранспортной системе, правилам субсидирования сельского хозяйства стороны постоянно выдвигают новые предложения, которые могут размыть уже имеющиеся договорённости.
Поэтому предлагаю в нашей дальнейшей работе по проекту договора руководствоваться следующим подходом. Совершенствовать нормативно-правовую базу ЕЭП при согласии с предлагаемыми изменениями всех трёх сторон. Если же кто‑то против, то включать в проект договора нормы соглашений ЕЭП в их неизменном состоянии, которые есть сегодня, чтобы не допустить отхода, отката назад, потому что по некоторым позициям эксперты нам говорят о том, что это уже происходит при обсуждении. В противном случае мы рискуем неоправданно затянуть процесс подготовки договора и, соответственно, начало работы Евразийского экономического союза.
Вот два принципиальных момента, на наш взгляд, по которым мы должны принять решения и более активно двигаться в направлении создания нашей экономической системы, экономического союза.
Будем откровенно говорить, события в мире нас очень активно подталкивают к тому, чтобы этот процесс ускорять. Нам, наверное, меньше надо посматривать по сторонам, а заниматься своими делами, своими государствами, тогда нас и уважать будут, и ценить будут.
Благодарю.</t>
  </si>
  <si>
    <t>http://www.kremlin.ru/events/president/news/20377</t>
  </si>
  <si>
    <t xml:space="preserve">Москва </t>
  </si>
  <si>
    <t xml:space="preserve"> Уважаемые участники заседания!
Ещё раз от имени всех сегодня присутствующих на заседании мы благодарим руководство России, Президента России за приём, атмосферу, которая создана в преддверии нашего главного великого праздника – 70-летия Победы в Великой Отечественной войне.
В эти майские дни Евразийская экономическая комиссия подготовила достаточно обширную повестку дня. Это позитивный знак того, что все наши конструктивные, а нередко и критические пожелания Комиссией услышаны, оперативно приняты в разработку и стали для неё руководством к действию. Надеюсь, что и практические результаты, в том числе по устранению изъянов, созданию условий для роста взаимного товарооборота также не заставят себя ждать.
Мы проводим первое заседание Высшего Евразийского экономического совета после вступления в силу Договора о Евразийском экономическом союзе. Для белорусской стороны этот этап является наиболее ответственным в связи с нашим председательством в союзе. Мы отмечаем, что наши инициативы, инициативы других членов нашего союза поддержаны и нашли своё отражение в повестке дня сегодняшнего заседания. Нам предстоит принять решения по ряду важнейших вопросов функционирования союза.
В первую очередь это, конечно, согласование протоколов по присоединению наших киргизских партнёров к Договору о Евразийском экономическом союзе. Менее полугода понадобилось, чтобы «четвёрка» превратилась теперь уже, я полагаю, в «пятёрку».
Комиссия предлагает ещё одно важное решение о начале переговоров с Китайской Народной Республикой по развитию взаимодействия в торгово-экономической сфере. Это отдельный вопрос. Весьма символично, что этот документ принимается в период официального визита главы Китайской Народной Республики Си Цзиньпина в Россию и накануне его государственного визита в Беларусь, который состоится с 10 по 12 мая 2015 года.
И хочу напомнить, что Си Цзиньпин также посетил Казахстан и провёл там серьёзные переговоры с вновь избранным Президентом Казахстана. На повестке у нас также утверждение концепции формирования общего электроэнергетического рынка, программы либерализации каботажных перевозок, а также продолжение работы по либерализации рынка услуг.
Хочу отметить, что, функционируя всего четыре месяца, наш союз уже приобрёл очертания крепкого интеграционного объединения, несмотря на весьма сложные стартовые условия. В определённом смысле экономический кризис подстегнул интеграционные процессы и способствовал повышению эффективности и слаженности нашей работы. Думаю, что мы будем и дальше двигаться в этом направлении.
Уважаемые друзья!
Согласно нашей договорённости, возможны краткие выступления присутствующих здесь членов нашего союза. Если принимается такой порядок, то каждый может и должен выступить. Есть желающие? Тогда, как и принято, согласно русскому алфавиту, пожалуйста, Серж Азатович, Вам слово.</t>
  </si>
  <si>
    <t>Подводя итоги саммита, Президент отметил, что на заседании в узком составе было принято решение, что Россия и Казахстан серьезнейшим образом поработают на границе с Кыргызстаном и сделают максимум, чтобы народ этой страны почувствовал, какую пользу он имеет от ЕАЭС. 
Глава государства выразил уверенность, что это принесет солидную пользу Кыргызстану, в том числе по поставкам на общий рынок мясной продукции и других товаров. "В ближайшее время, я думаю, до нового года, эти вопросы будут не просто изучены, а продвинуты, и Кыргызстан не пожалеет, что он вступил в наш единый экономический союз", - добавил Александр Лукашенко.
Повестка Высшего Евразийского экономического совета включала 15 вопросов, и все они были рассмотрены на заседании в узком составе. Так, было принято решение, что с 1 февраля 2016 года в Евразийской экономической комиссии будет председательствовать Армения, а ее бывший премьер-министр  Тигран Саркисян возглавит ЕЭК.
Александр Лукашенко добавил, что участники заседания вышли за пределы повестки, обратившись к насущным темам развития ЕАЭС. https://president.gov.by/ru/events/zasedanie-vysshego-evrazijskogo-ekonomicheskogo-soveta-12376</t>
  </si>
  <si>
    <t>https://president.gov.by/ru/events/zasedanie-vysshego-evrazijskogo-ekonomicheskogo-soveta-12376</t>
  </si>
  <si>
    <t>не полный текст речи</t>
  </si>
  <si>
    <t>Главы государств уделили первостепенное внимание возможным последствиям вступления в силу договора о зоне свободной торговли между Украиной и ЕС с 1 января 2016 года.
Как отметил Александра Лукашенко, не только Россия, но и остальные члены ЕАЭС демонстрируют озабоченность по этому поводу. Российская сторона вела переговоры с Евросоюзом на эту тему. Как было сегодня доложено главам государств, никаких договоренностей пока нет. "Есть опасение, что и разговора больше не будет до 1 января, - сказал Президент Беларуси. - Поэтому может сложиться ситуация, когда товар Украины будет замещен товаром Евросоюза, а их товар хлынет на нашу территорию". Еще большие опасения вызывает то, что товар Евросоюза, попав в Украину по нулевой пошлине, благодаря зоне свободной торговли с СНГ может попасть на территорию всего Содружества, если этот рынок не будет защищен. https://president.gov.by/ru/events/zasedenie-vysshego-evrazijskogo-ekonomicheskogo-soveta-12780</t>
  </si>
  <si>
    <t>https://president.gov.by/ru/events/zasedenie-vysshego-evrazijskogo-ekonomicheskogo-soveta-12780</t>
  </si>
  <si>
    <t xml:space="preserve">не участвовала </t>
  </si>
  <si>
    <t>Уважаемые друзья!
Позвольте мне также поблагодарить Нурсултана Абишевича, хозяев за гостеприимство и высокий уровень подготовки нашего мероприятия.
Два года назад мы подписали Договор о Евразийском экономическом союзе. За это время были приняты серьёзнейшие концептуальные решения: заложены основы либерализации транспортных услуг, формирования единого рынка электроэнергии, экспортной политики. К сожалению, не всё развивается так, как мы планировали. Проблемы ещё остаются, самые острые из них мы сегодня обсудили.
Прежде всего, необходимо перевести теоретические наработки в практическую плоскость. Во‑первых, следует избавиться от внутренних изъятий и ограничений во взаимной торговле. Как бы наше объединение ни эволюционировало: сначала Таможенный союз, затем Единое экономическое пространство, наконец Евразийский экономический союз, – количество этих изъятий и ограничений не изменилось, так и осталось на уровне шести сотен. Равные экономические условия для государств – участников ЕАЭС и безбарьерная среда до сих пор не созданы. Более того, после подписания договора наш внутренний торговый оборот только падает. В 2012–2013 годах он был на уровне 65 миллиардов долларов, в 2015 году – всего 45 миллиардов долларов. Видимо, не все позиции договора соответствуют современной ситуации в экономике и нашим ожиданиям.
Во‑вторых, нереализованной остаётся инициатива о выработке механизма функционирования ЕАЭС в условиях применения одним из государств-членов односторонних мер защиты рынка в отношении третьих стран.
Третье. В сентябре прошлого года на заседании Евразийского межправительственного совета приняты основные направления промышленного сотрудничества. Мы определились с параметрами согласованных мер по поддержке национальных производителей, наметили ориентиры взаимодействия в развитии экспорта промышленной продукции. Теперь необходимо активно приступить к практической реализации поставленных нами же задач.
Четвёртое. Нами сделаны первые шаги по интеграции в энергетической сфере, выработана и утверждена концепция формирования общего рынка электроэнергии. Сегодня мы рассмотрели такие же планы по газу, нефти, нефтепродуктам. Но от концепций до их воплощения в жизнь путь иногда бывает очень долгим. И причиной тому мы являемся сами. Поэтому нашей комиссии необходимо усилить работу в этом направлении, принять исчерпывающие меры для реализации указанных проектов.
Наряду с этим давно обсуждается вопрос о создании единого рынка лекарственных средств и медицинских изделий. Однако и здесь дальше разговоров дело не пошло.
В сегодняшней повестке дня многие вопросы связаны с определением места нашего союза в мировой экономической системе. И всё, что я сказал прежде, нужно для того, чтобы уверенно вести диалог с внешними партнёрами. Для этого нам необходимо сформировать собственный высокоразвитый единый рынок. Нам надо самим быть сильными, надо укреплять всячески свой союз, тогда нам легче будет вести диалог и с Европейским союзом, и с Китайской Народной Республикой, и с другими, тогда мы будем сильными и будем выступать с единых позиций. Пока этого нет. А без этого Евразийский экономический союз не сможет эффективно реализовывать как внутреннюю, так и внешнюю политику.
Благодарю Вас.
Н.Назарбаев: Благодарю Вас, Александр Григорьевич, за Ваши замечания. Это надо в работе комиссии учесть.
Слово предоставляется Президенту Кыргызской Республики Атамбаеву Алмазбеку Шаршеновичу.</t>
  </si>
  <si>
    <t>http://www.kremlin.ru/catalog/persons/119/events/52049</t>
  </si>
  <si>
    <t xml:space="preserve">14 апреля </t>
  </si>
  <si>
    <t>важаемые члены Высшего Евразийского экономического совета! Уважаемые участники заседания!
Прежде всего хочу поздравить и поблагодарить киргизских коллег с успешным началом работы нашего саммита в Бишкеке: география нашего союза расширяется.
Построение единого экономического пространства, задач, которые заложены в Договоре о ЕАЭС, находят понимание и отклик у других государств региона. Свидетельством тому является повестка дня сегодняшнего заседания: заявление Президента Молдовы Игоря Николаевича Додона и стремление многих государств образовать в ЕАЭС свободную экономическую зону.
Президент Белоруссии Александр Лукашенко на заседании Высшего Евразийского экономического совета.
Президент Белоруссии Александр Лукашенко на заседании Высшего Евразийского экономического совета.
Однако одно дело – закрепить здравые идеи в документе; совсем другое – претворить в жизнь. Здесь у союза достаточно нерешённых проблем. В 2016 году нам не удалось остановить снижения взаимного товарооборота и устранить причины, приведшие к этому. Я не говорю о других проблемах, это основная, поскольку у нас экономический союз.
Поэтому полностью поддерживаю призыв Президента Кыргызстана Алмазбека Шаршеновича сосредоточиться на решении внутренних проблем союза, прозвучавший в обращении по случаю начала председательства Кыргызстана в органах ВЕЭС. Считаю, что 2017 год мы должны сделать переломным в становлении нашей организации. Для этого предлагаю осуществить следующий комплекс первоочередных мер.
Первое. Нам следует ввести мораторий на принятие новых правовых актов, носящих дискриминационных характер по отношению к партнёрам по союзу. Следить за его соблюдением должна Евразийская экономическая комиссия.
Второе. Заслушать на нашем очередном заседании доклад комиссии о ходе работы по устранению изъятий, барьеров, ограничений на внутреннем рынке союза. Евразийскому межправительственному совету и комиссии необходимо уделять больше внимания этому вопросу – это суть нашей организации, от неё никуда не уйти.
Третье. Продолжая работу по совершенствованию Договора о Евразийском экономическом союзе, нельзя допустить, чтобы к концу года всё свелось к техническим правкам. Необходимо внимательно проанализировать этот процесс на заседании Высшего Евразийского экономического совета. Возможно, в октябре в Москве, как здесь предлагал Президент России.
Четвёртое. Нереализованной остаётся инициатива о выработке механизма функционирования ЕАЭС, когда один из его участников принимает односторонние меры по защите рынка в отношении третьих государств, отсюда как снежный ком нарастают внутренние противоречия в союзе.
Делая основной упор на совершенствовании внутрисоюзных отношений, мы не забываем о расширении внешнего контура. Здесь, признаюсь откровенно, заключение современных преференциальных соглашений о свободной торговле отвечает интересам Беларуси – уверен, так же как и другим государствам. Поэтому призываю шире их использовать для диверсификации торговых и инвестиционных отношений с нашими партнёрами, углубления промышленной и сельскохозяйственной кооперации.</t>
  </si>
  <si>
    <t>выражение солидарности России и Армении</t>
  </si>
  <si>
    <t>Уважаемый Владимир Владимирович, Ваше вступительное слово, исчерпывающее выступление, и та речь, с которой выступил Серж Азатович, не дают даже основания что-то новое сказать, поэтому я снимаю своё выступление.</t>
  </si>
  <si>
    <t>Уважаемые члены Высшего Евразийского экономического совета! Участники заседания!
Прежде всего традиционно хотел бы поблагодарить наших российских коллег за радушный приём, высокий уровень организации встречи. Сегодня мы подводим итоги общей работы в формате союза за этот год и определяем ориентиры взаимодействия на следующий.
Что касается завершающегося периода, то он является достаточно неоднозначным как с политической, так и с экономической точек зрения. Среди позитивных достижений можно отметить вступление в силу Договора о Таможенном кодексе нашего союза, принятие решения о наделении Молдовы статусом наблюдателя.
Союзом подписаны также временные соглашения, ведущие к образованию зоны свободной торговли с Ираном, соглашение о сотрудничестве с Китаем. Беларусь рассчитывает, что нормы, закреплённые в этих документах, будут реализованы в полной мере. Каждый из них принимался с заделом на будущее – с расчётом на значительный экономический эффект.
С сожалением можно отметить, что существует ряд важных вопросов, которые до сих пор остаются нерешёнными. Вынужден об этом говорить, но буду говорить не с точки зрения стенания и рыдания, а с точки зрения того, что мы ведь договорились, но не сделали.
И с точки зрения того, что наш союз (к счастью, я был у истоков создания этого союза) образовывался на определённых свободах передвижения рабочей силы, капиталов, услуг, товаров и так далее.
И самое главное, о чём мы договаривались, создавая нашу единую экономику, что все субъекты в хозяйствовании и наши люди будут иметь равные условия. Если таких равных условий нет, то нет и союза.
Первое. В начале 2018 года Российская Федерация в качестве председательствующей в органах союза предложила работу по устранению барьеров изъятий и ограничений, препятствующих формированию общего рынка ЕАЭС.
Правильно предложила. Это действительно одна из самых острых проблем нашего союза, которая ещё несколько лет назад была обозначена белорусской стороной. Однако данный вопрос решается непозволительно медленно.
Более того, на смену устраняемым барьерам возводятся новые, и это стало практикой. Считаю, что это совершенно недопустимая ситуация, нарушающая достигнутые нами договорённости.
Как показала практика, важно не только устранять преграды, но и параллельно создавать условия, исключающие возможность их повторного возникновения.
В этой связи предлагаю предоставить нашей Евразийской экономической комиссии полномочия принимать решения в случае повторного введения каким-либо государством-участником ограничений или же продления уже действующих ограничений.
По нашему мнению, реализация такого предложения не затронет национальные интересы сторон, при этом позволит исключить протекционизм, который наносит серьёзный ущерб интеграционным процессам.
Все сидящие за этим столом на мировой протекционизм в торговле отреагировали, обозвав его грубо «экономические войны». Так зачем у себя создаём это?
Следует также повысить ответственность представителей исполнительной власти наших стран за принятие решений, идущих вразрез с принципами, закреплёнными в нашем Договоре о союзе.
Второе. Беларусь выступает за обеспечение всеобъемлющего и безусловного выполнения всеми государствами-членами союзных норм и взятых на себя обязательств. Сторонами достигнута договорённость о создании к 2025 году общих рынков нефти, нефтепродуктов, а также газа.
Мы приняли такое с вами решение, и мы обязаны выполнять всё в намеченные сроки и обеспечить работу союза в условиях стабильной, справедливой топливно-сырьевой политики.
В союзнических отношениях нет интересов поставщиков и потребителей энергоресурсов, есть целостная система – Евразийский экономический союз. И под этим мы концептуально и конкретно все подписались.
Полностью солидарен с Президентом России, который как председатель Высшего совета в своём обращении к государствам-членам отметил важность развития новых сфер сотрудничества, в том числе таких, как атомная энергетика, возобновляемые энергоисточники, и сегодня был назван ряд новых направлений.
Однако отсутствие согласия по принципам формирования основного нефтегазового рынка не позволяет нашему союзу прогрессировать более быстрыми темпами. Решение этого ключевого вопроса позволит нам приступить к освоению и других направлений.
Приведу один пример о равноправии и равенстве в нашем союзе. Действующий порядок ценообразования на поставляемый в Беларусь природный газ – тариф, применяемый «Газпромом» для белорусской стороны на транспортировку газа из Ямало-Ненецкого автономного округа до нашей границы, – составляет почти три доллара за одну тысячу кубических метров на 100 километров, в то время как внутрироссийский тариф – порядка одного доллара, в три раза меньше.
 В структуре цены на газ для Беларуси доля платы за транспортировку по территории России превышает 70 процентов. То есть тариф от цены – 70 процентов, а он в три раза выше, чем для субъектов Российской Федерации, думаю, что и в Казахстане примерно такая ситуация по цене для субъектов Казахстана.
С учётом этих обстоятельств в нашей стране газ на границе со Смоленской областью обходится почти в 130 долларов за тысячу кубов, а установленная оптовая цена для потребителей той же Смоленской области, субъектов хозяйствования, 70 долларов, почти в два раза ниже. Простой вопрос: как конкурировать в этой ситуации?
Третье. Сегодня мы обсуждаем тему цифровизации экономики, которая стала уже одной из центральных в повестке наших встреч. Перед нами стоят амбициозные задачи по переходу на современные технологии и модели производства.
От того, насколько слаженно мы сможем объединять потенциал наших государств через цифровые решения, будет зависеть эффективность интеграции и в целом будущего союза.
Беларусь готова к полноценному участию в реализации проектных инициатив цифровой повестки ЕАЭС, об этом я говорил на встрече с премьерами наших стран в Минске.
В первую очередь речь идёт о цифровой торговле и кооперации, электронной логистике, формировании цифровых транспортных коридоров, развитии точных технологий в сельском хозяйстве и промышленности.
Но мы занимаемся цифровизацией в Белоруссии очень давно, уже второй десяток лет, после того как создали парк IT. Должен вам сказать, исходя из нашего опыта, сейчас модно говорить о цифровизации, ещё о чём-то, развитии IT-технологий, но не надо забывать, это очень важное направление, это значительно активизирует производство, сокращает себестоимость, но это, наверное, 20–25 процентов сегодняшнего дня, и, наверное, это долго так будет, а 70–75 процентов – это та традиционная экономика, которая нас сегодня кормит. Поэтому не надо забывать и об этом.
Четвёртое. В повестку дня нынешнего заседания совета внесён проект распоряжения развития кооперации государств – членов ЕАЭС в сфере предоставления космических и геоинформационных услуг на основе национальных источников данных дистанционного зондирования Земли.
Убеждён, что реализация этой инициативы с учётом её высокого мультипликационного эффекта на развитие смежных отраслей и секторов придаст мощный импульс нашему инновационному и промышленному сотрудничеству.
Пятое. Говоря о перспективах дальнейшего развития союза, необходимо отметить, что евразийское строительство должно охватывать всё новые сферы сотрудничества. В этой связи особенно важно, чтобы через год, а это будет пять лет, почти юбилей, со дня подписания Договора о Евразийском экономическом союзе, мы смогли увидеть конкретные и осязаемые результаты нашей работы.
Ни у кого не должно возникать сомнений в том, что ЕАЭС – это эффективный совместный проект, нацеленный на повышение уровня экономического благосостояния всех государств-членов.
Мы немножко позже начали наше заседание, тем не менее я рад, что мы почти полчаса, послушав информацию от Президента России о последних событиях, переговорах в рамках «двадцатки» и так далее, тем не менее констатируем, что мир всё больше и больше (это не вы, это мы все вместе) сходит с ума в плане экономики, в плане торговли – я уже об этих войнах говорил.
И вы знаете, есть у нас расхожая поговорка, у всех нас: «Не было бы счастья, да несчастье помогло». Слушайте, для нас это шанс, великий шанс, когда идёт эта драчка, объединиться, сплотиться и придать ещё большую динамику в нашем экономическом союзе.
Давайте это сделаем, это ведь зависит от нас, сидящих здесь, за этим столом. Беларусь к этому готова.
Благодарю за внимание.</t>
  </si>
  <si>
    <t xml:space="preserve">14 мая </t>
  </si>
  <si>
    <t>А.Лукашенко: Уважаемые члены Высшего Евразийского экономического совета!
Традиционно, прежде всего, Владимир Владимирович, от имени Белоруссии ещё раз поздравляю Вас с вступлением в должность Президента Российской Федерации. Как здесь уже в узком составе отмечалось, мы уверены, что в этот непростой период Россия останется мощной движущей силой нашей интеграции.
За прошедшие три с половиной года со дня вступления в силу договора проделана большая работа по вопросам межгосударственного взаимодействия. Однако эффективность проводимых мероприятий всё ещё желает быть лучшей. Многие наши договорённости, к сожалению, остаются по-прежнему нереализованными.
Изначально Союз создавался как структура для исключительно экономического сотрудничества. Предполагалось выстроить систему равноправных рыночных отношений. Но в торговлю регулярно вмешивается политика. Интересы отдельных товаропроизводителей периодически ставятся выше принятых нами решений. Это идёт вразрез с нашими договорённостями. Не надо приводить примеры, вы о них сами прекрасно знаете. Единственный положительный момент – это то, что мы наконец вместе задумались над созданием перспективных механизмов не только урегулирования споров, но и их предотвращения.
Структура экономик наших стран во многом разная. Кто-то больше экспортирует сырьё, кто-то больше продаёт продукты переработки. И сырьевая, и производственная база у Союза колоссальная, но мы так и не научились эффективно её использовать, не выработали единых правил для общего рынка.
Сегодня именно региональное интеграционное объединение создаёт предпосылки для роста мировой экономики. А мы, вместо того чтобы свободно торговать, закрываемся друг от друга. Более того, обмениваемся взаимными претензиями даже в средствах массовой информации, рискуя международным авторитетом Союза. И здесь Нурсултан Абишевич в закрытом режиме приводил хороший такой идеологический пример – когда нам хватает проблем со стороны, мы ещё создаём друг для друга проблемы.
Надо в этой непростой ситуации, когда предпринимается давление со стороны на Союз, организоваться наконец-то, сплотиться и, сделав определённые выводы, извлечь интерес для наших стран. Мы игнорируем цивилизованный способ решения торговых споров через Евразийскую экономическую комиссию. Абсолютно поддерживаю тех, кто говорит о том, что надо сегодня, конкретизировав роль (с учётом нашего опыта) Комиссии, усилить функции нашего, так сказать, правительства, общего экономического правительства.
К сожалению, опять не готовы для обсуждения на высшем уровне программы формирования общих рынков газа, нефти и нефтепродуктов. Надеемся, что хотя бы к концу текущего года мы поставим подписи под этими основополагающими документами. И не надо тут подозревать Беларусь, что это только в интересах Беларуси. Мы договорились, что мы решим этот вопрос, значит, его надо решать.
Отмечу разработанный проект положения о статусе государства-наблюдателя при ЕАЭС как один из успешных этапов совместной работы, то есть когда захотели, поставили перед собой задачу и цель, мы её решили и даже приняли сегодня положительное решение по первому нашему наблюдателю.
Но нельзя делать опрометчивых шагов в этом плане, особенно если страны не готовы к установлению более тесных контактов с нашей организацией. ЕАЭС должен сам доказать свою притягательность для третьих государств.
Беларусь поддерживает принятую цифровую повестку Евразийского экономического союза до 2025 года. Готовы участвовать в инициативах в сфере цифровой торговли, электронной логистики и цифровых транспортных коридоров. Необходимо создать совместные технические и правовые условия, позволяющие объединять наши национальные системы в интеграционно-цифровые платформы.
Совершенствуется договорно-правовая база Союза, завершено согласование проекта соглашения о международных договорах с третьими государствами, организациями и интеграционными объединениями. Важно, чтобы этот документ не стал сухой инструкцией, а придал новый импульс переговорным процессам с нашими партнёрами, как подчеркнул опять же Президент Казахстана, нужными для нас партнёрами. И я его в этом плане абсолютно поддерживаю.
Создаются несколько специальных отраслевых органов Союза. Нужно сделать всё для того, чтобы их работа была ориентирована на решение конкретных проблем и они смогли внести весомый вклад в создание общего рынка без изъятий и ограничений. Наш интеграционный проект будет развиваться только при соблюдении четырёх основных свобод, которые закреплены в Договоре о Евразийском экономическом союзе. Крайне важно ценить и выполнять достигнутые договорённости, решать самые сложные проблемы, опираясь на нами же созданные правила, уважать друг друга, как это принято у союзников и деловых партнёров. Беларусь настроена именно на такой стиль дальнейших отношений.
В заключение ещё раз благодарю российских коллег за традиционно высокий уровень организации Высшего совета и комфортную рабочую атмосферу саммита.
Благодарю за внимание.</t>
  </si>
  <si>
    <t>"Сегодняшнее заседание проходит в день юбилейной даты - пятилетия Договора о Евразийском экономическом союзе. 29 мая 2014 года в Астане президенты Беларуси, Казахстана и России подписали этот исторический документ. Позже к нам присоединились Армения, Кыргызстан. Положено начало новому этапу развития евразийской интеграции", - подчеркнул белорусский лидер. 
Александр Лукашенко отметил заслуги интеграционного объединения, несмотря на небольшой срок, прошедший с момента его создания: "Безусловно, ЕАЭС еще слишком молод. Однако он уже доказал свою эффективность и самостоятельность, обеспечив нашим странам дополнительный источник экономического роста, позволяющий противодействовать негативным тенденциям в мире. И этот потенциал не просто далеко не исчерпан, ему вообще не положено начало. Впереди огромные перспективы". 
Так, в последние годы удается поддерживать увеличение объемов взаимной торговли (в 2017 году - более 127% к уровню 2016 года‚ в 2018 году - почти 112% к уровню 2017 года). "Хотя настораживает, что темпы наращивания товарооборота в рамках союза замедляются. При этом с третьими странами они, напротив, растут", - заметил Глава государства. 
В ЕАЭС также расширяется применение национальных валют во взаимных расчетах, удалось погасить инфляционные риски, взять под контроль вопросы занятости населения. "Это означает, что государства - участники союза все больше синхронизируют процессы своего развития, постепенно сближая позиции в проведении согласованной макроэкономической политики, - сказал Президент Беларуси. - Нам нужно использовать такой опыт. В том числе в целях формирования общих отраслевых стратегий - в промышленности, сельском хозяйстве, транспорте, энергетике и других сферах". 
Глава государства отметил и авторитет Евразийского экономического союза на мировой арене. "Порой мы часто слышим, да и сами говорим, что с нами якобы не хотят сотрудничать. Просто завидуют, где-то боятся. Это конкуренция, и это естественно. Но не замечать нас уже не удается", - подчеркнул белорусский лидер.   
Продолжается диалог с другими государствами, региональными объединениями и международными структурами. Укрепляется позитивное восприятие союза как системообразующей организации экономической интеграции на Евразийском континенте. 
"Повестка дня наполняется новыми направлениями для работы. Мы приступили к цифровой трансформации экономик, активизации трансграничных связей в реальном секторе, созданию механизмов реализации инновационных и инвестиционных проектов. Это все - важные и перспективные сегменты сотрудничества", - заявил Александр Лукашенко. 
Вместе с тем Президент подчеркнул важность качественного выполнения уже имеющихся в союзе договоренностей, что должно являться приоритетом. "По формированию единых рынков, обеспечению свободы движения капиталов, товаров, работ и услуг. Активность на внешнем контуре и новых направлениях не должна причинять ущерб основной деятельности по отмене барьеров, изъятий и ограничений во взаимной торговле", - подчеркнул белорусский лидер. 
Александр Лукашенко уверен, что осязаемый положительный эффект от интеграционного проекта дадут более тесная кооперация, увеличение доли товаров, произведенных внутри ЕАЭС, на общем рынке. 
"Надо отказаться от протекционистских решений на национальных уровнях, от введения всевозможных запретительных и ограничительных мер. В этом залог формирования прочного фундамента нашего союза, успешного развития экономик стран, участвующих в интеграции. Тогда не будет проблемы привлечения новых стран, которые мы хотим видеть в союзе. Они сами придут в этот союз. Необходимо создавать равные условия во всех сферах, включая энергетику. Пока же предпочтение отдается интересам отдельного субъекта хозяйствования, отрасли или страны", - заявил Президент. 
Он особо отметил, что каждый - от глав государств до экспертов - должен четко понимать, что в ЕАЭС строится именно единый рынок, общее пространство. 
Александр Лукашенко также считает важным дальнейшее расширение полномочий Евразийской экономической комиссии, в первую очередь в части противодействия введению барьеров. "Думаю, что значительную помощь нам может здесь оказать, сыграв значительную роль, Почетный Председатель нашего союза", - отметил он. Президент подчеркнул, что вопрос не только в личности Нурсултана Назарбаева: "У него за плечами огромная армия толковых людей, экспертов. Они очень серьезно работали с ним, когда он был Президентом, и нам нельзя это потерять". 
Президент также предложил, чтобы Нурсултан Назарбаев занялся и ревизией всего, что сделано или не сделано в союзе, начиная от кадрового состава Евразийской экономической комиссии и заканчивая стратегическими направлениями деятельности.  
"Пять лет назад мы сделали решительный шаг к созданию союза. Главная задача текущего дня - сохранить достигнутые результаты и приумножить их во благо наших государств и народов. В сегодняшнем заявлении мы формулируем основные принципы и приоритеты дальнейшего сотрудничества", - сказал белорусский лидер. 
Александр Лукашенко выразил уверенность, что совместными усилиями сторонам удастся добиться укрепления евразийской интеграции. https://president.gov.by/ru/events/uchastie-v-zasedanii-vysshego-evrazijskogo-ekonomicheskogo-soveta-21200</t>
  </si>
  <si>
    <t>https://president.gov.by/ru/events/uchastie-v-zasedanii-vysshego-evrazijskogo-ekonomicheskogo-soveta-21200</t>
  </si>
  <si>
    <t>Уважаемые друзья, участники заседания! Традиционно прежде всего хотел бы от имени белорусской делегации поблагодарить Никола Воваевича (Пашиняна) и армянскую сторону за организацию этого мероприятия и теплый прием.
Также признателен Армении за усилия по укреплению нашего интеграционного объединения в период ее председательства в Евразийском экономическом союзе.
В Обращении о приоритетах работы на 2019 год Премьер-министр Армении в качестве одной из целей отметил развитие торговых отношений с третьими странами. В этом контексте необходимо позитивно оценить готовность Временного соглашения о создании зоны свободной торговли с Ираном, которое вступит в силу в октябре. Столь же важен для нас пакет соглашений с Сингапуром, подписанный сегодня.
Рады приветствовать в Ереване в качестве почетных гостей Президента Ирана Хасана Роухани и Премьер-министра Сингапура Ли Сянь Луна. Ваши страны для нас являются очень значимыми партнерами, а потенциал для наращивания экономических связей огромен. Закрепив режим преференций, важно подтолкнуть бизнес и правительства к более планомерному взаимодействию.
С удовлетворением отмечаем готовность к заключению договора о свободной торговле с Сербией. В октябре вступает в силу Соглашение о торгово-экономическом сотрудничестве с Китайской Народной Республикой. Подписанный в июне документ об обмене предварительной информацией о товарах и транспортных средствах международной перевозки, перемещаемых через таможенные границы ЕАЭС и КНР, позволит ускорить прохождение грузов. Комиссии стоит проработать аналогичное соглашение с Европейским союзом, чтобы сделать сухопутный путь из Китая в Европу через наши страны наиболее привлекательным.
Серьезно активизировалось взаимодействие с СНГ, ШОС и АСЕАН. Рады приветствовать на заседании Президента Молдовы Игоря Николаевича Додона. От председателей Коллегии ЕЭК и Исполкома СНГ ожидаем конкретных предложений по обеспечению синергии этих интеграционных объединений в областях, где у нас есть общие интересы. Например, в сферах транспорта, промышленной кооперации, цифровизации.
Многое делается для популяризации Союза. На днях в Бишкеке прошел очередной форум «Евразийская неделя», чуть раньше в Минске состоялись Форум молодых лидеров Евразии и конференция о роли Суда ЕАЭС в становлении Союза.
Для расширения международной повестки Евразийского экономического союза нужно уделить особое внимание странам «дальней дуги», где наши товары и услуги пока еще мало узнаваемы. Предлагаем Евразийскому банку развития подключиться к этому направлению. А Председателя Правления Банка просим рассмотреть такую возможность.
Нашим национальным банкам развития и другим финансовым учреждениям также стоит поискать формы для более плотного взаимодействия как внутри Союза, так и на внешнем его контуре.
Сегодня мы утвердили Концепцию формирования общего финансового рынка ЕАЭС, заложив основу для обеспечения свободного движения капитала и услуг. Организация такого рынка должна быть сопряжена с цифровизацией. Это позволит развивать передовые финансовые технологии и сделать доступнее весь спектр подобных услуг. Нам, безусловно, будет полезен взаимный обмен опытом в данной области.
В Союзе немало сделано для цифровой трансформации экономики, создания экосистем для таких секторов, как торговля, промышленная кооперация, развитие транспортных коридоров, занятость, а также для обеспечения прослеживаемости движения товаров. Данное направление набирает обороты, и пора его упорядочить, дополнить соответствующими нормами Договор о Союзе.
Одновременно нужно обратить внимание на вопросы информационной безопасности, выработать единые стандарты и форматы взаимодействия.
Что касается общего признания электронных цифровых подписей на пространстве Союза, то эту проблему следовало урегулировать уже давно. Иначе невозможно вести речь о цифровом будущем.
Сегодня мы наделили Комиссию полномочиями в вопросах маркировки товаров и прослеживаемости их движения. ЕЭК должна гарантировать, что данные прогрессивные предложения не обернутся новыми препятствиями в торговле.
Барьеров в Союзе и так предостаточно. Особенно настораживает, когда они вводятся в таких чувствительных сферах, как, например, госзакупки. Пришло время главам государств рассмотреть наболевшую тему и принять политическое решение. Возможно, следует усилить компетенцию Комиссии и евразийского Суда.
В 2020 году Беларусь примет председательство в нашем Союзе, возглавит Коллегию ЕЭК. И мы готовимся со всей серьезностью. ЕАЭС - очень молодое образование. В его развитие нужно вложить еще много сил и средств. Чтобы не позднее 2025 года или даже раньше создать всеобъемлющий, эффективный экономический союз, построить единые рынки, сформировать единые отраслевые политики и реализовать положения Договора о ЕАЭС.
Благодарю за внимание.
В кулуарах заседания Высшего Евразийского экономического совета Александр Лукашенко пообщался с журналистами и отметил, что страны Евразийского экономического союза должны прежде всего думать, как найти счастье внутри объединения, а потом развивать торговлю с третьими государствами.
"Президент Казахстана говорил о том, что внутренняя торговля у нас сократилась, наша внешняя торговля с другими странами сокращается. Я думаю, прежде чем говорить о торговле, допустим, ЕАЭС в целом, надо подумать о том, как счастье найти внутри нашего союза, как сделать так, чтобы наибольшую выгоду получили от торговли внутри. А для этого надо снимать барьеры, надо быть обязательными", - подчеркнул Александр Лукашенко.
Однако здесь, констатировал Президент, есть проблемы. В ЕАЭС, по его словам, зафиксировано несколько десятков барьеров и работа по их устранению проводится очень медленно.
В то же время Александр Лукашенко отметил, что на нынешнем саммите в Ереване он позитивно настроен относительно государственных вопросов. "Я вижу большой интерес к нашему союзу. Они (третьи страны. - Прим.) важны с точки зрения того, что подталкивают нас, чтобы мы были более совершенными, симпатичными и привлекательными для другого мира", - подчеркнул Глава государства. Он обратил внимание, что Евразийский экономический союз находится между гигантскими организациями и странами: с одной стороны Европейский союз и Соединенные Штаты Америки, с другой - Китай и Азиатско-Тихоокеанский регион. "Это очень развивающаяся группа стран, поэтому нам грех не воспользоваться этим", - считает Александр Лукашенко. Он добавил, что Беларусь готова сотрудничать с как можно большим количеством государств, однако при этом надо уметь защищать собственные интересы и товаропроизводителя.
В декабре в Санкт-Петербурге состоится очередной саммит ЕАЭС, где планируется принять решение по составу Коллегии Евразийской экономической комиссии, которая с февраля 2020 года будет работать уже под председательством Беларуси. "Председатель, естественно, будет белорусский. А по распределению портфелей среди министров мы определимся. Мы обсудили все варианты, - отметил Александр Лукашенко. - Россия в связи предложениями Беларуси взяла небольшую паузу. Но у нас время есть. Более того, мы приняли решение, чтобы эти вопросы потом не обсуждать по десять раз, выработать некий единый регламент и оставить этот вопрос премьер-министрам". https://president.gov.by/ru/events/uchastie-v-zasedanii-vysshego-evrazijskogo-ekonomicheskogo-soveta-22132</t>
  </si>
  <si>
    <t>https://president.gov.by/ru/events/uchastie-v-zasedanii-vysshego-evrazijskogo-ekonomicheskogo-soveta-22132</t>
  </si>
  <si>
    <t xml:space="preserve">Беларусь </t>
  </si>
  <si>
    <t xml:space="preserve">20 декабря </t>
  </si>
  <si>
    <t>Выражение общего мнения ЕАЭС</t>
  </si>
  <si>
    <t xml:space="preserve">А.Лукашенко: Уважаемые коллеги!
Я думаю, выражу общее мнение как председатель, как страна, председательствующая в Евразэс… , </t>
  </si>
  <si>
    <t>http://www.kremlin.ru/events/president/news/62374</t>
  </si>
  <si>
    <t xml:space="preserve">Говоря о повестке заседания, он отметил, что ее главным вопросом является принятие Стратегических направлений развития евразийской экономической интеграции до 2025 года. «Данный документ — это одновременно и план действий по углублению отношений, и своего рода поворотный пункт на пути восстановления и повышения темпов развития экономик наших стран», — сказал Александр Лукашенко.
Президент заметил, что подготовка документа шла сложно, но в целом сторонам удалось выйти на согласованные решения по всем направлениям углубления интеграции. В этой связи он поблагодарил участников за конструктивный подход.
Пока неурегулированным остается вопрос ценообразования на услуги по транспортировке газа на общем рынке ЕАЭС. «С окончательным взаимоприемлемым решением мы не можем определиться уже несколько лет. Притом что актуальность проблемы постоянно возрастает. Сегодня мы должны найти нужный нам всем консенсус», — подчеркнул белорусский лидер.
Белорусский лидер отметил, что текущая ситуация в мире и на постсоветском пространстве находится в постоянной динамике. Несмотря на это, очевидно, что ее восприятие в большинстве стран начинает кардинально меняться. «Длительные карантины и самоизоляция населения отчетливо показали, что даже у сверхдержав нет запаса прочности, позволяющего в условиях закрытых границ и неработающих предприятий сколь-нибудь значительное время удерживать от спада национальные экономики», — подчеркнул белорусский лидер.
Он отметил, что все чаще звучат самые негативные прогнозы экспертов для отдельных государств и даже континентов на ближайшую и отдаленную перспективу. Одной из наиболее особых проблем они называют вопрос обеспечения населения продовольствием. «Поэтому сегодня нам крайне важно найти пути сохранения сельскохозяйственных и промышленных отраслей наших стран, одновременно приняв все меры по защите людей», — заявил Александр Лукашенко.
«Надеемся, что Россия как локомотив нашего интеграционного объединения будет соотносить принимаемые меры по возобновлению экономического роста с нашими договоренностями в рамках союза по обеспечению свободного доступа товаров на рынки стран», — добавил Глава государства.
Затем Александр Лукашенко коснулся регламента мероприятия. Традиционно саммиты ЕАЭС проводятся в два этапа: сначала главы государств обсуждают вопросы в узком составе, затем к ним присоединяются члены делегаций и встреча уже продолжается в расширенном формате. «Поскольку форма нашего разговора соответствующая, есть предложения. Первое — провести наше совещание традиционно: узкий состав, расширенный, между ними какая-то пауза. Все как было. Или же мы можем объединить узкий и расширенный составы — тем более секретов нет — и провести единое заседание, никого не выставляя за дверь из делегаций», — предложил Президент.
Глава российского государства Владимир Путин поддержал идею белорусского коллеги. «Вы у нас сегодня председатель, поэтому я соглашусь с вашим предложением», — сказал он.
Лидеры Казахстана и Кыргызстана также были не против. Но Касым-Жомарт Токаев обратил внимание, что у каждого Президента при этом должна быть возможность выступить по всем вопросам. «Абсолютно с вами согласен. Президент вправе выступать по всем вопросам и сколько захочет раз. Мы никогда не ограничивали, это наша традиция», — ответил Александр Лукашенко.
Поддержал предложение белорусской стороны и премьер-министр Армении Никол Пашинян. После того как общее решение было принято, к трансляции подключился Президент Молдовы Игорь Додон. Изначально он как представитель государства-наблюдателя в ЕАЭС должен был принять участие только в расширенной части саммита.
Повестка дня заседания включала десять вопросов. Одним из главных стал проект Стратегических направлений экономической развития евразийской интеграции до 2025 года. Председатель Коллегии Евразийской экономической комиссии Михаил Мясникович отметил, что во время обсуждения и подготовки документа на различных уровнях был очень широкий разброс мнений. Обсуждались не только те вопросы, которые вошли в стратегию, но и ряд других. «То, что удалось согласовать, — это компромисс», — сказал он. Единственным не урегулированным оставался вопрос ценообразования на услуги по транспортировке газа на общем рынке ЕАЭС. На этом вопросе в том числе акцентировалось внимание во время выступлений на саммите лидеров стран интеграционного объединения.
Кроме того, ряд вопросов, которые необходимо дополнительно проработать, обозначил Президент Казахстана Касым-Жомарт Токаев. Он также предложил не спешить с принятием этого знакового документа, тщательно доработать и принять в последующем. Возможно, и в очном формате.
Президент Беларуси Александр Лукашенко в связи со сложившейся ситуацией предложил одобрить подготовленный документ в целом. «Он не имеет срочных к реализации предложений. Это стратегия. Поэтому спешить некуда, за исключением пункта по природному газу. И то, даже если мы примем в такой формулировке по природному газу решение, это не конкретное решение. За ним будут следовать конкретные переговоры», — отметил белорусский лидер.
Соответственно, было предложено в целом одобрить проект документа и одновременно отправить проект на доработку, обсудив его в другом формате и в другое время. Эти подходы были поддержаны участниками заседания.
Всего во время саммита главы государств приняли решения по 10 вопросам. В частности была рассмотрена заявка Кубы на получение статуса страны — наблюдателя при ЕАЭС. Высший Евразийский экономический совет решил, что перед этим необходимо провести дополнительные консультации с Гаваной. ЕЭК также было поручено подготовить обоснование для предоставления Кубе статуса государства-наблюдателя.
Президенты на заседании одобрили протокол о внесении изменений в Договор о ЕАЭС, уточнив механизм формирования кадрового состава ЕАЭК, обсудили итоги международной деятельности в прошлом году и утвердили основные ориентиры макроэкономической политики стран ЕАЭС на 2020-2021 годы. Этот документ содержит совместные и национальные кратко- и среднесрочные меры, направленные на дальнейшее улучшение в странах экономической ситуации, сдерживание негативного влияния и минимизацию экономических последствий от внешних шоков, связанных с пандемией коронавируса. В частности предусматривается оказание кредитного содействия Евразийским фондом стабилизации и развития, совместная работа с Евразийским банком развития.
На саммите была рассмотрена реализация принятой еще в 2015 году программы поэтапной реализации каботажных перевозок. Главы государств поручили правительствам продолжить реализацию мероприятий, а ЕЭК — мониторить работу в этом направлении. Президенты также утвердили годовой отчет Евразийской экономической комиссии за 2019 год о состоянии конкуренции на трансграничных рынках и мерах, принимаемых по пресечению нарушений общих правил конкуренции на них.
Следующее заседание Высшего Евразийского экономического совета планируется провести в октябре — ноябре в Минске в очном формате. Эту инициативу Президента Беларуси поддержали остальные участники заседания. «С учетом председательства Беларуси в ЕАЭС я очень рассчитываю на проведение встречи глав государств — членов ЕАЭС в очном формате и предложил бы ее провести в Минске в то время, когда вы сможете приехать», — отметил Александр Лукашенко.
Глава государства добавил, что его инициатива не исключает при необходимости организацию заседания совета в формате видеоконференции до того, как состоится очная встреча.
 </t>
  </si>
  <si>
    <t>Президент Беларуси Александр Лукашенко 11 декабря принял участие в заседании Высшего Евразийского экономического совета.
Из-за сложной эпидемической ситуации переговоры лидеров стран Евразийского экономического союза проходили в онлайн-формате. Если бы президенты условились о встрече в очном формате, заседание прошло бы в Минске, поскольку Беларусь в этом году председательствует в органах ЕАЭС. 
В саммите, помимо глав государств - членов ЕАЭС, участвовали почетный Председатель Высшего Евразийского экономического совета, первый Президент Казахстана Нурсултан Назарбаев, Президент Молдовы Игорь Додон (страна имеет статус наблюдателя при союзе). На встречу также были приглашены Президент Узбекистана Шавкат Мирзиёев и Президент Кубы Мигель Диас-Канель - этим странам сегодня должен был быть предоставлен статус государства-наблюдателя. 
Всего на заседание было вынесено 28 вопросов, четыре из них были обсуждены лидерами ЕАЭС в узком кругу. В их числе стратегические направления развития евразийской экономической интеграции до 2025 года. Он уже обсуждался на майском саммите, однако тогда главы государств лишь "в целом одобрили" этот проект, высказав несколько замечаний.  
"Вторым важным вопросом повестки является совершенствование механизмов применения общих антидемпинговых, компенсационных и специальных мер для защиты интересов производителей товаров в нашем союзе. В повестку заседания включен блок вопросов международного сотрудничества. Нам предстоит определить основные направления деятельности союза в этой сфере на предстоящий год", - озвучил повестку саммита Александр Лукашенко. 
По его словам, на заседании главы государств также должны принять решение о начале работы Соглашения о зоне свободной торговли ЕАЭС с Сербией, а также определиться по срокам начала подготовки Соглашения о зоне свободной торговли с Ираном. "Это знаковые документы, подтверждающие интерес к нашему союзу в мире. Поэтому предлагаем комиссии активизировать переговоры с другими государствами", - сказал белорусский лидер. 
Кроме того, считает Глава государства, пора развернуть предметную работу по выполнению ст. 41 Договора о ЕАЭС, то есть начать совместное развитие экспорта своих товаров и услуг. 
В своем выступлении Александр Лукашенко подчеркнул, что пандемия убедила даже самых ярых скептиков, что только вместе страны Евразийского экономического союза могут быть сильнее. "Этим заседанием завершается год председательства Беларуси в органах Евразийского экономического союза. Мы сразу обозначили в своей программе весьма амбициозные цели: всемерное укрепление нашего союза, гармоничное развитие экономик стран и повышение благосостояния граждан. Они имеют универсальный характер и выгодны всем участникам", - отметил Александр Лукашенко. 
По словам Президента, особенно это актуально в этом году, который стал настоящим испытанием на прочность здравоохранения, экономик и политических систем всех стран мира. "Пандемия, как лакмус, раскрыла суть экономических союзов и интеграционных объединений. Она на практике убедила даже самых ярых скептиков, что только вместе мы сможем быть сильнее. Одновременно коронавирус также показал истинную цену невыполнения ранее достигнутых договоренностей", - добавил Глава государства. 
На заседании Александр Лукашенко кратко подвел итоги белорусского председательства в ЕАЭС в этом году. Он напомнил, что было принято несколько актов по переходу к единой или общей политике в сельском хозяйстве, энергетике, транспорте. Проработаны возможности применения антидемпинговых, компенсационных и специальных мер для защиты экономических интересов производителей товаров в ЕАЭС. Продолжено согласование подходов к принципам и механизмам функционирования и государственного регулирования интегрированного валютного рынка, расширению использования национальных валют государств - членов ЕАЭС во взаимных расчетах, девалютизации экономик стран, формированию общей расчетной инфраструктуры и платежного пространства. 
"Инициирован ряд мер по импортозамещению в промышленности и сельском хозяйстве. Однако участники союза периодически нарушают договоренности и вносят предложения о беспошлинном ввозе на территорию ЕАЭС тех или иных товаров третьих стран, аналоги которых производятся у нас в союзе. Мы имеем выпадающие бюджетные доходы, фактически поддерживаем иностранного производителя и дискредитируем нашу общую работу по развитию промышленной кооперации и снижению зависимости от импорта", - обратил внимание Президент. 
Он также отметил, что необходимо использовать потенциал Евразийского экономического союза для продвижения продукции на рынки третьих стран. "Позитивно оцениваю деятельность комиссии по формированию сбалансированного аграрного рынка на основании межгосударственной кооперации и системы прогнозирования развития АПК нашего союза. Вместе с тем считаю, что потенциал союза должен быть задействован не только в целях развития внутреннего рынка, но и для продвижения сельскохозяйственной продукции на рынки третьих стран", - заявил Александр Лукашенко. 
Президент отметил, что в этом году в ЕАЭС были приняты решения в сфере технического регулирования. Проводится работа по гармонизации законодательств государств - членов ЕАЭС для установления ответственности за нарушение обязательных требований к продукции, а также правил и процедур проведения оценки соответствия. 
"К сожалению, отсутствуют результаты в урегулировании вопроса о методах контроля содержания лекарственных средств в пищевой продукции животного происхождения, в том числе в переработанной. Проблема не решается несколько лет. Считаю, что этот вопрос комиссия принципиально должна урегулировать в течение следующего года", - подчеркнул Глава государства. 
По словам Александра Лукашенко, в этом году в ЕАЭС была заметно активизирована работа по устранению барьеров, максимальному сокращению изъятий и ограничений на внутреннем рынке союза. Есть подвижки в сдерживании появления новых видов препятствий. "Но этого недостаточно, - убежден Президент. - До настоящего времени не внедрен разрешительный порядок введения национальных ограничительных мер с их предварительным рассмотрением органами союза. Осталась лазейка в виде возможности многократного введения изъятий в сфере госзакупок". 
Глава государства отметил, что полномочия Евразийской экономической комиссии необходимо усиливать. "Нами инициирована работа по усилению полномочий Евразийской экономической комиссии. Но успехов здесь тоже пока немного. О каком развитии может идти речь, если комиссия до сих пор не наделена правом обращаться как самостоятельный субъект в Суд ЕАЭС по спорным вопросам?" - спросил Александр Лукашенко. 
Говоря об итогах работы ЕАЭС в этом году, Президент отметил, что, несмотря на сложности, обусловленные пандемией, была продолжена работа по активизации сотрудничества с международными организациями. Проведены мероприятия в рамках соглашений о торговле с Китаем, Вьетнамом и Ираном. Продолжаются переговоры по заключению торговых договоров с Египтом, Израилем и Индией. Ведется подготовка к началу переговоров по либерализации торговых режимов с Индонезией и Монголией. 
"В рамках цифровой повестки формируется система соответствующих транспортных коридоров, обеспечивается взаимодействие в сферах промышленной кооперации, субконтрактации и трансфера технологий, содействие трудоустройству и занятости граждан государств - членов ЕАЭС", - добавил Глава государства. 
Не все из обозначенного в программе белорусского председательства удалось выполнить в силу объективных обстоятельств, отметил Александр Лукашенко. Часть мероприятий потребовала на реализацию значительно больше времени, чем один год. Однако Президент убежден, что совместная работа по предложенным направлениям продолжится и в следующем году. По его словам, задачи белорусского председательства, направленные на укрепление и развитие ЕАЭС, во многом созвучны с идеями Казахстана, которому сегодня будут переданы права страны - председателя в органах союза на 2021 год. 
Белорусский лидер также отметил, что острие атак из-за пределов Евразийского экономического союза нацелено прежде всего на Россию. "Мы все отмечаем, что времена непростые. Непростые они прежде всего для наших близких друзей и братьев - Российской Федерации. Вы видите, что острие атак из-за пределов нацелено на Россию, мы это в Беларуси остро ощущаем", - сказал Александр Лукашенко. 
Президент пожелал своему российскому коллеге Владимиру Путину терпения в эти непростые времена. "Как говорил наш почетный Председатель (Нурсултан Назарбаев. - Прим.), Россия - стержень нашей интеграции. Поэтому терпения вам и еще раз терпения. Знайте, что мы всегда поддерживали Россию и будем поддерживать, потому что без нее не может быть интеграции на постсоветском пространстве", - заявил Глава государства. 
Во время заседания выступили первый Президент Казахстана Нурсултан Назарбаев и Глава казахстанского государства Касым-Жомарт Токаев.  
"У нас был непростой високосный 2020 год, непростым будет и 2021 год. Знаю, что в Казахстане год начнется с парламентских выборов. Мы хотели бы пожелать Казахстану успехов в проведении этой политической кампании. То, что она будет непростой, вы это видите и по Беларуси, и по другим странам, - отметил Александр Лукашенко. -  Поэтому мы будем болеть за вас, будем всячески поддерживать вас в создании стабильного, мощного, процветающего Казахстана". 
Лидеры стран ЕАЭС сегодня утвердили решение о наделении Узбекистана статусом наблюдателя при ЕАЭС. "Мы уверены, что вы недолго будете наблюдать за нами и в ближайшее время примете решение и станете полноправным членом нашего союза, как вы очень правильно сказали, если это будет выгодно узбекскому народу. Вы знаете, что мы всегда ждем вас в нашем союзе как полноправного члена", - сказал Александр Лукашенко. 
В свою очередь Президент Узбекистана Шавкат Мирзиёев отметил: в его стране с большим интересом наблюдают за развитием интеграционных процессов и деятельностью ЕАЭС. "Особо отмечаем растущий международный авторитет организации и широкую географию практического сотрудничества с зарубежными странами", - сказал он. 
По его словам, страны ЕАЭС являются для Узбекистана основными естественными торговыми партнерами. "Важно более полно использовать огромный потенциал наших стран, совместно устранять барьеры и препятствия в торговых отношениях, взаимно формировать новые рынки, - отметил Шавкат Мирзиёев. - Экономики наших стран во многом дополняют друг друга, даже по тем направлениям, где еще пару лет назад мы конкурировали. Наши ведущие предприятия наладили эффективную кооперацию и совместно осваивают рынки третьих стран. Мы заинтересованы в углублении промышленной кооперации и формировании устойчивых цепочек создания добавленной стоимости на основе передового опыта и инновационных подходов". 
Шавкат Мирзиёев поблагодарил за решение глав государств ЕАЭС о наделении Узбекистана статусом наблюдателя и выразил надежду, что оно "откроет широкие возможности для дальнейшего укрепления отношений дружбы и многопланового сотрудничества". 
Президент отметил, что рассчитывает на конструктивное сотрудничество Кубы и Узбекистана со странами ЕАЭС. Александр Лукашенко поприветствовал эти две страны в новом статусе и пожелал им успешной работы. 
Он особо отметил важность присутствия Узбекистана в этом интеграционном объединении.  
Что касается Кубы, Александр Лукашенко подчеркнул: "Куба только географически далека от нас, а исторически вы всегда были с нами. Мы хорошо знаем вас со времен Советского Союза. Уверен, что ваш вклад в расширение нашего экономического сотрудничества будет значительным. Уверен, что и Куба, и Венеусэла, с которыми мы все, члены союза, поддерживаем добрые отношения, будут хорошей основой для нашего сотрудничества со всей Латинской Америкой". 
Главы государств во время дискуссии обменялись мнениями о перспективах развития интеграции, а также высказались о международной обстановке в сфере экономики. "Мы видим, что она непростая. Но мы имеем все для того, чтобы достойно выйти из этой непростой ситуации", - подчеркнул Александр Лукашенко, подводя итоги заседания в широком составе.  https://president.gov.by/ru/events/uchastie-v-zasedanii-vysshego-evraziyskogo-ekonomicheskogo-soveta</t>
  </si>
  <si>
    <t>https://president.gov.by/ru/events/uchastie-v-zasedanii-vysshego-evraziyskogo-ekonomicheskogo-soveta</t>
  </si>
  <si>
    <t>Выступая на заседании, Александр Лукашенко отметил, что с пандемией и обострением социально-экономических вопросов из-за ее последствий столкнулся весь мир. "Но мы в придачу к этой напасти оказались вовлечены в процессы политической турбулентности", - сказал он.
"Вы видите то колоссальное давление, которому подвергается не только Беларусь. Также сейчас мы являемся свидетелями планомерного, продуманного затяжного санкционного прессинга на наши государства и прежде всего на Россию. С учетом того, как разворачиваются события, понятно, что в той или иной степени ситуация коснется каждого из нас. Здесь только вопрос времени", - подчеркнул белорусский лидер.
Александр Лукашенко перечислил, что под ударом могут оказаться торговые отношения, банковско-финансовая сфера, производственная кооперация и выстроенные логистические цепочки. 
"Очевидно, что так называемый коллективный Запад не заинтересован в укреплении нашего союза и усилении нового конкурента на мировом рынке. Поэтому нужно здраво оценивать негативное влияние подобного давления извне и уже сейчас продумать меры реагирования - от целевого наращивания импортозамещения и взаимной торговли до, если потребуется, введения в рамках компетенции союза прямых ограничительных мер. Эти меры мы можем использовать, как это делают наши конкуренты на Западе. В случае обострения экономической ситуации", - заявил Президент Беларуси.
Александр Лукашенко в связи с этим отметил, что ему понравилось заявление почетного председателя ВЕЭС Нурсултана Назарбаева, который сказал, что у стран союза есть все, чтобы противостоять современным вызовам - от продовольствия до самых современных технологий.
Президент Беларуси также выразил убеждение, что стороны способны продемонстрировать единство, обеспечить самодостаточность экономики ЕАЭС и ее устойчивый рост.
Александр Лукашенко отметил, что реализация наднациональных мер позволяет заложить основы для экономического роста. "Предыдущий непростой год показал, что реализация именно наднациональных, совместных мер поддержки экономической активности позволяет не только сгладить последствия кризисов, но и заложить основы структурных изменений для экономического роста в будущем", - заявил Глава государства.
Белорусский лидер считает необходимым активно способствовать выполнению стратегических направлений развития евразийской экономической интеграции до 2025 года. По оценке Евразийской экономической комиссии, их последовательная и добросовестная реализация позволит не только выйти на траекторию роста с темпами 5% в год, но и в целом обеспечить постепенное сближение государств - членов ЕАЭС по уровню экономического развития.
Президент также напомнил, что изначально, создавая Евразийский экономический союз, ставились цели углублять партнерские связи между государствами - членами объединения и расширять взаимовыгодную торговлю на внешнем контуре. "Мы по-прежнему открыты к развитию отношений как с центрами силы, так и с теми, кто еще только желает вступить в наш союз", - подчеркнул белорусский лидер.
Александр Лукашенко выступил за принятие алгоритмов по возобновлению свободного передвижения граждан в ЕАЭС. "Уверен, пришло время нашим правительствам согласовать конкретные алгоритмы совместных действий по возобновлению свободного передвижения граждан на пространстве ЕАЭС", - сказал Президент Беларуси.
"Безусловно, принимая меры для ограничения новых вспышек коронавируса и других заболеваний", - добавил Александр Лукашенко.
Тем не менее Президент уверен, что странам стоит более активно открывать свои границы: "Вы помните, что мы всегда, и этим грешил наш нынешний председатель (в ЕАЭС в 2021 году председательствует Казахстан. - Прим.), который всегда правильно нас ориентировал: посмотрите на Евросоюз, посмотрите, как он делает, давайте и мы будем более интенсивно, следуя примеру Евросоюза, действовать. Так вот почему мы сейчас не действуем, как Евросоюз? Как бы там ни было, Евросоюз практически открылся для стран, которые в нем участвуют. А мы чего боимся? Мы уже законопатили наших людей в национальных границах, что дальше некуда". 
"Смею напомнить вам, что уже в течение почти двух лет, сколько существует эта пандемия, небольшая Беларусь никогда не закрывала для вас своих границ - и для ваших граждан, и для субъектов хозяйствования. Давайте здесь более активно действовать", - призвал белорусский лидер.
Он также предложил дедолларизировать внутреннюю торговлю углеводородами в Евразийском экономическом союзе. "Уверен, пришло время для принятия в ЕАЭС серьезного политического решения по дедолларизации внутренней торговли углеводородами", - сказал белорусский лидер.
По его словам, одна из первостепенных задач в ЕАЭС - проработка вопроса скоординированных мер по поддержанию курсов валют и обеспечению безопасности расчетов. "В этой связи мы приветствуем развитие общего платежного пространства союза, в том числе в целях стимулирования перехода к расчетам в национальных валютах", - отметил Александр Лукашенко.
Он также считает важным продолжать работу по упрощению взаимного доступа на финансовые рынки государств - членов ЕАЭС и дальнейшему построению общего финансового рынка.
По словам Президента, нужно расширять практику совместного использования научно-технического и производственного потенциала союза. Хороший пример такого сотрудничества - проект интегрированной системы ЕАЭС по производству и предоставлению космических и геоинформационных продуктов и слуг.
"Считаю необходимым сформировать перечень совместных масштабных и имиджевых высокотехнологичных проектов, способных стать символами евразийской интеграции. Особое внимание надо уделить выстраиванию эффективной системы отбора и управления совместными проектами, а также их научно-исследовательскому обеспечению", - заявил Александр Лукашенко.
Он отметил, что для решения этой задачи необходимо в кратчайшие сроки проработать механизмы кредитования кооперационных производств.
Александр Лукашенко также подчеркнул, что еще примерно 10 лет назад, до подписания Договора о создании ЕАЭС, в том числе первым Президентом Казахстана предлагались такие имиджевые проекты. "Мы соглашались с этим. Но до сих пор так и не решили эту проблему", - заметил Президент.
Президент также подчеркнул, что в Евразийском экономическом союзе важно активизировать процесс формирования общих рынков энергоресурсов. 
"Использование преимуществ взаимной дополняемости наших экономик позволит обеспечить быстрый и качественный экономический прогресс в союзе. Для достижения целей, определенных принятой ранее стратегией, очень важно активизировать процесс формирования общих рынков энергоресурсов", - подчеркнул Глава государства.
Он также заявил о всемерной поддержке работы, направленной на снятие барьеров, сокращение изъятий и ограничений, а также недопущение возникновения новых препятствий на внутреннем рынке союза. "В прошлом году достигнут определенный темп устранения нарушений права союза, его нужно сохранять", - сказал Александр Лукашенко.
Президент напомнил, что еще в самом начале пандемии Продовольственная и сельскохозяйственная организация ООН (ФАО) прогнозировала дефицит продуктов питания, даже голод в отдельных регионах планеты. "Эти прогнозы уже сбываются. Из разных источников мы слышим, что сегодня уже голодают и недополучают продовольствие в нужном объеме около полумиллиарда человек на нашей планете", - отметил белорусский лидер.
"В рамках союза мы должны принять все меры для обеспечения собственной продовольственной безопасности. При этом важно не упустить свою выгоду в международной торговле, избежав излишних препятствий на пути движения товаров как внутри нашего союза, так и в торговле с другими странами", - заявил Александр Лукашенко.
В связи с этим он призвал Евразийскую экономическую комиссию в ближайшее время завершить работу над внесением изменений в технический регламент "О безопасности пищевой продукции". "Необходимо снять спорные моменты и разночтения", - подчеркнул Глава государства.
"Слушайте, все говорим о том, что продовольствие, продовольствие…, надо обеспечить людей, и очень опасные тенденции в этом плане. А сами телепаемся с этим несчастным документом уже больше года", - заметил Александр Лукашенко.
Президент призвал активнее сопрягать ЕАЭС с китайской инициативой "Один пояс, один путь". "При всей сложности международной политической обстановки необходимо продолжить работу по позиционированию союза как одного из центров формирования интеграционного контура большого евразийского партнерства, в том числе путем сопряжения с китайской инициативой "Один пояс, один путь", - сказал Александр Лукашенко. - Призываю активизировать работу в данном направлении, переводить ее в практическую плоскость. Мы слишком медленно движемся. Нужно определить конкретные проекты".
Глава государства полагает, что на нынешнем этапе в диалоге с китайскими партнерами целесообразно сосредоточиться на вопросах формирования цифровых транспортных коридоров. "Надо также содействовать экспорту нашей продукции в КНР. В отношении продовольствия необходимо оптимизировать ветеринарный, санитарный и фитосанитарный контроль", - отметил Президент Беларуси.
"Вы знаете, что КНР всегда проявляла и будет проявлять интерес к нашему союзу. Но и у нас к этому огромному рынку большой интерес. И надо сказать, что в отличие от других союзов и стран Китай открыт для нас. Мы это ощущаем, находясь гораздо дальше, чем, допустим, Казахстан и Кыргызстан от Китая. Он открывается. Поэтому надо интенсивнее завязываться с Китаем, особенно в сфере торговли", - сказал Александр Лукашенко. 
По его словам, также следует активизировать переговорные процессы по заключению соглашений о зоне свободной торговли. Особенно это касается Египта, который может стать для стран ЕАЭС плацдармом для продвижения торгово-экономических интересов в Африке.
При этом, отметил Александр Лукашенко, не стоит забывать о ближайших странах: "Учитывая интерес соседей к нашему интеграционному проекту, следует внимательнее посмотреть на страны СНГ с точки зрения увеличения количества наблюдателей и предполагаемых будущих членов ЕАЭС. С каждым из государств-наблюдателей необходимо составить конкретные планы по расширению экономического взаимодействия. Конечно же, с определенными жесткими нашими требованиями к тем, кто хотел бы вступить в наш союз".
Президент Беларуси в целом выразил убежденность, что при наличии доброй воли совместными усилиями стороны в полной мере реализуют огромный потенциал Евразийского экономического союза как внутри объединения, так и на внешнем контуре. https://president.gov.by/ru/events/uchastie-v-zasedanii-vysshego-evraziyskogo-ekonomicheskogo-soveta-1621588656</t>
  </si>
  <si>
    <t>https://president.gov.by/ru/events/uchastie-v-zasedanii-vysshego-evraziyskogo-ekonomicheskogo-soveta-1621588656</t>
  </si>
  <si>
    <t xml:space="preserve">10 декабря </t>
  </si>
  <si>
    <t>Во время своего выступления Александр Лукашенко призвал лидеров более серьезно реагировать на вызовы современности.
"Очень рассчитываю, что это будет последний год, когда мы общаемся по "телевизору". Прав здесь был наш почетный Председатель (Нурсултан Назарбаев. - Прим.): мы не только соскучились друг по другу, но пора уже нам начинать серьезно реагировать на те вызовы, которые нам подбрасывает постоянно жизнь", - подчеркнул Александр Лукашенко.
Глава государства отметил, что его коллегам по ЕАЭС хороша известна ситуация в Беларуси и ее взаимоотношения с Западом. "Это входит, к сожалению, в первый вопрос международной новостной повестки дня. Нас это не радует, но мы должны понимать, что Соединенные Штаты и коллективный Запад от своей политики не уйдут, им нужны поводы для давления на нашу братскую Россию и на нас в том числе", - обратил внимание Александр Лукашенко.
Таким очередным поводом, по его словам, стала ситуация на белорусско-польской границе и миграционный кризис. "Не мы породили эту проблему, в том числе и не вы, бывшие постсоветские республики, но это используется как предлог для давления, прежде всего на Беларусь", - подчеркнул Президент.
Он заметил, что страны ЕАЭС пока в разной степени подвержены давлению Запада. Но оно будет только нарастать, убежден Александр Лукашенко. 
"Мы обладаем информацией, что уже и в ваши Министерства иностранных дел пошли визитеры из западных стран и Соединенных Штатов Америки, уговаривая вас подключиться к давлению на Беларусь. Вы знаете, что против Беларуси уже пятый пакет санкций, говорят, что готовят и шестой, и седьмой, и неизвестно сколько будет. Это экономическое давление для удушения Беларуси, для смены, как они прямо уже говорят, не только власти, но и государственного строя в Республике Беларусь", - заявил Александр Лукашенко.
Президент поблагодарил российскую сторону и остальные страны ЕАЭС за посильную поддержку Беларуси.
"Но еще раз подчеркиваю: образно говоря, вас будут душить, настраивая против Беларуси, чтобы вы подключились к этим санкциям против нашей страны. Моя просьба, чтобы мы были вместе, потому что это давление будет нарастать. Запад давлением на Беларусь, Россию не ограничиться", - предупредил белорусский лидер.
"Очевидно одно: реальная цель Запада состоит в методичном уничтожении конкурентов. Эта ситуация наглядно продемонстрировала, что друзей у нас там нет", - подчеркнул Глава государства.
Президент обратил внимание: страны ЕАЭС должны рассчитывать только на свои силы и у них есть все возможности для налаживания импортозамещения. "Мы можем себя обеспечить всем необходимым", - заявил Глава государства.
Александр Лукашенко рассчитывает, что при очной встрече лидеры ЕАЭС смогут более подробно обсудить эти проблемы.
Президент высказался по ключевым вопросам в повестке дня интеграционного объединения.
Он отметил: несмотря на сохраняющуюся сложную ситуацию на мировом рынке, в текущем году страны союза достигли достаточно хороших результатов во внешней и взаимной торговле. "Почти все страны нашего союза имеют двузначный рост экспорта на внешние рынки - это хороший сигнал. И дело не только в эффекте отложенного спроса или низкой базе прошлого года", - подчеркнул белорусский лидер.
О формировании общих рынков
Президент отметил, что реализация стратегических направлений развития евразийской экономической интеграции до 2025 года идет в плановом порядке. "Несмотря на некоторые сложности, продолжается поступательная работа по формированию общих рынков союза. Вместе с тем сохраняется ряд вопросов принципиального характера в части создания общих рынков газа, нефти и нефтепродуктов", - констатировал Александр Лукашенко.
"Думаю, мы в ближайшее время сможем очно обсудить и эти вопросы", - добавил он.
О цифровизации перевозок
Для подписания на нынешнем заседании было вынесено Соглашение о применении в ЕАЭС навигационных пломб для отслеживания перевозок. Оно является одним из основных элементов формируемой единой системы таможенного транзита союза.
"Цифровизация перевозок сегодня полностью соответствует духу времени. Применение таких пломб позволит повысить уровень доверия в торговле между нашими странами, оптимизировать контрольные мероприятия на внутренних границах, увеличить транзитную привлекательность союза", - сказал Александр Лукашенко.
О продиктованных жизнью изменениях
Еще один вынесенный на подписание документ - второй Большой протокол о внесении изменений в Договор о Союзе, который касается широкого круга вопросов: применение антидемпинговых мер по отношению к третьим странам, конкуренция и государственное ценовое регулирование, взимание косвенных налогов и механизм контроля за их уплатой, техническое регулирование и многое другое. "Все, что продиктовано жизнью", - отметил Глава государства.
О сотрудничестве на международном треке
В соответствии с утверждаемыми Основными направлениями международной деятельности ЕАЭС на 2022 год Александр Лукашенко предложил сосредоточиться на нескольких ключевых вопросах.
По его словам, совместная работа на внешнем контуре и деятельность Евразийской экономической комиссии должны быть ориентированы прежде всего на решение практических задач развития экспорта товаров и услуг.
"Китай здесь занимает особое место. Считаю необходимым акцентировать внимание на взаимодействии с этой страной в рамках сопряжения планов развития ЕАЭС, инициативы "Один пояс, один путь" и Соглашения о торгово-экономическом сотрудничестве 2018 года. 
Он также считает необходимым продолжить диалог с Египтом и Ираном для завершения переговоров по соглашениям о свободной торговле, а также активизировать его с Израилем.
Ожидается также скорое завершение предварительной работы с Индонезией и Монголией и принятие решения по вопросу целесообразности начала переговоров с данными странами о зоне свободной торговли.
Александр Лукашенко уверен, что неотъемлемым элементом международной деятельности как в 2022 году, так и в долгосрочной перспективе должна стать эффективная защита экономических интересов ЕАЭС. 
О сохранении положительной динамики экономического роста
Глава государства отметил, что текущая удачная конъюнктура во внешней торговле имеет цикличный характер, и чтобы сохранить положительную динамику экономического роста, в 2022 году партнерам по ЕАЭС следует сфокусироваться на реализации ряда мероприятий.
По словам Александра Лукашенко, прежде всего нужно активизировать промышленную кооперацию по совместному производству новой, востребованной на мировом рынке продукции. "Важным практическим шагом в данном направлении будет согласование перечня совместных масштабных высокотехнологичных проектов, а также определение условий их финансирования и реализации. Над такими проектами мы с Российской Федерацией работаем, - сказал Президент. - Для решения этой задачи в ближайшие годы нам необходимо особое внимание уделить внедрению инновационных технологий, чтобы не потерять внешние рынки. Аккумулирование совместных усилий и научного потенциала наших стран позволит сделать это с максимальной отдачей".
Еще одним необходимым элементом для гармоничного развития промышленности и успешной кооперации в данной сфере Президент назвал сближение инструментов и условий господдержки промышленности в странах ЕАЭС. Он призвал партнеров ответственно подойти к этой теме.
"В рамках формирования общего рынка государственных закупок в следующем году необходимо обеспечить взаимное признание электронной цифровой подписи и определить на уровне Союза комплекс мер по дальнейшей цифровизации государственных закупок в наших странах. Для этих целей мы также должны решить уже не новый вопрос - взаимное признание гарантий, выдаваемых банками наших стран", - продолжил белорусский лидер.
Кроме того, с учетом недавно принятого сторонами заявления о сотрудничестве в рамках климатической повестки, а также декларируемых ведущими экономиками мира целей по движению к низкоуглеродной экономике Александр Лукашенко считает необходимым изучить целесообразность корректировки положений стратегии развития в ЕАЭС и плана ее реализации.
"Считаю, что добросовестная работа по этим направлениям должна принести максимальную отдачу и обеспечить значительное продвижение в реализации положений стратегии", - резюмировал Глава государства. https://president.gov.by/ru/events/uchastie-v-zasedanii-vysshego-evraziyskogo-ekonomicheskogo-soveta-1639128020</t>
  </si>
  <si>
    <t>https://president.gov.by/ru/events/uchastie-v-zasedanii-vysshego-evraziyskogo-ekonomicheskogo-soveta-1639128020</t>
  </si>
  <si>
    <t>"К осени наша интеграционная повестка заметно оживилась. В сентябре со многими из вас мы встречались в Душанбе на мероприятиях ШОС и ОДКБ, где особое внимание уделили внешнеполитическим вопросам. Сегодня у нас есть хорошая возможность обсудить экономические аспекты сотрудничества", - отметил Александр Лукашенко.
На заседании лидеры стран ЕАЭС приняли один из ключевых документов встречи - решение о переходе ко второму этапу создания общих рынков нефти и нефтепродуктов. Он предполагает подготовку до 2023 года проектов правил торговли и правил биржевых торгов этими продуктами. К 2024 году планируется разработать международный договор о формировании общих рынков нефти и нефтепродуктов.
"При этом, стремясь к созданию общего рынка энергоресурсов, необходимо учитывать интересы всех государств - членов нашего союза. Только таким образом мы сможем обеспечить его устойчивость и долговечность", - подчеркнул Александр Лукашенко.
Дальнейшее развитие ЕАЭС белорусская сторона связывает с полной и своевременной реализацией Стратегии развития евразийской экономической интеграции до 2025 года.
"Важно уже сейчас сконцентрироваться на выполнении мер, предусмотренных данным документом. Только в этом случае к 1 января 2025 года мы получим полноформатный экономический союз с едиными рынками товаров, услуг, капиталов и трудовых ресурсов", - сказал Глава государства.
На саммите Президент обозначил несколько приоритетных направлений интеграционного строительства.
В частности, он призвал ускорить формирование цифрового пространства ЕАЭС. "По нашим оценкам, процесс создания и запуска интегрированной информационной системы союза идет медленно. Мы строим ее уже около 10 лет. При всей масштабности, сложности проекта такие результаты сложно признать удовлетворительными. Из почти 90 общих процессов нормально работают чуть более 20", - отметил Александр Лукашенко.
Также, считает Президент, следует ускорить разработку соглашения о единой системе таможенного транзита. Его принятие наряду с соглашением о применении в ЕАЭС навигационных пломб для отслеживания перевозок будет способствовать увеличению транзитного потока товаров, подчеркнул Глава государства.
Президент заметил, что страны - члены Евразийского экономического союза должны серьезно задуматься о своей продовольственной безопасности и принять ряд решений в этом направлении.
"Мы должны серьезно задуматься о продовольственной безопасности наших стран, защите от внешних ценовых шоков, вызванных ажиотажным спросом на ту или иную сельскохозяйственную продукцию", - сказал Александр Лукашенко.
Глава государства предложил для дальнейшего развития агропромышленного комплекса внедрить на уровне союза систему среднесрочного и долгосрочного планирования АПК с учетом развития мирового аграрного рынка.
"Следует также выйти на окончательное решение проблемы односторонних запретов и ограничений на поставку товаров", - сказал Президент.
Для этого, отметил Александр Лукашенко, нужно обеспечить своевременный и полноценный межгосударственный обмен информацией в сфере санитарного, фитосанитарного и ветеринарного контроля.
Белорусский лидер отметил, что в ЕАЭС пока слишком мало сделано по импортозамещению. По его мнению, этот процесс должен быть увязан с промышленной кооперацией в союзе.
"Чтобы избежать протекционизма на национальном уровне, необходимо максимально использовать промышленные мощности и ресурсы наших стран. А они немалые. Важно не просто содействовать производственному сотрудничеству, но и стимулировать более продвинутые формы кооперации путем создания наднациональных евразийских компаний или консорциумов", - подчеркнул Президент.
По словам Главы государства, требует дальнейшего совершенствования и финансовая инфраструктура ЕАЭС, в том числе для поддержки промышленной кооперации. Для увеличения количества совместных проектов с высокой интеграционной составляющей нужно обеспечить доступ к проектному финансированию в виде долгосрочных кредитов с льготной процентной ставкой, считает Президент.
"Для этого надо изменить формат работы Евразийского банка развития. Главные недостатки в его нынешней модели - высокий порог финансирования проектов и отсутствие льготной ставки по кредитам", - отметил Александр Лукашенко.
Еще одно предложение Главы государства: активнее привлекать национальные институты развития для совместных разработок.
"Развивая финансовую тему, нельзя обойти вопрос расширения использования национальных валют. Чрезмерное использование в расчетах той или иной иностранной валюты лишает нас конкурентных финансовых и экономических преимуществ, угрожает безопасности наших стран. Поэтому где, как не в ЕАЭС, нам следует опережающими темпами выходить на использование национальных валют", - заявил Александр Лукашенко.
Президент отметил, что решение обозначенных вопросов позволит странам ЕАЭС скорее преодолеть последствия экономического спада, вызванного пандемией, восстановить деловую активность, простимулировать рост промышленного производства, доверия, улучшить транзитный потенциал и конкурентную среду нашего общего экономического пространства.
"В Беларуси убеждены, что при наличии доброй воли совместными усилиями нам удастся в полной мере реализовать все возможности Евразийского экономического союза и достичь поставленных целей", - подытожил Глава государства. https://president.gov.by/ru/events/uchastie-v-zasedanii-vysshego-evraziyskogo-ekonomicheskogo-soveta-1634209877</t>
  </si>
  <si>
    <t>https://president.gov.by/ru/events/uchastie-v-zasedanii-vysshego-evraziyskogo-ekonomicheskogo-soveta-1634209877</t>
  </si>
  <si>
    <t>Уважаемые участники заседания! Уважаемый председатель!
Прежде всего хотел бы поблагодарить Садыра Нургожоевича за организацию заседания нашего совета, а также Евразийского экономического форума.
Наше заседание проходит в непростых геополитических и экономических условиях. Но нам удалось купировать проблемы на валютно-финансовом рынке. Однако санкционный прессинг не ослабевает, а скорее, наоборот, усиливается.
По причине глобального характера экономики и того факта, что Россия и Беларусь - крупнейшие торгово-экономические ваши партнеры, последствия санкций в той или иной степени затронут всех.
Поэтому нельзя сидеть сложа руки. Говорю это снова тем, кто думает, что все пройдет само собой и удастся благополучно отсидеться. Мы просто обязаны сплотиться и действовать единым фронтом, как здесь уже было сказано нашим председательствующим. Очевидно, это нужно всем и иного не дано, если мы хотим сохранить свою государственность, наш союз и на самом деле думаем о благе своих народов.
Уже сделанные нами совместные шаги - тому подтверждение. Это относится к достаточно оперативно принятым нашей комиссией решениям по повышению устойчивости экономик государств - членов союза. Считаю, что далее нам следует принять экстренные меры по переформатированию логистики.
Значительный интерес представляет инициатива комиссии по реализации проекта "Евразийский агроэкспресс". Он призван обеспечить регулярные беспрепятственные поставки сельскохозяйственных товаров железнодорожным транспортом, в том числе с Китаем.
Кроме того, нужно серьезно форсировать работу по созданию новых кооперационных связей и импортозамещению, в особенности по товарам критического импорта. Актуальным является предложение по разработке индикативных балансов в отношении товаров первой необходимости для внутреннего рынка союза.
ЕАЭС имеет хорошие позиции в вопросах продовольственной безопасности, однако в связи с прогнозируемым ажиотажным спросом в мире на первоочередные продукты питания необходима тесная координация, чтобы не допустить дефицита отдельных товаров в наших странах.
Считаю, что к решению обозначенных проблем необходимо подтягивать и остальные государства СНГ.
Особое значение имеет вопрос развития международного экономического сотрудничества с третьими странами и интеграционными объединениями.
В условиях санкций мы не должны замкнуться в самих себе в экономическом нашем союзе. Помимо так называемого коллективного Запада в мире достаточно государств, которые готовы развивать с нами равноправные, уважительные взаимоотношения.
Ведется активная работа по заключению торговых соглашений с Египтом, Ираном. На подходе начало предметных переговоров с Индонезией. Проявляют интерес к соглашению о свободной торговле Объединенные Арабские Эмираты.
Огромный потенциал имеет заключенный международный договор о торгово-экономическом сотрудничестве с Китаем. Его следует использовать для расширения взаимодействия в сфере промышленной кооперации, в том числе в инновационных областях, привлечения инвестиций, реализации транзитного потенциала нашего союза, наращивания взаимной торговли.
Сейчас необходимо сосредоточиться на работе по скорейшей реализации уже в этом году дорожной карты с китайской стороной. Также особое значение приобретает партнерство с КНР в сфере цифровых транспортных коридоров. Реализация данного направления поможет перейти на комплексную электронную технологию перевозки грузов железнодорожным транспортом между государствами нашего союза и Китаем.
Особое значение имеет обсуждение целого ряда проектов по участию Республики Узбекистан в инициативах союза. В этом контексте хотел бы отметить высокий уровень взаимодействия между союзом и Кубой, а также интерес Венесуэлы, что говорит о значительном потенциале для укрепления нашего экономического сотрудничества.
Вопросы не новые. В большинстве эти мероприятия уже проходили в наших документах и планах. Сейчас просто нужно уделить им больше времени и внимания с тем, чтобы добиться результата.
В завершение хотел бы также довести до вашего внимания, что в Беларуси начата активная подготовка к организации в августе 2023 года вторых Игр Содружества Независимых Государств. Мы все присутствующие поддерживали такое мероприятие ранее. Как вы помните, предыдущие Игры состоялись в 2021 году в Казани.
Если мы хотим продолжить эту хорошую традицию, прошу всех коллег активно подключиться к работе, дать необходимые поручения заинтересованным в ваших странах. Праздник спорта должен стать для наших народов еще одним символом дружбы и сплоченности.
Дорогие друзья!
Перед нами стоят непростые задачи, решать которые мы вынуждены в ускоренном режиме. И все это происходит на фоне глобальной неопределенности, еще более серьезной, чем в период распространения COVID.
Однако я убежден, что совместными усилиями, реализовав в полной мере возможности Евразийского экономического союза, преодолев национальный эгоизм, мы успешно пройдем все испытания.
Благодарю вас за внимание.</t>
  </si>
  <si>
    <t>https://eccis.org/news/23378/itogi_zasedanija_vysshego_evrazijskogo_ekonomicheskogo_soveta</t>
  </si>
  <si>
    <t>Уважаемые друзья!
Прежде всего традиционно хочу поблагодарить Президента Кыргызской Республики за радушный прием и высочайший уровень организации нашей встречи. Полагаю, сегодняшний разговор станет логичным продолжением состоявшегося диалога на площадках Шанхайской организации сотрудничества и СНГ.
Мы видим, что примитивная штамповка коллективным Западом бездумных пакетных экономических санкций против Беларуси и России начинает затихать. Все, что можно было запретить и ограничить, пусть даже и себе во вред, наши контрпартнеры уже сделали. Теперь для них пришло время осознания и оценки последствий. Слова про энергетический и продовольственный кризисы уже звучат со всех трибун.
Не надо быть провидцем, чтобы предположить: скоро в отдельных странах к этим двум кризисам может добавиться и третий - политический. Симптомы налицо. Внутренние критические оценки, в первую очередь со стороны населения и бизнеса, в ряде западных государств слышны все громче. Заявления чуть ли не об экономическом коллапсе в наших странах сменились трезвыми суждениями обозревателей, аналитиков, отдельных политиков о том, что санкции ударили по самим инициаторам гораздо больше.
Конечно, мы реально смотрим на вещи и не ожидаем, что этот накат в ближайшем будущем (вот завтра) ослабнет. Мы уже в определенной степени в общем-то закалились. Самое главное - мы не допустили падения уровня благосостояния граждан.
Достигнуто это в том числе и благодаря нашим совместным мерам по противодействию внешнему давлению и обеспечению устойчивости национальных экономик ЕАЭС. Принятые в рамках Евразийского экономического союза решения позволили существенно снизить негативный эффект от санкционного давления и поддержать важные отрасли экономики.
Но останавливаться ни в коем случае нельзя. С учетом фундаментальных изменений в мире наряду с решением текущих задач нам надо уделить самое пристальное внимание стратегическим направлениям развития союза. В связи с этим хочу подчеркнуть архиважность дальнейшего углубления внутрисоюзной интеграции и необходимость международного позиционирования нашего союза.
Что касается стратегических задач, необходимо, во-первых, в кратчайшие сроки обеспечить реальный выход на реализацию совместных проектов по созданию современнейших производств. Фактически производств будущего. Это обязательный элемент нашего экономического суверенитета. Сегодня мы сделаем еще один шаг в данном направлении - рассматриваем вопрос о наделении органов союза полномочиями по финансовому содействию промышленной кооперации за счет средств бюджета ЕАЭС. Возможность субсидирования процентных ставок по кредитам позволит вывести финансирование конкретных промышленных проектов Евразийским банком развития на качественно новый уровень.
Второе. Необходимо во что бы то ни стало оздоровить кровеносную систему нашего союза. Я говорю о финансах. Уже всем понятно, эпоха доминирования доллара завершается. Будущее за торговыми блоками, расчеты в которых будут производиться в национальных валютах. Беларусь и Россия уже ушли в основных расчетах от доллара. Важно, чтобы и другие партнеры активно подключились к этому процессу.
Третье. На заседании Высшего совета в мае этого года мы договаривались предметно рассмотреть вопрос об устранении препятствий на внутреннем рынке ЕАЭС.
Считаю, что у нас в принципе не должно оставаться барьеров во взаимной торговле. Это суть организации нашего союза. Это решит две главнейшие задачи: по обеспечению национальных рынков товарами критического импорта и координации действий при экспорте стратегически важных товаров, в первую очередь продовольствия.
Но сегодня реальность такова, что мы по-прежнему продолжаем бороться с последствиями решений, принимаемых в одностороннем порядке на национальном уровне: то лес вывезти на экспорт не можем, то международных автоперевозчиков не пропускаем. При этом поиск взаимоприемлемых решений по проблемным вопросам растягивается на долгие месяцы. Совещаний порой много - решений мало. Считаю, что комиссия должна максимально усилить работу в указанном направлении.
Четвертое. Нужно также уделить первостепенное внимание повышению международного авторитета и конкурентоспособности нашего союза. Последние события показали, что далеко не все согласны с дальнейшим существованием однополярного мира. Как следствие, растет роль таких интеграционных объединений, как ШОС, БРИКС. И наш союз - ЕАЭС - должен идти с ними в ногу. Более того, полагаю, настало время для проведения саммита стран - членов ЕАЭС, ШОС и БРИКС. Эти страны разделяют наши подходы о необходимости уважения разных культур, взглядов, политических систем. Возможно, отдельные государства АСЕАН захотят принять участие в такой встрече.
Стержневыми пунктами повестки саммита могли бы стать вопросы экономического взаимодействия (например, формирование региональных торговых блоков, использование национальных валют), а также темы энергетики и безопасности.
Этот вопрос актуально звучит особенно в плане того, что в будущем году председательство берет на себя Российская Федерация. Думаю, что будет легче при председательстве России организовать подобное мероприятие.
Необходимо четко и последовательно заявлять о своем присутствии на карте мира и через дальнейшее расширение зон свободной торговли с теми государствами, которые в этом заинтересованы.
Сегодня мы принимаем решение о начале переговоров по заключению соглашения о свободной торговле с Объединенными Арабскими Эмиратами. Для нашего союза это прежде всего знаковый политический шаг.
В то время как нас пытаются расколоть и изолировать, мы планомерно расширяем торговое сотрудничество с нашими партнерами. Уже на завершающем этапе переговоры о зонах свободной торговли с Ираном и Египтом. На подходе начало переговоров с Индонезией и Монголией. Заключение таких соглашений помимо экономических бонусов демонстрирует тщетность попыток коллективного Запада удушить нас санкциями.
Уважаемые коллеги!
Развитие евразийской экономической интеграции сопряжено с преодолением целого ряда трудностей и препятствий. Но тем отраднее отметить, что текущий год прошел весьма продуктивно. И большая заслуга в этом принадлежит всем нам.
Особую благодарность хочу выразить Садыру Нургожоевичу за качественно проделанную работу в рамках председательства в ЕАЭС. Я уже сказал по результатам узкого нашего заседания (заседание Высшего Евразийского экономического совета в узком составе. - Прим. БЕЛТА) - мы как никогда предметно и глубоко обсудили повестку дня и очень актуальные вопросы, которые выносились на это узкое заседание. В этом большая заслуга нашего председателя.
Одновременно хочу пожелать успехов Владимиру Владимировичу Путину, принимающему сегодня эстафету председательства на следующий год. Мы все будем стараться в будущем году, чтобы большие шаги наш союз сделал к тем целям, которые мы перед собой поставили.
Благодарю вас за внимание.-0-</t>
  </si>
  <si>
    <t>https://belta.by/president/view/o-strategii-v-eaes-i-skorom-politicheskom-krizise-na-zapade-vystuplenie-lukashenko-na-sammite-v-539268-2022/</t>
  </si>
  <si>
    <t>А.Лукашенко: Уважаемые участники нашего заседания!
Я присоединяюсь к словам оратора и хочу поблагодарить Президента России, всех тех, кто принимал участие в заседании Высшего Евразийского экономического совета, а также вчерашнего форума.
Современный мир находится на стадии глобальных перемен, вступает в эпоху масштабных преобразований и стратегического развития. Приходит осознание необходимости формирования на смену однополярной системе управления новых центров принятия решений, обеспечивающих учёт интересов всех участников международных отношений.
Внимание, проявленное к мероприятиям, проходящим сегодня в Москве, однозначно свидетельствует о том, что одним из таких центров должен стать Евразийский экономический союз.
Мы наконец продвинулись в вопросах поддержки проектов в области промышленной кооперации, подготовлено решение об оказании финансового содействия таким проектам за счёт средств бюджета ЕАЭС. Это знаковый документ, и мы ожидаем от него серьёзной практической отдачи.
Вместе с тем по ряду важнейших вопросов внутренней повестки нашей интеграции мы двигаемся сложно и откровенно медленно. Прежде всего речь идёт о формировании общих рынков газа, нефти, нефтепродуктов, реализации мероприятий цифровой повестки, либерализации транспортного рынка. В узком составе широко об этом говорили. А ведь это основополагающая для наших экономик сфера деятельности, и её актуальность на фоне санкций только возросла.
Приоритетной задачей для всех нас остаётся создание полноценного экономического союза. Все отмечают наличие прогресса в данном вопросе, но я остаюсь на прежней позиции: ни барьеров, ни ограничений быть не должно вообще. Это базовый принцип построения нашего Союза, и мы должны достичь цели в самое ближайшее время.
Проделана большая работа по формированию общего рынка государственных и муниципальных закупок. Не без проблем, но рынок госзакупок функционирует.
Однако для его дальнейшего полноценного развития необходимо подписание и скорейшее вступление в силу соглашения о взаимном признании банковских гарантий при осуществлении госзакупок и правил взаимного признания электронной цифровой подписи.
Более того, есть резерв для решения соответствующего сектора экономических отношений. Помимо госзакупок существует и сфера госкорпораций. Считаю, что снятие ограничений по доступу к закупкам государственных корпораций благотворно скажется на экономике Союза.
Ещё один приоритетный вектор развития Союза – совершенствование транспортной инфраструктуры и развитие эффективной логистики. Президент Казахстана в узком составе поднимал этот вопрос и на примерах показывал, насколько это важно для развития нашего Союза.
В связи с разворотом наших экспортных потоков на юго-восток очень важно совместными усилиями «прорубить окно» в страны названного региона. Это бездонный рынок для наших товаров.
В то же время мы должны обеспечить равный доступ к имеющейся и создаваемой инфраструктуре, чтобы в дальнейшем не возникло неприятных ситуаций, как в случае с экспортом на рынки третьих стран лесоматериалов через территории государств-членов и, как Казахстан говорит, каменного угля.
Считаю целесообразным вернуться к рассмотрению вопроса о либерализации автомобильных перевозок в третьи страны без необходимости получения специальных разрешений.
Хотелось бы также затронуть относительно новый, но весьма актуальный аспект нашей интеграции – климатическую повестку Союза.
Мы уже не первый год наблюдаем, как Европа активно готовится к торговле в сложившихся условиях. Разрабатываемый странами Евросоюза механизм трансграничного углеродного регулирования станет серьёзным инструментом воздействия на международную торговлю. Евросоюз получит дополнительную возможность для манёвра: товары, признанные «чистыми», будут допускаться на рынок, а то, что им не нужно будет, – просто блокироваться, они умеют это делать. В этой связи в рамках нашего Союза важно объединить усилия и выработать собственные подходы и меры реагирования на климатические вызовы. Нужно планомерно двигаться к структуре экономики, в которой преобладают производства и технологии с низким уровнем выбросов парниковых газов.
Наш ответ на санкционное давление – активизация взаимодействия ШОС, БРИКС и АСЕАН, заключение новых торговых соглашений и конструктивное взаимовыгодное сотрудничество со всеми, кто готов с нами дружить и работать. При этом обращаю внимание, что в итоге должен быть обеспечен баланс интересов всех участников. Задача непростая, но, уверен, комиссия обладает необходимыми навыками и компетенциями.
В завершение отмечу: Беларусь поддерживает инициированную в рамках российского председательства необходимость определения подходов к формированию новой стратегии развития евразийской интеграции до 2030 года, а где-то, может быть, и до 2045.
В то же время хочу подчеркнуть, что при подготовке актуальных стратегических документов нашему Союзу, это важно, может представлять интерес опыт реализации некоторых инициатив на уровне нашего Союзного государства Белоруссии и России, о котором так много вчера говорил на форуме Президент Казахстана.
Вместе с тем хотел бы предостеречь всех нас от излишнего увлечения стратегическим планированием. Это мы умеем делать, это просто. По крайней мере эта полезная работа не должна отменять или подменять практическую деятельность по реализации целей и задач Договора о ЕАЭС, которая ведётся государствами-членами и Комиссией уже сейчас. Накопилась масса конкретных вопросов, которые надо снимать, они на поверхности.
Уважаемые коллеги, убеждён, что совместными усилиями нам в полной мере удастся реализовать потенциал нашего Союза как внутри объединения, так и на внешнем контуре, тем самым мы сможем создать один из полновесных ответственных центров нового многополярного мира.
Благодарю за внимание.</t>
  </si>
  <si>
    <t>http://prezident.org/tekst/stenogramma-zasedanija-vysshego-evraziiskogo-ekonomicheskogo-soveta-25-05-2023.html</t>
  </si>
  <si>
    <t>Александр Лукашенко высказался о перспективах евразийской интеграции до 2045 года. Вниманию лидеров стран была представлена подготовленная в период российского председательства декларация об основных задачах и ключевых направлениях дальнейшего развития интеграционных процессов в рамках Евразийского экономического союза на период до 2030 и 2045 годов.
Во время своего выступления на саммите Александр Лукашенко назвал главным достижением в Евразийском экономическом союзе стабильно функционирующие общий внутренний рынок и единое таможенное пространство.
"Наше заседание в определенной степени знаковое. Завершается очередной этап развития Евразийского экономического союза. В будущем году мы отметим десятилетие (подписания Договора о ЕАЭС. - Прим.). Нам представлен обширный и обстоятельный доклад об итогах работы союза за истекший период. Мы можем не только оценить результаты, но и поговорить о путях совершенствования, необходимых решениях проблемных вопросов. Считаю главным достижением стабильно функционирующие общий внутренний рынок и единое таможенное пространство со всеми недостатками", - сказал белорусский лидер.
Товарооборот союза с внешними партнерами за последние семь лет в абсолютных показателях увеличился более чем на $340 млрд. Объемы взаимной торговли удвоились и составили порядка $85 млрд. "У Беларуси с Россией в этом году будет где-то около $50 млрд (взаимной торговли. - Прим.), - отметил Александр Лукашенко.
Белорусский лидер заявил, что в союзе сохраняется высокий уровень самообеспеченности сырьевыми ресурсами и ключевыми видами продовольствия.
"Что очень важно. Много говорили, что мы не сможем жить самостоятельно. Вот - ключевыми видами мы обеспечены", - заметил белорусский лидер.
Например, страны ЕАЭС удерживают второе место в мире по добыче нефти и газа, производству минеральных удобрений, третье - по производству пшеницы, картофеля, животноводческой продукции, четвертое - по добыче угля. "Разбежки совсем небольшие от лидеров", - уточнил Президент.
Александр Лукашенко напомнил, что в самом начале функционирования у ЕАЭС было отрицательное сальдо внешнеторгового баланса по товарам продовольственной группы, которое в 2015 году сложилось в размере почти $13 млрд.
"Сейчас благодаря слаженной работе в рамках союза устранили дисбаланс и вышли в плюс по продовольствию. Этой важнейший фактор. Людей накормили своих и обеспечиваем другие страны мира. Достигнут высокий уровень продовольственной самообеспеченности, который, к примеру, по Беларуси составляет почти 100%. За счет собственного производства мы покрываем свои внутренние потребности в зерне, свинине, мясе птицы, молоке, овощах, растительных маслах, курином яйце и в других продуктах", - сказал Президент.
"Поставьте нам, не жадничайте", - не без доли юмора заметил на это Президент России Владимир Путин.
Глава белорусского государства также обратил внимание, что такие результаты достигнуты в очень неблагоприятных внешних условиях, когда геополитические конкуренты открыто вознамерились разорвать и разобщить союзников. "Но мы сообща справились с этим вызовом и поступательно двигаемся вперед", - подчеркнул Александр Лукашенко.
Президент Беларуси подчеркнул, что в ЕАЭС не изолируются от внешнего мира. "Наше интеграционное объединение открыто для взаимовыгодного и равноправного сотрудничества с ведущими экономиками. Мы не изолируемся от внешнего мира, как бы кому-то этого ни хотелось", - сказал Александр Лукашенко.
Он подчеркнул, что партнеры по ЕАЭС строят диалог на условиях равенства и уважения интересов. "Последний пример - подписание соглашения о создании зоны свободной торговли с Ираном. Сегодня это крупнейшая экономика Среднего Востока, ключевой элемент южного торгового пути с Ближним Востоком и Южной Азией", - отметил белорусский лидер.
"Важно, что наши страны живут не только настоящим. Мы четко понимаем цели интеграции в обозримом будущем. По инициативе российской стороны подготовлена декларация, определяющая задачи развития Евразийского экономического союза до 2030 года и контуры интеграции до 2045 года. В строгом духе экономического прагматизма обозначены конкретные, понятные цели: дальнейшее строительство общего евразийского рынка, обеспечение его ключевыми товарами и ресурсами, развитие кооперации, формирование общего транспортно-логистического пространства и общего финансового рынка, активное международное позиционирование ЕАЭС", - сказал Глава белорусского государства.
По словам Александра Лукашенко, в развитие декларации необходимо выработать и дорожную карту реализации намеченного: "Декларация определяет важнейшие направления, по которым мы будем двигаться. Это концептуальная вещь. Поэтому сегодня мы приняли решение, разговаривая в узком составе, что под декларацию в ее развитие надо принять дорожную карту - конкретный план нашего развития. Будет непросто, но мы такой план примем".
По словам Александра Лукашенко, вопросу финансовой поддержки евразийских кооперационных проектов в промышленности за счет средств бюджета союза уделяется особое внимание.
"Хорошая новинка. То есть мы будем строить совместно новые предприятия и этим самым развивать нашу экономику. Решение принято, критерии подбора таких проектов разработаны и одобрены", - отметил он.
Также важное место занимает работа по совместному развитию транспортно-логистической и цифровой инфраструктуры государств-членов, повышению транспортной связанности союза с активно развивающимися рынками третьих стран.
"Сопряжение наших инфраструктурных возможностей, реализация потенциала международных организаций и институтов развития могут и должны обеспечить решение задачи по формированию общеконтинентального транспортно-логистического и торгово-экономического пространства", - сказал Глава государства.
По его словам, хороший пример такого объединения усилий - транспортный коридор "Север - Юг", который реализуется по инициативе Президента России с участием Азербайджана и Ирана. "Это будет прорыв транспортный и логистики. Важно придать этому проекту динамику. Ни в коем случае нельзя его оставить на бумаге", - заметил белорусский лидер.
Максимальное раскрытие посылов и направлений, отраженных в декларации, - задача для правительств стран и Евразийской экономической комиссии. "В условиях формирования новой высококонкурентной геополитической среды итогом реализации всех планов хотелось бы видеть Евразийский экономический союз если не к 2030-му, то к 2045 году точно одним из основных глобальных полюсов экономического притяжения", - заявил Александр Лукашенко.
Глава государства рассказал, что на заседании в узком составе сравнил ЕАЭС с другими интеграционными объединениями, такими как ШОС и БРИКС. "Мощнейшая организация - ШОС. Многие, кто входит в состав ЕАЭС, являются членами этого объединения. БРИКС - очень распиаренная (и правильно), в будущем, возможно, мощная организация, на которую смотрят многие страны, недовольные развитием ситуации в ООН. Но, сравнивая их с ЕАЭС, я делаю вывод, что мы имеем больше возможностей. ШОС, БРИКС так не продвинулись в экономике, как мы. У них нет этой динамики. Они еще не достигли того уровня интеграции, которого достигли мы", - пояснил белорусский лидер.
По его словам, главное сейчас не потерять темп и не останавливаться в сотрудничестве и развитии интеграции: "Надо двигаться в этом направлении. Чтобы мы были ведущей не только региональной, но и мировой экономической организацией. А будет экономика - к этому и политика придет, и военно-политическое сотрудничество, если будет что защищать. Оно тоже никуда не денется. У нас шанс. Самое главное - не остановиться".
В этом контексте Александр Лукашенко подчеркнул актуальность дальнейшего движения государств - членов ЕАЭС в фарватере белорусской инициативы "интеграции интеграций", которая нашла отражение в утверждаемых на саммите в Санкт-Петербурге основных направлениях международной деятельности ЕАЭС на 2024 год.
"Документ емкий, правильный, в нем все подробно изложено. Однако в вопросах международного позиционирования союза и международной деятельности комиссии хотелось бы иметь большую системность. Тоже должен быть определенный план действий, а не то, как бог на душу положит", - заметил белорусский лидер.
По его словам, стоит активнее работать над развитием института государства - наблюдателя при союзе, прикладывать больше усилий в направлении реального сопряжения интеграционных потенциалов ЕАЭС, ШОС, БРИКС. "Несмотря на то, что мы имеем больше возможностей, надо с ними теснее сотрудничать. От этого мы станем только сильнее. Нужно пользоваться преимуществами участия в таких динамично развивающихся объединениях с Россией, которая работает в них на правах одной из ключевых стран-учредителей. Будем всячески поддерживать Российскую Федерацию в этой важной коллективной работе", - заявил Александр Лукашенко. https://president.gov.by/ru/events/uchastie-v-zasedanii-vysshego-evraziyskogo-ekonomicheskogo-soveta-v-sankt-peterburge</t>
  </si>
  <si>
    <t>https://president.gov.by/ru/events/uchastie-v-zasedanii-vysshego-evraziyskogo-ekonomicheskogo-soveta-v-sankt-peterburge</t>
  </si>
  <si>
    <t>Президент Беларуси Александр Лукашенко на заседании Высшего Евразийского экономического совета в Москве отметил успехи ЕАЭС за прошедшие 10 лет, но указал и на вопросы по различным направлениям, над решением которых сторонам еще необходимо работать.
"Даже по самому строгому счету можно констатировать, что первые 10 лет пройдены достаточно успешно. Мы практически вышли на финальный этап реализации стратегии-2025", - заявил Глава государства.
По его словам, принятые меры объективно способствовали увеличению взаимной торговли государств - членов ЕАЭС. По итогам 2023 года темп ее роста составил почти 105%. В абсолютных цифрах - около $90 млрд. И это несмотря на сохраняющуюся сложную ситуацию на мировых рынках.
"Но главное, мы научились лучше слышать друг друга Ни рост ВВП, ни увеличение реальных доходов населения не были бы возможны, если бы мы были порознь. Да и не всем в одиночку удалось бы сохранить свой суверенитет. Сделано, безусловно, многое, - сказал Александр Лукашенко. - Наш союз еще достаточно молодой, но в его развитие уже вложено очень много сил, энергии и средств. Мы в ответе за то, чтобы он и дальше развивался на благо наших народов и на деле стал бы настоящим полюсом экономического притяжения в современном мире. Я абсолютно убежден, это нам по силам".
Вместе с тем Президент констатировал, что вопросов и вызовов в интеграционном строительстве меньше не стало, и привел несколько красноречивых примеров.
О промышленной кооперации
Глава государства напомнил, что в прошлом году приняты фундаментальные решения в целях финансовой поддержки промышленной кооперации. Несмотря на это, серьезной активности бизнеса пока не наблюдается. "При этом хотелось бы еще раз отметить, что работа в условиях санкционного давления требует незамедлительных решений. Быстрых решений. Лидеры стран-участниц такие решения в большинстве своем оперативно принимают. Однако они далеко не всегда быстро реализуются, - заметил белорусский лидер. - Хотел бы обратить внимание всех присутствующих, что такая нерасторопность реально отражается на финансовых результатах работы наших предприятий и ведет к ужесточению конкуренции со стороны третьих стран".
С учетом внедрения нового механизма финансовой поддержки промышленной кооперации Александр Лукашенко обратился к Евразийской экономической комиссии с просьбой инициативно включиться в данную работу и организовать взаимодействие как в разрезе отраслей, так и с привлечением деловых ассоциаций и объединений государств - членов союза.
"Средства на субсидирование проектов выделены немалые, и их нужно целевым образом очень эффективно использовать. За это отвечают и наши правительства вместе с комиссией", - подчеркнул Глава государства.
О беспрепятственном доступе к госзакупкам
По данным Президента, объем госзакупок в странах ЕАЭС составляет почти $200 млрд. Фактически государства как покупатели товаров, работ, услуг полностью управляют этим рынком, а также определяют политику закупок и каналы приобретения.
"Если мы действительно управляем, то давайте обеспечивать взаимный доступ по меньшей мере там, где производимая в ЕАЭС продукция может стать эффективным источником удовлетворения государственных потребностей", - призвал Александр Лукашенко.
Вместе с тем он констатировал, что в данной сфере все еще сохраняется национальный протекционизм: в реальности рынок защищается не от импорта из третьих стран, на которые приходится почти две трети госзакупок ЕАЭС, а от товаров и услуг, произведенных в странах союза. "То есть защищаем каждый свой рынок от своих партнеров", - заметил Президент.
"Убежден, вопрос о расширении взаимного участия в госзакупках требует безотлагательного решения. Потому что он тесно связан с импортозамещением и технологическим суверенитетом. И по большому счету это наша безопасность и это наша независимость", - уверен Глава государства.
О цифровизации
Александр Лукашенко заявил о необходимости сконцентрироваться на скорейшем признании электронной цифровой подписи: "Говорим об этом уже не первый год. Все принципиальные договоренности давно достигнуты, но воз и ныне там. А ведь это не политический, а технический вопрос. Но именно он зачастую становится непреодолимым барьером для участия евразийского бизнеса в хозяйственных процессах стран союза".
Президент считает необходимым завершить данную работу в самое ближайшее время.
О техническом регулировании
Это направление тесно связано с предыдущим вопросом. "Работа по техническому решению на завершающей стадии. Осталось только перевести техрегулирование в цифровой формат, - заметил Александр Лукашенко. - Уверен, в этом зале никого не нужно убеждать, что цифровизация техрегулирования предоставит нашей промышленности дополнительные возможности для развития. Упростит получение информации и процессы сертификации и стандартизации".
О транспортных услугах
Александр Лукашенко отметил в целом слаженную работу в данной сфере как на национальном, так и наднациональном уровне: "Нам удалось найти решения по альтернативным маршрутам поставок товаров, договориться (пусть и временно) об осуществлении перецепки и перегрузки, согласовать новые условия пересечения границ".
Тем не менее Александр Лукашенко указал на необходимость того, чтобы ЕЭК наладила постоянный канал обмена информацией со странами ШОС, в первую очередь с Китаем. Это нужно для более точного управления грузопотоками и организации эффективной работы погранпереходов.
О продовольственной безопасности
В данной сфере Президент считает необходимым совершенствовать работу по унификации требований, связанных с обращением сельскохозяйственной продукции, активнее внедрять инновационные подходы в агропромышленном комплексе.
"При этом нам крайне важно обеспечивать потребности нашего союза в продовольствии собственного производства. А мы это можем. Для этого нужно, чтобы наши аграрии в том числе имели свой высококачественный семенной материал", - обратил внимание белорусский лидер.
О международном позиционировании ЕАЭС
"Наши геополитические оппоненты пытаются изолировать нас от передовых технологий и премиальных рынков, сдержать наше развитие. Но, несмотря на это, мы планомерно продвигаемся вперед", - заявил Президент.
Он напомнил о подписании полноценного торгового соглашения с Ираном. Укрепляется также взаимовыгодное сотрудничество в формате "пятерки" с перспективными дружественными странами - Индонезией, ОАЭ, Монголией.
"Однако работа по установлению партнерских отношений с третьими странами, по нашему мнению, нуждается в систематизации. В текущих геоэкономических реалиях нужно четко понимать, с какими странами, в какой последовательности, в какие сроки будет формироваться зона свободной торговли, а с кем из потенциальных партнеров ограничимся взаимодействием в рамках меморандумов", - отметил Глава государства.
Он также считает, что пока мало внимания уделяется диалогу на уровне союза с Африканским континентом. "Африка испытывает потребность в широком перечне наших товаров, работ, услуг и технологий, - заметил Александр Лукашенко. - Африка, как и Латинская Америка, наелись уже колониализма от соответствующих ведущих стран. И это момент, когда мы должны прийти в Африку".
Также огромные преимущества открывает параллельное участие стран ЕАЭС и партнеров по Содружеству Независимых Государств в ШОС и БРИКС.
"Но нам не следует забывать о своих ближайших соседях, друзьях, братьях. Взаимодействие с государствами - наблюдателями при ЕАЭС и странами СНГ должно быть в зоне постоянного и пристального внимания", - добавил белорусский лидер.
О роли России в укреплении партнерства
"Активные последовательные усилия Российской Федерации по развитию и укреплению нашего партнерства сегодня важны как никогда", - подчеркнул белорусский лидер.
Александр Лукашенко поблагодарил Президента России Владимира Путина и российскую сторону в целом за теплый прием и высокий уровень организации мероприятия. "Это Ваше первое (после состоявшейся накануне инаугурации. - Прим.) крупное международное совещание. И мы, конечно, не подведем Вас в этом плане", - заверил Глава государства.
Пользуясь случаем, он также поздравил участников саммита с очередной годовщиной героической Победы советского народа в Великой Отечественной войне.
По завершении саммита лидеры стран еще некоторое время общались в неформальной обстановке, после чего состоялся совместный ужин. Помимо участников заседания ВЕЭС в расширенном составе, к коллегам присоединились также находящиеся с визитом в Москве президенты Таджикистана и Туркменистана. https://president.gov.by/ru/events/cammit-evraziyskogo-ekonomicheskogo-soyuza-v-moskve</t>
  </si>
  <si>
    <t>https://president.gov.by/ru/events/cammit-evraziyskogo-ekonomicheskogo-soyuza-v-moskve</t>
  </si>
  <si>
    <t>Александр Лукашенко добавил, что лидеры также условились о том, что белорусская сторона направит партнерам информацию об основных направлениях, которым намерена уделять самое пристальное внимание во время своего председательства в ЕАЭС.
"Во время дебатов в узком составе я попросил при обсуждении вопроса штата и заработной платы нашей Евразийской комиссии дать полгода для того, чтобы мы проанализировали штатное расписание и заработную плату и наконец-то разрешили вопрос, который ставит комиссия по повышению заработной платы. Дебаты были действительно очень серьезные - от зарплаты до нефти и газа, поэтому договорились, что мы выступать здесь не будем", - рассказал Глава государства.
Следующий саммит Президент предложил провести в Минске в конце мая. Как известно, в ЕАЭС сложилась практика, когда одно из заседаний в году проводится на территории государства-председателя, а второе - в России. "Нет смысла нам менять эту практику, поэтому летнее заседание с учетом председательства Беларуси в органах ЕАЭС предлагаю провести в Минске и совместить его с Евразийским экономическим форумом, как это предусмотрено уставными документами, - отметил Александр Лукашенко. - Если будут какие-то с вашей стороны предложения, изменения, примем дополнительные решения в ходе консультаций".
Глава государства также попросил приехать на саммит наблюдателей при ЕАЭС, поскольку формат личного присутствия наиболее эффективен во время переговоров. При этом Александр Лукашенко подчеркнул, что это замечание не относится к Армении, поскольку Никол Пашинян отсутствовал на саммите по уважительной причине.
"Никол Воваевич, это вас не касается. Мы знаем, что вы не только сбрили боро?у, но и приболели немножко. Поэтому мы воспринимаем вас как нового, молодого (внешне по крайней мере) члена нашего союза", - пошутил Президент.
Никол Пашинян рушил сразу предупредить, что его страна примет участие в предстоящем саммите в формате видеосвязи. Такое решение он связал со своими предыдущими заявлениями, уйдя от прямого вопроса о причинах планируемого отсутствия.
Вместе с тем белорусская делегация была настроена конструктивно. Президент Беларуси даже предложил организовать при необходимости подвоз армянской стороны и заверил, что предложение Армении будет обязательно рассмотрено.
По итогам саммита лидеры стран Евразийского экономического союза согласовали ряд решений. Так, были утверждены основные направления международной деятельности на 2025 год. В числе приоритетных для ЕАЭС направлений будут активизация взаимодействия со странами СНГ, развитие взаимовыгодного сотрудничества с государствами-наблюдателями и системного диалога с ключевыми интеграционными и межгосударственными объединениями Евразии в контексте идеи Большого Евразийского партнерства.
На саммите было подписано соглашение о единой системе таможенного транзита ЕАЭС и третьей стороны (третьих сторон). Высший Евразийский экономический совет предоставил Ирану статус государства – наблюдателя при ЕАЭС.
Главы стран Союза определили, что в 2025 году председательствовать в Высшем Евразийском экономическом совете, Евразийском межправительственном совете и Совете Евразийской экономической комиссии будет Республика Беларусь. Очередное заседание ВЕЭС состоится в конце мая 2025 года в Беларуси. https://president.gov.by/ru/events/zasedanie-vyssego-evrazijskogo-ekonomiceskogo-soveta</t>
  </si>
  <si>
    <t>https://president.gov.by/ru/events/zasedanie-vyssego-evrazijskogo-ekonomiceskogo-soveta</t>
  </si>
  <si>
    <t>"Вы всегда отмечали, что в Минске у нас, проводя те или иные мероприятия, получается закончить их результативно. Я на это очень рассчитываю", - обратился Президент к присутствующим главам государств, открывая заседание в узком составе.
Александр Лукашенко поприветствовал всех участников мероприятия и отметил, что, несмотря на загруженность графиков президентов, сохраняется регулярность встреч на самом высоком уровне. Это, по его словам, позволяет оперативно реагировать на возникающие проблемы, решать вопросы, по которым не может найти развязки Евразийская экономическая комиссия, и в целом поддерживать интенсивный темп работы органов ЕАЭС.
"Думаю, вы согласитесь, что это также хорошая возможность в кругу близких по духу людей обсудить и международную повестку (а она очень насыщенная в последнее время)", - добавил Глава государства.
Президент напомнил, что накануне на пленарной сессии Евразийского экономического форума лидеры стран начали обсуждение актуальных тем и стратегии углубления евразийской интеграции. Состоялся предметный обмен мнениями о перспективах экономического партнерства, высказывались оценки и видение дальнейшего развития союза. "Уверен, что реализация озвученных идей будет способствовать укреплению ЕАЭС как ключевой интеграционной платформы на постсоветском пространстве и полюса экономического притяжения в международном измерении", - сказал Александр Лукашенко.
"Наше объединение привлекает к себе внимание в мире, - продолжил он. - Одни по-доброму смотрят, как мы неплохо набираем обороты и подключаются к нашему союзу. Другие предвкушают момент, когда мы споткнемся или вообще разойдемся. Чьи ожидания оправдаются, зависит исключительно от нас".
"Председательство Республики Беларусь в органах ЕАЭС реализуется в особенный год с точки зрения дальнейших перспектив для развития нашего объединения", - подчеркнул Президент.
Глава государства обратил внимание, что в повестке саммита ряд вопросов, требующих принятия конкретных решений на высшем уровне. "Во-первых, мы завершаем реализацию стратегических направлений развития евразийской экономической интеграции до 2025 года, - пояснил Александр Лукашенко. - Во-вторых, в этом году должна быть принята дорожная карта совместных действий на следующий период - уже для реализации декларации о дальнейшем развитии экономических процессов в нашем союзе".
Соответствующий план мероприятий будет утвержден на уровне Совета ЕЭК, а затем представлен Высшему совету и рассмотрен на заседании в декабре.
"Если мы хотим, чтобы наш союз был работающим и эффективной структурой, а не площадкой теоретических дискуссий (хотя это тоже неплохо), темп развития нашего союза на следующую пятилетку должен быть напряженным, по каждому направлению нужен четкий алгоритм действий, приводящий к конкретному общему результату", - подчеркнул белорусский лидер.
Президент отметил, что хорошей традицией становится присутствие в повестке саммита тематики международного сотрудничества. Один из вопросов нынешнего заседания ВЕЭС касается реализации основных направлений международной деятельности союза за 2024 год.
"Считаю, что движение в этом направлении идет правильным курсом, особенно в нынешней международной обстановке, когда рушатся, казалось бы, незыблемые, десятилетиями применявшиеся правила и договоренности", - сказал Глава государства.
По его мнению, следует продолжить системную работу по сопряжению потенциала ЕАЭС с возможностями крупнейших международных объединений и инициатив, с которыми у союза общие уставные ценности. Важнейшим инструментом продвижения общих интересов стран ЕАЭС на международной арене Президент назвал создание зон свободной торговли с третьими странами. "Расширение пула стран, заключивших с нами подобные договоры, подтверждает правильность международного вектора деятельности союза", - констатировал Александр Лукашенко.
В повестке дня саммита также функционирование внутреннего рынка ЕАЭС с учетом влияния на него отдельных факторов и перспектив дальнейшего развития.
"Уверен, что наше общение как в рамках официальной повестки, так и за ее пределами позволит найти ответы на все существующие вопросы, в кругу единомышленников подобрать ключи к решению самых сложных интеграционных задач", - подчеркнул белорусский лидер.
Общение лидеров ЕАЭС в узком составе длилось почти два часа. Главы государств подробно рассмотрели несколько вопросов и приняли по ним соответствующие решения. Они были формализованы по итогам саммита.
В начале заседания Высшего Евразийского экономического совета в расширенном составе Александр Лукашенко отметил, что возможность открыто и главное - в дружественной, спокойной обстановке обсуждать любые, даже самые сложные проблемы является настоящей роскошью в современном мире. В Беларуси такая возможность бережно сохраняется.
"Растущая геополитическая напряженность и фрагментация мировой экономики диссонируют с запросом глобального большинства. Мы должны все-таки постараться отбросить в сторону деструктивную повестку, которую навязывает так называемый золотой миллиард (хотя уже он никакой не золотой)", - подчеркнул белорусский лидер.
По словам Президента, нужно повышать конкурентоспособность экономик, развивать промышленность, добиваться технологического суверенитета, обеспечивать продовольственную безопасность, создавать условия для мирной и спокойной жизни наших народов.
"Союз успешно прошел этап становления и демонстрирует хорошие темпы развития. В истекшем году ВВП нашего объединения вырос почти на 4,5%, превысив $2,5 трлн. Рост промышленности составил 4,5%, инвестиций в основной капитал - 7,5%. Согласитесь, достойный результат. Дай бог на этом уровне удержать", - сказал Глава государства.
"ЕАЭС способен стать ядром конкурентоспособного и успешного пространства интеграции интеграций. На котором евразийский экономический потенциал был бы сопряжен с громадными возможностями Шанхайской организации сотрудничества, БРИКС, АСЕАН и других объединений Глобального Юга и Востока", - заявил Александр Лукашенко.
Он отметил, что в период председательства в ЕАЭС, впрочем, как и всегда, Беларусь будет принимать все необходимые меры для усиления экономического потенциала объединения и укрепления его международного авторитета.
"Исходим из того, что механизмы углубленного сотрудничества союза с государствами-наблюдателями будут планомерно развиваться и позволят масштабировать евразийские проекты на более широкий интеграционный контур, - сказал Президент. - Рассматриваем как прочную основу эффективного экономического сотрудничества с дружественными странами институт свободной торговли. Удовлетворены вступлением в силу в текущем году полномасштабного соглашения ЕАЭС о свободной торговле с Ираном и настроены на его активную реализацию".
Александр Лукашенко также приветствовал подписание в рамках саммита торговых соглашений с Монголией и Объединенными Арабскими Эмиратами. "С учетом двусторонних и личных отношений мне приятно, что подписание документов состоится именно в Минске", - добавил Глава государства.
Совокупный ВВП стран и региональных интеграционных объединений, с которыми у ЕАЭС установлены и формализованы отношения, составляет $72 трлн. Это половина мировой экономики и половина населения всей планеты (более 4 млрд человек).
"Представьте, какой потенциал, если мы правильно им распорядимся. Результат хороший. Международное позиционирование ЕАЭС должно оставаться приоритетным направлением наших усилий. Об этом мы и договорились, обсуждая проблемы в узком составе", - подчеркнул белорусский лидер.
Александр Лукашенко рассказал, что на саммите ЕАЭС изначально планировалось присутствие Президента Ирана - впервые в качестве представителя государства - наблюдателя при ЕАЭС. Однако ввиду известных обстоятельств он не смог прилететь в Минск. Поэтому его выступление прозвучит в записи.
"Недавние удары по ядерным объектам Ирана, находящимся под контролем МАГАТЭ, самым опасным образом нарушают положения международного права, включая Договор о нераспространении ядерного оружия и Женевские конвенции 1949 года. Не буду даже говорить о чувствах, которые такие действия вызывают в Беларуси - стране, наиболее пострадавшей от аварии на Чернобыльской атомной станции. Тогда радиоактивные осадки были зафиксированы даже в Великобритании, Германии и Швеции. Думают, наверное, что сейчас не накроет. Особенно страну, которая совершила подобные деяния", - отметил Глава государства.
"Мы желаем нашему коллеге всяческих успехов, а народу Ирана, нашему близкому народу, - преодолеть все проблемы, которые сегодня возникли. Я хочу, чтобы вы знали, что в вашем сопротивлении вы не в одиночестве", - обратился Президент к иранской стороне.
Во время выступления на саммите Александр Лукашенко остановился на нескольких аспектах работы, которым, по его словам, исходя из остроты текущего момента, необходимо уделить особое внимание.
Первое. Функционирование внутреннего рынка ЕАЭС
"В условиях тарифной войны и переформатирования международной торговли необходимо внимательно посмотреть, не искажаются ли условия конкуренции в союзе для наших производителей из-за чужих тарифных экспериментов. Не поддерживаем ли мы своим рублем бизнес из третьих стран в ущерб нашим предпринимателям и компаниям", - сказал Глава государства.
Он попросил Евразийскую экономическую комиссию оценить риски для экономик стран-членов с предложениями о конкретных совместных действиях. "Этот вопрос становится все более актуальным. Свои внутренние рынки мы должны защищать так, как это делают другие. Не пренебрегая их интересами", - заявил белорусский лидер.
Второе. Развитие промышленного потенциала ЕАЭС
"Объем внутреннего рынка обрабатывающей промышленности ЕАЭС превысил $1 трлн. Цифра хорошая, но что за ней стоит? В прошлом году мы запустили механизм поддержки промышленной кооперации, выделили средства. Но, к сожалению, пока нет результата", - констатировал Президент.
Александр Лукашенко напомнил, что в январе были наконец одобрены два проекта на $17 млн - выпуск стрелок для железных дорог и кабин для комбайнов. "Аж смешно называть эти проекты. Нужны более решительные шаги по созданию передовых производств, особенно в сферах засилья западных корпораций: фармацевтика, авиа-, судостроение, автомобилестроение, микроэлектроника", - убежден белорусский лидер.
Третье. Продовольственная безопасность
Глава государства подчеркнул, что без продовольственной безопасности не может существовать ни одна из стран. По его словам, в этом году в странах ЕАЭС обозначилась тревожная ситуация, когда для стабилизации цен по отдельным товарам приходится приоткрывать рынок для импорта. Однако, считает Президент, для устранения проблемы индикативного планирования недостаточно.
"Кстати, по тем товарам, которые мы с избытком можем производить у себя и продавать по всему миру. Комиссии нужно подумать над вариантами системного решения, чтобы не заниматься суетой и чрезвычайщиной, обеспечивая людей овощами, яблоками, сливочным маслом, сахаром, мясной продукцией", - заметил Александр Лукашенко.
Президент добавил, что перечисление задач ЕАЭС можно продолжать. Так, нужен результат в вопросах цифрового развития - та же пресловутая электронная подпись должна наконец заработать. Необходимо активнее заняться и тематикой общего биржевого пространства. Поставить точки над i в отдельных вопросах в сфере технического регулирования.
"Вместе с тем такая детализация на уровне лидеров стран не должна подменять инициативную работу нашей экономической комиссии. Об этом очень много сегодня говорили: об эффективности, о штатном расписании, о заработной плате членов ЕЭК. И приняли по этим вопросам решение. В этом плане лакмусовой бумажкой станет качественная подготовка комиссией дорожной карты по реализации декларации "Евразийский экономический путь", как мы ее называем, ЕАЭС 2.0. Также показательным будет достойное завершение работы по Стратегическим направлениям развития евразийской экономической интеграции до 2025 года. Особое внимание было этому уделено. Мы вычленили полтора десятка из трех сотен (задач. - Прим.), которые мы должны обязательно до конца года решить. Такое заверение со стороны комиссии мы получили", - заявил белорусский лидер.
Президент рассчитывает, что на заседании Высшего Евразийского экономического совета в конце этого года прозвучит обстоятельный доклад председателя Коллегии ЕЭК.
"Беларусь намерена прилагать все усилия для продвижения идей евразийской экономической интеграции", - резюмировал Александр Лукашенко.
Во время заседания в расширенном формате также выступили приглашенные гости - руководство стран - наблюдателей и партнеров ЕАЭС.
По итогам саммита был подписан ряд внутренних и международных документов. В частности, было заключено временное торговое соглашение между государствами - членами Евразийского экономического союза и Монголией, а также соглашение между ЕАЭС и ОАЭ об экономическом партнерстве.
Следующее заседание Высшего Евразийского экономического совета было решено провести в России в конце года. По традиции это будет неформальная встреча глав государств. В 2026 году председательство в ЕАЭС переходит Казахстану, поэтому официальный саммит в следующем году пройдет на его территории. 
Завершая заседание, Александр Лукашенко подчеркнул, что в Беларуси всегда рады видеть партнеров по ЕАЭС. Президент также выразил благодарность всем, кто принимал участие в организации нынешнего саммита. https://president.gov.by/ru/events/ucastie-v-zasedanii-vyssego-evrazijskogo-ekonomiceskogo-soveta</t>
  </si>
  <si>
    <t>https://president.gov.by/ru/events/ucastie-v-zasedanii-vyssego-evrazijskogo-ekonomiceskogo-soveta</t>
  </si>
  <si>
    <t xml:space="preserve">21 декабря </t>
  </si>
  <si>
    <t>В своем вступительном слове на заседании в узком составе белорусский лидер отметил, что при всех достижениях ЕАЭС сохраняются и проблемы. "Как бы мы тут ни говорили о положительном, они действительно есть. Мы пересматриваем базовые договоренности 2014 года, зафиксированные в договоре о союзе. Переносим сроки формирования общих энергетических рынков, лекарственных средств и медицинских изделий, констатируем неготовность всех стран присоединиться к единому финансовому рынку", - подчеркнул он.
Президент обратил внимание, что к имевшимся проблемам с беспрепятственным перемещением товаров во взаимной торговле добавляются новые. "Одностороннее закрытие национальных рынков осуществляется уже не только традиционными способами, как это у нас было раньше - запрет ввоза-вывоза или лицензирование. Для этого приспосабливаются инструменты цифровизации", - добавил Александр Лукашенко.
Он отметил, что белорусская сторона инициировала решение вопроса цифровых препятствий хотя бы на уровне рекомендаций. "Но пока и здесь мы особо не продвинулись", - констатировал белорусский лидер. 
По словам Александра Лукашенко, хромает также процесс создания и реализации совместных проектов и программ, несмотря на то что сама жизнь открывает новые направления. Объединение усилий по этим направлениям позволило бы достичь большего эффекта для экономик и народов государств-членов, уверен Президент Беларуси. 
"Достаточно назвать информационно-коммуникационные технологии, искусственный интеллект, электротранспорт, микроэлектронику, робототехнику и новые материалы", - перечислил конкретные направления белорусский лидер. В то же время, констатировал он, все чаще согласованные странами меры принимают форму обзоров, докладов, рекомендаций. 
"На нашем прошлом заседании мы договорились, что Председатель Коллегии представит отчеты о реализации стратегии - 2020-2025. Вместо этого - информация в рамках общего выступления руководителя комиссии, - сказал Александр Лукашенко. - Мы только на обсуждение уровня зарплаты комиссии (речь о членах ЕЭК. - Прим.) за эти пять лет потратили времени в десять раз больше. А ведь ряд наиважнейших вопросов, которые пять лет назад мы договаривались решать, так и остаются в проекте".
"Над планом мероприятий по выполнению деклараций до 2030 и 2045 годов работали с опаской - как бы не углубиться в эту интеграцию. Назревает логичный вопрос: сохраняют ли страны прежнюю готовность добиваться целей, объявленных при подписании Договора о ЕАЭС?" - добавил Президент Беларуси.
Он подчеркнул: те вопросы, о которых государства - члены ЕАЭС задумывались в 2014 году, постепенно уходят на второй план или замусоливаются. "Их надо решать. Если так, то давайте вернемся к работе с тем же энтузиазмом, с которым начинали. Сейчас как раз то время, когда страны объединяются в союзы для того, чтобы действовать более целенаправленно, агрессивно. У нас, в Беларуси, именно такой настрой, поэтому я призываю вас всех действовать на интеграцию. В этом суть нашего союза", - заключил Александр Лукашенко.
Президент также обозначил необходимость выработать подходы к выстраиванию торгово-экономического сотрудничества с третьими странами на предстоящую пятилетку. "Беларусь всецело поддерживает поиск новых партнеров из числа государств Глобального большинства, продвижение в те регионы мира, где нас уважают и ждут", - заявил Глава государства.
Значимым фактором экономического роста в странах "пятерки" белорусский лидер назвал активизацию сотрудничества в сфере туризма.
В своем выступлении на заседании ВЕЭС в расширенном составе Александр Лукашенко отметил, что уходящий 2025 год прошел под знаком белорусского председательства в Евразийском экономическом союзе. Он подчеркнул, что Минск постарался привнести в его работу новое дыхание и видение экономических процессов. 
"Белорусские инициативы исходили не из сиюминутной конъюнктуры и национальных предпочтений, а из долгосрочных приоритетов, актуальных для всех государств-членов", - сказал Александр Лукашенко.
Президент подчеркнул, что председательство Беларуси пришлось на окончание пятилетнего цикла развития Евразийского экономического союза. "Подводя итоги реализации Стратегических направлений развития экономической интеграции до 2025 года, можно с уверенностью сказать - в условиях колоссального внешнего давления на наши страны Союз не только сохранил, но и приумножил свое значение для укрепления экономического потенциала государств-участников", - заявил он.
По оценочным данным, в 2020-2024 годах ВВП ЕАЭС вырос на 11%, промышленность - на 15%, сельское хозяйство - почти на 10%, констатировал белорусский лидер. 
Глава государства отметил, что в этом году основные экономические показатели ЕАЭС сохраняют положительный тренд. "Во всех государствах-членах растет заработная плата, продолжает оставаться минимальным уровень безработицы. За 2025 год создана солидная основа для принципиально нового этапа развития евразийской экономической интеграции", - сказал Александр Лукашенко. "Если уровень безработицы Союза в 2020 году составлял почти 6%, то в 2024-м - около 3%", - добавил он.
Президент Беларуси отметил, что в повестке заседания Высшего Евразийского экономического совета - подписание плана мероприятий по реализации задач Декларации о дальнейшем развитии экономических процессов в рамках ЕАЭС до 2030 года и на период до 2045 года. Это то, что на форуме в Минске в июне этого Александр Лукашенко назвал планом действий "ЕАЭС 2.0".
"Очень важно, чтобы эта обстоятельная дорожная карта в действительности дала нашему Союзу ориентиры для движения вперед", - подчеркнул Глава государства.
Президент Беларуси обозначил ключевые направления работы ЕАЭС на ближайшие пять лет.
Первое направление - индустриальный рост и технологическое развитие. "В новой пятилетке усилия стран Союза будут сосредоточены на формировании общего пространства кооперационного взаимодействия и активизации процессов технологического развития, - заявил Александр Лукашенко. - Очевидно, что индустриальный потенциал ЕАЭС использован далеко не в полную силу".
Белорусский лидер выразил уверенность, что страны "пятерки" готовы к реализации проектов в ключевых отраслях и технологических сферах. "Растет интерес со стороны реального сектора экономики к предложенным в рамках ЕАЭС инструментам финансовой поддержки", - сказал он.
Вторым важным направлением Глава белорусского государства назвал сотрудничество в области сельского хозяйства. При этом, подчеркнул он, нужны решительные шаги, чтобы снизить зависимость от импорта в данной сфере до статистической погрешности.
"Аграрии стран ЕАЭС могут не только накормить наших граждан, но и способны занять ощутимое место на мировом рынке продовольствия. Требуется настойчивость и жесткая технологическая дисциплина, - подчеркнул Александр Лукашенко. - А если еще к этому получим в рамках ЕАЭС свои высокопродуктивные сорта основных сельхозкультур и улучшим состояние дел с племенным животноводством, то конкурировать с нами третьим странам будет весьма непросто".
Третьим направлением Президент Беларуси назвал укрепление транспортно-логистического потенциала. Он обратил внимание, что это одна из сфер для приоритетного взаимодействия с государствами-наблюдателями при ЕАЭС. 
"В текущем году была продолжена работа по развитию евразийских транспортных коридоров и маршрутов. Значительное внимание уделено цифровизации перевозок, созданию возможностей "бесшовного" движения", - уверен Александр Лукашенко. 
Белорусский лидер подчеркнул, что выработка на площадке ЕЭК соответствующих решений должна быть на особом контроле.
Четвертое направление - функционирование внутреннего рынка ЕАЭС, подчеркнул Глава государства: "Мы будем настойчиво добиваться его эффективной и слаженной работы в интересах экономик государств-членов. Рассчитываем на дальнейшие шаги по направлению к общему биржевому товарному рынку ЕАЭС".
Пятым направлением Президент Беларуси обозначил цифровую трансформацию. "Под пристальным вниманием весь год были вопросы реализации дорожной карты по созданию благоприятных условий для электронной торговли, развитию современных товаропроводящих каналов. Не без проблем - мы об этом говорили в узком составе. Мы эту проблему решаем и, насколько возможно, движемся в этом направлении", - отметил Александр Лукашенко. 
"Для цифровизации в ЕАЭС данная тема является ключевой - я имею в виду прежде всего цифровую подпись. Особенно в контексте осуществления госзакупок, рынок которых в странах Союза по итогам 2025 года может превысить уровень, достигнутый в 2024 году, а это более $143 млрд", - подчеркнул он.
По словам Александра Лукашенко, цифровая среда должна вносить ощутимый вклад в конкурентоспособность экономик, а не создавать дополнительные барьеры внутри ЕАЭС.
Шестое направление, на котором отдельно остановился Президент Беларуси, - международный вектор. Отдельное внимание в год своего председательства Беларусь уделила вопросам международной повестки и позиционирования ЕАЭС на внешнем контуре. Был успешно проведен IV Евразийский экономический форум в Минске. Продолжена работа по выстраиванию сети преференциальных торговых соглашений ЕАЭС с третьими странами.
"В июне в Минске подписаны соглашение об экономическом партнерстве с Объединенными Арабскими Эмиратами и временное торговое соглашение с Монголией, - напомнил Глава государства. - Сегодня мы приветствуем нашего нового партнера - Республику Индонезия, заключение соглашения с которой предусмотрено на полях этого саммита".
Президент Беларуси отметил, что в настоящее время перед странами ЕАЭС стоит задача по формированию перечня новых партнеров. Он полагает, что среди стран Африки и Азии много дружественных Союзу государств, торговые контакты с которыми способны укрепить экономический потенциал ЕАЭС.
"Голос Евразийского экономического союза все увереннее звучит на международных площадках - от Женевы до Нью-Йорка. Утверждаемые сегодня основные направления международной деятельности ЕАЭС на 2026 год призваны придать еще большую динамику в этом направлении", - подчеркнул белорусский лидер.
Седьмое - гуманитарное измерение. "В текущем году мы постарались наполнить повестку нашего взаимодействия вопросами гуманитарной и социальной направленности, - обратил внимание Александр Лукашенко. - Были утверждены основные направления экономического сотрудничества в области спорта".
Глава белорусского государства предложил уделить в будущем пристальное внимание взаимовыгодному сотрудничеству в области здравоохранения, образования, культуры и информационного взаимодействия.
"Растущий интерес Глобального большинства к партнерским отношениям с нашим союзом говорит об актуальности евразийской интеграционной модели, подчеркивает роль нашего интеграционного объединения как полюса экономического притяжения. При всех недостатках, о которых мы говорили в узком составе", - заявил Александр Лукашенко.
Президент Беларуси указал на формирование прочного фундамента объединения стран, которые имеют одни и те же цели и общее понимание процесса их достижения. "Рад приветствовать в этом зале наших друзей - представителей государств-наблюдателей при Евразийском экономическом союзе, лидеров стран Содружества Независимых Государств, а также делегацию высокого уровня Республики Индонезия", - обратился к участникам заседания белорусский лидер.
Александр Лукашенко также поблагодарил Президента России Владимира Путина за приглашение и созданные условия для продуктивной работы. "По сложившейся традиции мы встречаемся накануне Нового года в широком кругу единомышленников в гостеприимной северной столице России - Санкт-Петербурге. Подводим итоги сотрудничества, актуализируем задачи на перспективу. Подобные традиции красноречиво говорят о том, что наш Союз состоялся", - уверен он.
Президент Беларуси председательствовал на заседании, в ходе которого лидеры стран ЕАЭС и государств-наблюдателей высказались по вопросам сотрудничества в союзе. 
Александр Лукашенко после выступления коллеги из Узбекистана Шавката Мирзиёева сказал: "Что греха таить, рады будем видеть Узбекистан со временем полноправным членом ЕАЭС. Вы движетесь в этом направлении, многое делаете для этого. Согласитесь, было бы неплохо, если бы Узбекистан присоединился к нашей семье. Будем вам всегда рады".
В настоящее время Узбекистан является наблюдателем при ЕАЭС. Президент этой страны Шавкат Мирзиёев также принял участие в заседании Высшего Евразийского экономического совета в расширенном составе.
Председательство в органах ЕАЭС на 2026 год переходит к Казахстану. В этой связи Президент Беларуси поздравил лидера этой страны Касым-Жомарта Токаева. "Уверен, председательство Астаны привнесет новые мощные импульсы в развитие евразийской экономической интеграции, как это всегда было", - сказал Александр Лукашенко. https://president.gov.by/ru/events/ucastie-v-zasedanii-vyssego-evrazijskogo-ekonomiceskogo-soveta-v-sankt-peterburge</t>
  </si>
  <si>
    <t>https://president.gov.by/ru/events/ucastie-v-zasedanii-vyssego-evrazijskogo-ekonomiceskogo-soveta-v-sankt-peterburge</t>
  </si>
  <si>
    <t>Сумма по Беларуси</t>
  </si>
  <si>
    <t>Казахстан</t>
  </si>
  <si>
    <t xml:space="preserve">*только новостная статья </t>
  </si>
  <si>
    <t>Назарбаев</t>
  </si>
  <si>
    <t>«Нестабильность мировых рынков, санкционная политика, ослабление доверия между ведущими державами мира, угрозы обострения военно-технической и политической ситуации - все это будет влиять на процессы становления Евразийского экономического союза. Мы эти вызовы учитывали. Поэтому мы должны быть готовы к трудной работе и новым вызовам», - заявил Н.Назарбаев. 
Путь к ЕАЭС, по словам Президента Казахстана, занял два десятилетия, за это время он воплотился от идеи, выдвинутой в далеком 1994 году Нурсултаном Назарбаевым в МГУ им.Ломоносова, до конкретного и практического решения сегодня.
«Была проведена колоссальная работа по подготовке всех необходимых межгосударственных документов, в которых учтены нацинтересы, экономические возможности каждой из наших стран. За этим стоит огромный труд экспертов, политиков, депутатов, общественности наших стран», - сказал Н.Назарбаев.
Кроме того, Глава государства поблагодарил всех, кто внес свой вклад в становление Евразийского экономического союза.
«Мы должны сделать все, чтобы наша интеграция стала привлекательной моделью экономического партнерства. Наш союз открыт для взаимовыгодного сотрудничества со всеми интеграционными объединениями всего мира, в том числе, с Европейским союзом», - резюмировал Н.Назарбаев.</t>
  </si>
  <si>
    <t>https://www.zakon.kz/redaktsiia-zakonkz/4677065-n.nazarbaev-pri-sozdanii-eajes-my-uchli.html</t>
  </si>
  <si>
    <t>нет ни текста речи, ни новостной статьи: при запросе выдает информацию только про вступление Армении в ЕАЭС</t>
  </si>
  <si>
    <t>Вчера состоялось заседание комиссии наших представителей в Астане. К сожалению, я сам не встретился, но подробно ознакомился с документами, буквально по пунктам.
Лично я считаю, что наши эксперты, наши представители проводят очень большую и непростую работу, интенсивно работают. Моё впечатление такое, что мы можем почти по всем спорным вопросам найти консенсус. Я это вижу сейчас, он вырисовывается, наши эксперты уже поснимали много вопросов, остаётся нам, главам государств, дать и сблизить.
Я поддерживаю Александра Григорьевича в том плане, что нам надо намеченный график выполнять, не отступать и сделать это. И по ходу этой работы побольше разъяснять населению наших государств, почему мы это делаем.
Мы делаем это ради наших стран и народов с выгодой для экономики наших государств. Может быть, сейчас не стоит нам по пунктам разбираться, но договор состоит из двух частей.
Часть первая: союз создаётся международной экономической организацией, мы договаривались в декабре месяце. Мы принципиально и скрупулёзно обсуждали оставшиеся вопросы и высказали несколько согласованных позиций глав государств. Они должны выполняться.
Равная представленность сторон в органах союза, мы договорились. Это надо выполнять. Если есть какие-то вопросы, мы можем обсудить и договориться, что представленность департаментов должна быть такой, как мы договаривались.
Такой же подход при формировании аппаратов других органов, включая суд. Решения глав государств должны быть обязательными только для органа будущего союза. Этого достаточно сейчас.
Есть несогласованные вопросы компетенции союза, процедура принятия решений экономической комиссией. Консенсус мы договорились закрепить на всех стадиях. И представленность будущих членов союза в органах союза решать по мере готовности.
По принятию новых членов мы договорились, что будем принимать пакетно, когда они будут готовы, и примут всё. Если сейчас мы начинаем опять говорить о разноскоростном, что мы уже проходили, в ЕврАзЭС мы проходили, в СНГ мы проходили, что один может посещать, другой может не подписывать, – тогда мы не достигнем того, что хотим. Мы будем опять спотыкаться.
По функциональной части договора поднимается, мы знаем, социальный блок. И вообще я хочу сказать, Владимир Владимирович, Александр Григорьевич, давайте отбросим разногласия и создадим экономический союз. Всё остальное мы потом создадим.
Не надо нанизывать вопросы, вызывающие какое-то непонимание внутри стран у нас или у вас. Зачем тащить сюда социальные вопросы? Давайте экономические вопросы решать. Решение вопросов беспошлинной торговли всеми, в том числе без исключения, как говорили.
Теперь по принципу создания равных конкурентных способностей для всех. К разногласиям подходить постепенно и снимать их. И то, что не предусмотрено для экономического союза, если мы снимем, мы ускоренно создадим союз. Жизнь перед нами будет ставить новые и новые вопросы, мы их будем обсуждать и решать.
В Астане работали и принимали решения, сказали, что до мая ещё одна встреча нам нужна. Может быть, согласиться с тем, что в апреле одно заседание высшего органа нам провести за месяц до принятия и согласовать оставшиеся вопросы? А до этого дать им месяц поработать и дать возможность с каждым из нас встретиться за это время, согласовать позиции и подойти к тому, чтобы мы приняли это решение.
Чтобы мы в мае, как и договорились, подписали, а не в сентябре, как теперь предлагается. Предлагается в сентябре, потому что считают, что много несогласованных вопросов, мы не успеем, – в сентябре. Успеем.
Снимем какие-то вопросы, найдём консенсус. Взаимными уступками догоним. Куда нам торопиться? Европейский союз создавался 40 лет, а мы только начали пять лет назад, четыре года назад. Мы уже продвинулись очень намного. Я предлагаю идти именно по этому пути.</t>
  </si>
  <si>
    <t>: Уважаемый Владимир Владимирович!
Позвольте Вас поблагодарить за приглашение принять участие в 70-летии Великой Победы всех наших народов и организацию сегодняшней встречи, первой после принятия решения о создании нашего союза. Я хочу приветствовать глав государств – членов Евразийского экономического союза и пожелать всяческих успехов.
В программе наших сегодняшних мероприятий у нас состоялась рабочая встреча глав СНГ, посвящённая 70-летию Победы в Великой Отечественной войне. Важность этого события всеми нами отмечена. Прошёл год с даты подписания договора, и сегодня знаменательный день, когда мы проводим первое заседания Евразийского экономического союза, более четырёх месяцев с момента запуска нашего проекта под председательством белорусской стороны.
Уверен, что интеграционное объединение, основанное на принципах, которые мы с вами провозгласили, – это равенство, учёт интересов, прагматизм, поэтапность – способны укрепить наши государства, экономики в этих непростых условиях мирового кризиса. Вместе с началом полноценного функционирования нашего экономического союза наш состав пополнился – это присоединение Республики Армения, сегодня Киргизской Республики.
Убеждён, что совместное сотрудничество в будущем укрепит связи наших стран и придаст мощный импульс развитию экономического союза в целом. Сегодня мы принимаем два протокола, которые позволят завершить процесс юридического оформления вступления Кыргызстана в наш союз. Мы этого желали, помогали, но было несколько вопросов в связи с этим, которые обсуждали наши эксперты, по документам.
Как мне докладывали, киргизская сторона инициировала два предложения, отличающихся от ранее достигнутых, в частности перенос точки отсечения международных договоров Киргизской Республики и проведение аудита системы ветеринарного контроля. Мне докладывали, что по этим вопросам решения состоялись, и по проведению аудита киргизская сторона успела с нашей помощью провести всё необходимое, что требовалось, и мы можем это принять.
Второе – вопрос отсечения. Мы в прошлый раз обсуждали это, ранее достигнутые соглашения киргизской стороны с Китайской Народной Республикой по инфраструктурным проектам. По ранее принятым товарам мы не приняли, но, поскольку речь идёт о строительстве альтернативной автодороги «север – юг», очень важной для Кыргызстана… Это тоже с китайской стороной?
Н.Назарбаев: Проект реабилитации Иссык-Кульской кольцевой дороги и восстановление ирригационной системы республики, строительство и модернизация Киргизской Республикой объектов выработки и передачи электроэнергии, то есть все четыре пункта не касаются перемещения товаров, чего мы опасались. Можно было бы в протоколе это оговорить и подписать, принять киргизскую сторону…
По ветеринарному контролю важно, чтобы нам не допустить ввоза и распространения болезней среди животных. Этот вопрос имеет огромное значение для сельского хозяйства и Казахстана, и других членов союза. Безусловно, это необходимо для сохранения и обеспечения безопасности самой Киргизской Республики, поэтому отмена контроля сейчас на казахстанско-киргизской границе, как мы договаривались, должна произойти после одобрения результатов оценки системы ветеринарно-санитарного, карантинного фитосанитарного контроля самой Киргизской Республики. Думаю, что это решение может принять Комиссия. Поговорите, договоритесь и примите взаимоприемлемое решение.
Таким образом, все вопросы, которые вызывали сомнения, сняты. Мы сегодня принимаем документ о полноценном принятии киргизской стороны в наш союз, с чем я Вас поздравляю, Алмазбек Шаршенович.
 Поэтому предлагаю поручить совету Комиссии, пусть рассмотрят, примут решение по преференциям с учётом целей использования товаров. Тоже уверен, что будет найдено решение, удовлетворяющее все стороны. Так были решены в своё время вопросы проведения зимних Олимпийских игр в Сочи, Азиатский игр у нас. Думаю, мы там найдём решение.
Отмена таможенного контроля на казахстанско-киргизской границе согласно нашим договорённостям должна произойти после оснащения внешних пунктов пропуска. Это они сделали, как мне докладывали, успели. Благодаря большим усилиям наших киргизских коллег намеченные работы выполняются согласно утверждённому графику. Так что это важное решение мы сегодня принимаем.
В соответствии с сегодняшней повесткой дня нам предстоит утвердить изменения в штатной структуре суда союза и принять ряд кадровых решений по назначению членов Комиссии от Киргизской Республики. Также необходимо принять документы, которые позволят обеспечить макроэкономическую устойчивость государств-членов, создадут условия для восстановления экономического роста.
Это необходимо нашим экономикам с учётом тех кризисных явлений, которые происходят как в мировой экономике, так и в наших экономиках. Принятие концепции по формированию общего электроэнергетического рынка – это первый и очень важный шаг на пути его построения. Поддерживаю принятие данного решения.
У нас на сегодня также запланирован вопрос о рассмотрении списка награждаемых лиц государств-членов за вклад в создание Евразийского экономического союза. Это признание труда наших сотрудников и общее для нас дело. Желаю вам дальнейшей работы.
Предлагается одобрить список награждённых лиц ЕЭС и ЕЭК, от Казахстана награждаются соответствующие люди. Казахстан наградил орденом «Курмет» Премьер-министра Республики Беларусь господина Кобякова, председателя правления Банка развития Республики Беларусь господина Румаса и Первого заместителя Председателя Правительства России Игоря Шувалова орденом «Достык» II степени. Я вас поздравляю.
Отдельно я хотел бы остановиться на внешних торгово-экономических отношениях. Уже сегодня говорилось в выступлениях, актуальными являются вопросы планирования наших международных контактов с ключевыми странами.
По всему миру растёт интерес к нашему экономическому объединению, ряд государств выступает с предложением об установлении торгово-экономических отношений, свободной торговли. Так, к примеру, 29 мая у нас в Бурабае в рамках заседания межправсовета планируется подписание первого соглашения о зоне свободной торговли ЕЭС с Вьетнамом.
Хочу отметить, что по итогам многосторонних переговоров были достигнуты взаимовыгодные условия по доступу на рынок товаров, определены параметры взаимодействия в части торговых услуг. На сегодняшний день проект соглашения находится на внутригосударственных процедурах. Сегодня мы наделим Виктора Борисовича Христенко соответствующими полномочиями для подписания этого соглашения.
Также сегодня у нас на повестке вопрос о начале таких же переговоров с Китайской Народной Республикой по заключению всеобъемлющего соглашения о партнёрстве и сотрудничестве. Владимир Владимирович уже сказал, в Казахстане мы тоже об этом говорили с китайской стороной.
Я думаю, это для нас очень большой рынок, и Китай будет очень важным партнёром. Важно дальнейшее развитие наших отношений. В рамках преференциального соглашения с Китаем, думаю, каждая из наших стран может ощутить дополнительный импульс для роста. Считаю возможным принять положительное решение по данному вопросу.
Следующим потенциальным партнёром на данном этапе могла бы выступить также Турция: господин Эрдоган, Президент Турции, был у нас с визитом, и он высказал такое пожелание – заключить торговое соглашение с Евразийским союзом, но надо его изучить. Министр иностранных дел Ирана, который посетил Казахстан, также выражает свой интерес в перспективе к Европейскому союзу. Есть другие, например, Индия и Монголия, Азербайджан. Надо Комиссии посмотреть.
Работа по реализации принимаемых нами решений потребует системного и последовательного подхода от правительств и Комиссии. Сроки поэтапной реализации этих договорённостей нами определены. Наша организация постепенно приобретает оптимальные и эффективные контуры, вырабатывается необходимая договорная база. На этом фундаменте, уверен, базируется её стабильное развитие.
Сейчас в условиях кризиса и санкционной политики Запада, естественно, есть падение в товарооборотах, но мы говорили, что такие форс-мажоры всегда будут, вызовы будут, но зато общее состояние отношений, перенос предприятий, товаров, создание совместных предприятий идёт. Кризисы вечными не бывают, и, я считаю, мы находимся на правильном пути.
Казахстан придавал и придаёт исключительно важное значение деятельности Евразийского экономического союза, который имеет огромный потенциал торгово-экономического сотрудничества между нашими странами, и будет прилагать все необходимые усилия для подготовки и принятия взаимовыгодных, необходимых для нас документов.
Благодарю за внимание.</t>
  </si>
  <si>
    <t>информация о том, что произошла встреча -- нет полного текста речи</t>
  </si>
  <si>
    <t>https://www.akorda.kz/ru/events/astana_kazakhstan/participation_in_events/uchastie-v-zasedanii-vysshego-evraziiskogo-ekonomicheskogo-soveta</t>
  </si>
  <si>
    <t>В своем выступлении Нурсултан Назарбаев выразил благодарность белорусской стороне и лично А. Лукашенко за проделанную в течение года работу в качестве председателя ЕАЭС.  
Президент Казахстана также отметил, что наша страна придает исключительную важность деятельности Евразийского экономического союза, который имеет огромный потенциал для развития государств-членов.
- В связи с нестабильностью мировой экономической конъюнктуры, мы понимаем, что 2016 год будет сложным, и нам придется работать в особых условиях. Казахстан предпримет все усилия для дальнейшего динамичного развития нашего интеграционного объединения и за время своего председательствования будет активно работать в направлении углубления контактов с Шанхайской организацией сотрудничества. Это расширит наши возможности и усилит ЕАЭС, - сказал Глава государства.
Кроме того, в ходе мероприятия стороны обсудили стратегию совместных действий в условиях начала функционирования зоны свободной торговли между Украиной и ЕС с 1 января 2016 года. Было принято решение в следующем году перейти на электронное декларирование товаров, перемещающихся в рамках ЕАЭС.</t>
  </si>
  <si>
    <t>https://www.akorda.kz/ru/events/international_community/foreign_visits/20552-uchastie-v-zasedanii-vysshego-evraziiskogo-ekonomicheskogo-soveta-1</t>
  </si>
  <si>
    <t>Глава государства отметил подготовку Таможенного кодекса ЕАЭС, при разработке которого приоритет отдавался соблюдению интересов граждан стран-участниц, а также созданию прозрачных и стабильных правил ведения бизнеса.
- Несмотря на сложные внешнеэкономические условия, благодаря совместным усилиям нам удалось продвинуться в реализации основных приоритетов, изложенных Казахстаном в начале года. Подготовлен к подписанию один из ключевых документов нашей интеграции - Таможенный кодекс ЕАЭС, - сказал Нурсултан Назарбаев.
Президент Казахстана также обратил внимание на завершение работы над программой развития электроэнергетического рынка, подготовку плана либерализации по секторам услуг и начало процесса по формированию общего финансового рынка ЕАЭС.
Глава государства подчеркнул укрепление международного сотрудничества в период председательства Казахстана.
- Мы достаточно серьезно продвинулись в этом направлении. В октябре вступило в силу соглашение о зоне свободной торговли с Вьетнамом. Рассматривается вопрос о начале переговоров по созданию аналогичных зон с Ираном, Индией, Сингапуром и Египтом. Подписано более 25 меморандумов о сотрудничестве и взаимодействии с различными странами. Взят курс на сопряжение «экономического пояса Шелкового пути» с нашим союзом. Идет поиск точек соприкосновения с Европейским союзом и Шанхайской организацией сотрудничества, - сказал Нурсултан Назарбаев.
Президент Казахстана отметил, что активно ведутся переговоры по торговым соглашениям с Китаем и Израилем, интерес к союзу проявляют государства Южной Америки.
Глава государства сообщил, что логическим этапом деятельности по развитию международных экономических связей ЕАЭС является заявление о развитии торговой политики, где обозначены основные принципы сотрудничества с иностранными партнерами.
- Вместе с тем, мы не должны забывать, что работа над торговыми соглашениями требует системности, максимальной прагматичности, учета интересов всех членов нашего союза. Важно тщательно анализировать структуру тарифных обязательств, перечень возможных изъятий с учетом наших возможностей и ограничений, просчитывая все риски и новые возможности, - отметил Нурсултан Назарбаев.
Президент Казахстана указал ряд факторов, влияющих на работу в рамках ЕАЭС, среди которых ухудшение мировой экономической конъюнктуры и нерешенные внутренние вопросы самого объединения.
- Особая роль по решению проблемных вопросов, прежде всего, должна отводиться Евразийской экономической комиссии. Сегодня важно заглянуть за горизонт кризиса, вырабатывать системные и долгосрочные решения, позволяющие выстроить дальнейшую стратегию развития ЕАЭС. В связи с этим необходимо создать антикризисный совет. Если главы государств это поддержат, предлагаю поручить комиссии совместно с нашими правительствами рассмотреть данный вопрос и принять соответствующее решение, - сказал Глава государства.
В завершение Нурсултан Назарбаев пожелал руководству Кыргызстана успешной работы на посту председателя ЕАЭС.</t>
  </si>
  <si>
    <t>https://www.akorda.kz/ru/events/international_community/foreign_visits/uchastie-v-zasedanii-vysshego-evraziiskogo-ekonomicheskogo-soveta-5</t>
  </si>
  <si>
    <t>Уважаемые члены Высшего Евразийского экономического совета! Уважаемые участники заседания!
Я рад приветствовать вас в столице Республики Казахстан – в Астане.
Прежде всего позвольте поздравить всех со второй годовщиной заключения Договора о Евразийском экономическом союзе, который состоялся именно в этом городе. Документ был подписан 29 мая 2014 года Россией, Казахстаном и Беларусью. В течение этого короткого времени наш состав пополнился Арменией и Кыргызстаном.
Несмотря на небольшой срок существования, экономические сложности, которые мы испытываем в начале нашего пути, сегодня уже с уверенностью можно заявить о том, что Евразийский экономический союз состоялся как полноценное интеграционное объединение. Теперь сближение наших экономик проходит в соответствии с теми планами и сроками, которые мы наметили в Договоре о ЕАЭС. Правительства и бизнес приобретают необходимый опыт сотрудничества друг с другом. Внутренние вопросы взаимодействия в основном решены и регламентированы.
Уверен, что реализация поставленных задач и принципов деятельности нашего союза послужит мощным импульсом экономик наших стран.
Мы знаем, что по всему миру возрастает интерес к нашему экономическому объединению, всё более интенсивно развиваются международные контакты нашего союза. В этой связи по моему предложению, как Председателя нашей организации, в этом году год был объявлен годом углубления экономических отношений Евразийского экономического союза с третьими странами и ключевыми интеграционными объединениями.
В своём обращении я упоминал, что ЕАЭС мы видим открытым сообществом, органично интегрированным в мировую экономическую систему, служащим надёжным мостом между Европой и Азией.
В прошлом году был подписан первый договор ЕАЭС о создании зоны свободной торговли с Вьетнамом. Сегодня мы обсуждали в узком кругу вопросы и прорабатываем сотрудничество с Китайской Народной Республикой, Индией, Израилем, Египтом, Ираном, Камбоджей и многими другими странами. Отдельно рассматривается возможность налаживания торгово-экономических связей Евразийского экономического союза с интеграционными объединениями, такими как Европейский союз, ШОС, АСЕАН и другие. При этом объединённый рынок Евразийского экономического союза обязан стать связующим звеном между востоком, западом, севером и югом. Свободное передвижение товаров, услуг в рамках нашего союза соответствует инициативе «Экономического пояса Шёлкового пути», выдвинутой китайским руководством. Планируется, что этот проект вберёт в себя те сферы сотрудничества, которые представляют экономическую выгоду и взаимный интерес для наших стран.
У нас, в Казахстане, реализуется государственная программа «Нурлы жол», в рамках которой идёт строительство и модернизация инфраструктурных объектов: это такие проекты, как «Западная Европа – Западный Китай», «Казахстан – Туркменистан – Иран – Персидский залив». В Китае функционирует казахстанский логистический терминал в Тихом океане – Ляньюньган. На берегу Каспия ведётся строительство нового морского порта Курык. Таким образом, Казахстан, реализуя масштабные инфраструктурные проекты, создаёт надёжную платформу для межрегионального сотрудничества через эти транспортные артерии.
Дорогие друзья! Происходящие в мировой экономике негативные события являются испытанием для всех нас и требуют более слаженной работы на площадке ЕАЭС. Нашей комиссии и всем нам, правительствам надо искать возможности, как в этих трудных условиях, когда мы испытываем резкий спад взаимной торговли, – как находить другие пути нашего сотрудничества. Сотрудничество в рамках объединения позволяет нам консолидировать ресурсы, создавать благоприятные условия для совместного экономического развития.
Повестка дня сегодняшнего заседания насыщенна, она содержит аспекты как внутреннего взаимодействия, так и международного сотрудничества. В данном контексте отмечу важность тех вопросов, которые мы уже обсудили в ходе встречи в узком составе.
Во‑первых, налаживание взаимодействия между ЕАЭС и Европейским союзом, начало переговорных процессов с Китайской Народной Республикой. В целом принятые сегодня решения должны придать дополнительный импульс деятельности ЕАЭС, так и укреплению экономических связей между государствами-членами.
Уважаемые коллеги, в этом году председательство в ЕАЭС перешло к Казахстану. Мы будем прилагать все усилия, чтобы наше интеграционное объединение и далее развивалось динамично и успешно.
Завершая своё выступление, я бы хотел выразить уверенность, что наша сегодняшняя встреча пройдёт как всегда результативно, в атмосфере взаимопонимания, взаимного доверия и конструктивного диалога. Благодарю за внимание.
Далее я хочу дать возможность выступить всем нашим коллегам. Слово предоставляется члену Высшего экономического совета, Президенту Армении Саргсяну Сержу Азатовичу.</t>
  </si>
  <si>
    <t>Речь о подписании документов, все уже обсуждено</t>
  </si>
  <si>
    <t>Н.Назарбаев: Всё сказано. Мы обсудили подробно, договорились, что сейчас не будем обсуждать, а подпишем документы. Дадим Тиграну Суреновичу слово и будем подписывать документы, поскольку всё обсудили.
Н.Назарбаев: Владимир Владимирович, это необязательно на саммите делать: это форум по вопросам цифровых технологий – мы можем на уровне экономистов стран это обсудить.</t>
  </si>
  <si>
    <t>Н.Назарбаев: Уважаемые коллеги! Рад приветствовать вас на нашей бишкекской встрече! Рад видеть в добром здравии и желаю всего доброго.
Думаю, что мы все согласны выразить благодарность киргизской стороне за приглашение и организацию этой встречи. Желаю нашим киргизским коллегам успешно и плодотворно работать на посту председателя органов ВЕЭС.
Пользуясь случаем, хочу поздравить армянскую сторону с успешным проведением парламентских выборов, первых после проведённых конституционных изменений.
Президент Казахстана Нурсултан Назарбаев на заседании Высшего Евразийского экономического совета.
Президент Казахстана Нурсултан Назарбаев на заседании Высшего Евразийского экономического совета.
Уважаемые коллеги! В следующем месяце исполнится ровно три года с момента подписания в Астане Договора о создании ЕАЭС. За это сложное время, первоначальное время, сделано немало. Создана и регулярно расширяется договорная правовая база, определены долгосрочные и среднесрочные приоритеты организации, на практике осуществляется свободное движение товаров, услуг, капитала, рабочей силы. Мы сообща работаем в экономической сфере, проводим скоординированную политику в важнейших отраслях экономики. Налаживаются контакты с различными странами и международными организациями.
При этом становление ЕАЭС, прямо скажем, пришлось на непростой период преодоления кризисных явлений всеми нашими странами. Всё это отразилось на показателях нашей организации, которые заметно снизились в последнее время, и возникали опасения. Это не оправдалось: кризис не вечен, за спадом всегда следует рост. Большинство наших стран в прошлом году показали экономический рост, в том числе Казахстан.
Особый оптимизм у нас должны вызвать данные статистики на начало 2017 года. По итогам двух месяцев объём внешней торговли с ЕАЭС вырос на 37 процентов, взаимная торговля – 38. Могу информировать, что, например, у Казахстана с ЕАЭС торговля выросла на 56,5 процента, с Россией – на 50 процентов, Белоруссией – на 50 процентов, Кыргызстаном – на 41, Арменией – в 3,5 раза.
То есть недостатки недостатками, а мы показываем, что нам надо дальше работать – если все барьеры, о которых сейчас говорилось, Серж Азатович говорил, барьеры, изъятия исключим и начнём помогать, эту тенденцию поддерживать до конца года. Надо закрепить эту позитивную тенденцию, обеспечить дальнейший устойчивый рост.
В этом деле могут встать следующие вопросы для решения.
Во-первых. Надо устранить преграды для развития. Комиссией, экспертами уже приняты первоочередные меры: разработан и одобрен перечень устранения 60 барьеров. Теперь правительствам нужно разработать соответствующую дорожную карту вместе с Комиссией.
Во-вторых, следует обеспечить новые торгово-экономические соглашения с международными партнёрами для расширения рынков сбыта и роста инвестиций.
Необходимо активизировать работу по проработке вопросов сотрудничества с Ираном, Китаем, Индией, Сингапуром, Сербией, Израилем и другими странами, которые изъявили такое желание.
В-третьих, в этот непростой для наших экономик период надо оказывать друг другу взаимную поддержку. Нашей страной приняты конкретные меры помощи соседнему Кыргызстану. Досрочно предоставлены внутренние железнодорожные тарифы при перевозках кыргызских грузов транзитом через Казахстан.
Это позволило нашим коллегам сэкономить порядка 60 миллионов долларов. Приняты решения по предоставлению финансовой помощи для адаптации кыргызской экономики к условиям ВЕЭС. Документы переданы на ратификацию. Продолжается взаимодействие с кыргызской стороной по другим направлениям, по которым мы всегда будем положительно рассматривать оказываемую помощь.
Уважаемые участники заседания! В повестку дня нашей встречи включены важные вопросы деятельности организации. В узком составе мы заслушали доклад по реализации основных направлений международной деятельности ВЕЭС.
Работа ЕЭК на внешних треках строилась с учётом приоритетов белорусского и казахстанского председательства. В целом мы удовлетворены международной деятельностью ВЕЭС. Также нами рассмотрен ход переговоров по заключению соглашения о зоне свободной торговли с Ираном и рассмотрели заявление Молдавии.
В расширенном составе сейчас мы должны утвердить основные ориентиры макроэкономической политики государств ЕАЭС на 2017–2018 годы. Этот документ предусматривает такие важные меры, как: улучшение макроэкономической ситуации, развитие корпоративного сектора, увеличение объёмов инвестиций, продвижение несырьего экспорта. Отдельно будет рассмотрен вопрос о работе Комиссии в сфере таможенного регулирования в связи с принятием Таможенного кодекса ЕАЭС.
Сегодня мы также примем решение по кадровым вопросам, будут назначены новые члены Коллегии от Казахстана. Мы их представляем вам. Они являются профессионалами с большими опытом работы в профильных областях. Надеюсь, что новые члены Коллегии приложат все усилия для повышения эффективности нашей организации.
Дорогие друзья! В результате сегодняшней встречи определены новые горизонты сотрудничества. Убеждён, что реализация достигнутых договорённостей позволит укрепить фундамент многостороннего сотрудничества и в будущем поднять наши отношения на более высокий уровень.
Хочу вам напомнить, что в этом году в Астане пройдёт международная специализированная выставка «Экспо». Всем нашим коллегам, президентам, посланы мои приглашения принять участие на этом мировом мероприятии. Тема всемирной выставки «Энергия будущего».
Мы занимаемся последними работами, все строительные работы готовы, монтируются павильоны государств. Принимают участие 110 государств и 16 международных организаций. Эта тема, новая энергия, представляет особую актуальность для дальнейшего развития глобальной экономики. Мы с нетерпением ждём вас в гости.
Благодарю за внимание.</t>
  </si>
  <si>
    <t xml:space="preserve"> Уважаемые коллеги!
Рад встречаться с вами здесь, в прекрасном Сочи, увидеть вас здоровыми, крепкими и пожелать вам всего самого доброго и поблагодарить российскую сторону, как всегда, за тёплый приём, который нам оказывается. Также хотел бы присоединиться и поздравить Владимира Владимировича Путина с убедительной победой на выборах 18 марта, с переизбранием на должность Президента России и пожелать ему всяческих успехов в этой работе.
Уважаемые коллеги! Мы создали в ЕАЭС общую таможенную территорию и единый ёмкий рынок, сообща координируем экономическую политику в ключевых отраслях. Интеграционные процессы вносят существенный вклад в темпы экономического роста наших государств, о чём здесь говорили Президент Путин и Президент Лукашенко. Этому способствовала позитивная динамика в стратегических отраслях, рост экономики в сельском хозяйстве, промышленности, и произошёл существенный рывок как внешний, так и во взаимной торговле между нашими странами.
Как здесь говорилось, можно ещё раз сказать, что за прошедший год внешняя и взаимная торговля ЕАЭС увеличилась, соответственно, на 24,5–26 процентов, это хорошие показатели. Позитивная динамика сохраняется и в этом году. Укрепился международный авторитет нашей организации, всё больше стран стремятся быть с нами в торгово-экономическом сотрудничестве. В целом можно сказать, что в короткий срок ЕАЭС удалось встать на ноги, состояться как полноценное интеграционное объединение. Уверен, что и сегодняшнее заседание внесёт свой весомый вклад в дальнейший рост и развитие нашей организации.
Уважаемые участники заседания! Сегодня повестка, представленная на наше рассмотрение, весьма насыщенная. Узким составом мы обсудили ряд вопросов, направленных на дальнейшее укрепление экономического сотрудничества в рамках нашей организации, и в данном контексте мной были предложены следующие вопросы.
Во-первых, надо сформировать специальную межправительственную рабочую группу наших стран для выработки комплекса мер, прежде всего по анализу выполнения всех решений, которые мы приняли, по анализу продолжающих иметь место препятствий торговли как на границе, так и между отраслями экономики.
Во-вторых, с учётом современных непростых условий влияния санкций посмотреть, как нам дальше работать. Внесено предложение о декларации о дальнейшем развитии углубления. Это углубление должно идти тогда, когда мы поймём, что мы до сих пор сделали. Если мы всё выполнили, тогда говорить о расширении углубления.
В-третьих, проработать возможность реализации крупных инфраструктурных мегапроектов. К ним относится проект высокоскоростной железной магистрали «Евразия», которая соединит Европу и Азию через Россию и Казахстан. Другим перспективным проектом стало бы строительство судоходного канала «Евразия», который позволит связать водными путями Чёрное и Каспийское моря. Это, конечно, крупные проекты, но мы должны взяться за такие проекты. Иными словами, инфраструктура ЕАЭС может стать хорошим мостом между Азией и Европой, Востоком и Западом, Тихим и Атлантическим океанами.
Четвёртое. Важно повысить роль Евразийского банка развития, который мы создали, и Евразийского фонда стабилизации и развития деятельности нашего объединения. Они должны активно участвовать в реализации крупных проектов.
Также хотел бы поделиться своим видением некоторых новых возможностей, реализацию которых можно учесть в ходе дальнейшей работы нашей организации. Как известно, на базе международной специализированной выставки «Экспо-2017» в Астане (в Казахстане) сейчас создаются три международных центра. Первый по финансам, по зелёным технологиям и IT-стартапам. Таким образом, весь выставочный комплекс будет далее служить задачам инновационного устойчивого развития. В этой связи предлагаю.
Первое. Приглашаю финансовые институты стран ЕАЭС использовать возможности Международного финансового центра «Астана», который открывается 4 июля этого года.
Второе. Проводить на территории «Экспо» мероприятия финансового блока ЕАЭС, включая заседания вспомогательных консультативно-совещательных органов деловых советов.
Третье. В рамках реализации цифровой повестки предлагаю на территории «Экспо» на базе будущего международного технопарка IT-стартапов организовать работу офисов управления цифровыми проектами и инициативами в рамках ЕАЭС. Для полноценной работы экспортной площадки будут созданы для вас все необходимые условия.
Уважаемые друзья! В этом году председательство в Евразийском экономическом союзе перешло к Российской Федерации. Пользуясь случаем, хотел бы пожелать успехов нашим российским друзьям.
В следующем месяце в России стартует одно из ключевых спортивных состязаний планеты – первенство мира по футболу, огромное мероприятие планетарного масштаба. Мы желаем российской стороне отличного проведения и российским футболистам – побед. Уверены, страна создаст неповторимую атмосферу праздника и проведёт столь важное мероприятие на самом высоком уровне, на которое, надеемся, мы будем приглашены.
Благодарю вас за внимание.</t>
  </si>
  <si>
    <t>Президент Казахстана подчеркнул, что 2018 год стал особенно важным в истории ЕАЭС.
- Несмотря на сложившиеся внешние условия и риски, связанные с волатильностью мировой экономики, нам удалось сохранить положительную динамику роста. Так, с января по сентябрь текущего года произошло существенное увеличение объемов внешней и взаимной торговли, - сказал Нурсултан Назарбаев.
Кроме того, Глава государства указал на положительные тенденции в деятельности совместных предприятий. 
Президент Казахстана отметил, что в текущем году вступил в силу новый Таможенный кодекс ЕАЭС, который вобрал в себя наиболее современные подходы к таможенному администрированию, включая автоматизацию бизнес-процессов и внедрение принципа «одного окна».
Нурсултан Назарбаев также остановился на результатах работы в области  реализации основных направлений цифровой повестки до 2025 года.
- Успешно проведен эксперимент по спутниковому мониторингу транзитных грузов между казахстанскими и российскими таможенными службами. Продолжается работа по устранению барьеров и ограничений во взаимной торговле. Кроме того, активно развивается международное сотрудничество, - сказал Глава государства.
Президент Казахстана выразил поддержку процессам дальнейшего расширения взаимодействия в рамках ЕАЭС, подчеркнув необходимость проведения глубокого анализа экономической целесообразности по каждому новому направлению работы со стороны ЕЭК и правительств стран-участниц.
- В целом мы идем уверенными шагами к достижению основных целей ЕАЭС – свободному движению товаров, услуг, капитала и рабочей силы. Вместе с тем, нам нужно приложить дополнительные усилия для обеспечения полноформатного функционирования ЕАЭС, - сказал Нурсултан Назарбаев.
Глава государства указал на важность завершения работы по документам, направленным на обеспечение четырех «свобод», в том числе и Соглашения о пенсионном обеспечении граждан стран ЕАЭС.
- Нам необходимо к 2025 году устранить все имеющиеся препятствия во взаимной торговле. Это важное условие полноценного функционирования нашего Объединения. Комиссии и правительствам необходимо активизировать работу в данном направлении, - сказал Президент Казахстана.
Нурсултан Назарбаев подчеркнул необходимость реализации «якорных» проектов в ключевых секторах экономики. В этой связи Комиссии и правительствам стран ЕАЭС было рекомендовано определить перечень данных проектов. 
- В далеком 1994 году я впервые выступил в стенах МГУ с идеей создания этого интеграционного проекта и высказался о принципах равноправия и добровольности. Тогда я представлял себе мощный экономический союз, который со временем трансформируется в большого игрока на международной арене. Сегодня эта идея стала реальностью. В следующем году исполняется  5 лет с момента подписания Договора о ЕАЭС и 25 лет идее евразийской интеграции. Предлагаю провести очередное заседание в Астане в мае следующего года, приурочив его к этим двум юбилейным датам, - сказал Глава государства.
В завершение Президент Казахстана выразил уверенность в том, что принятые по результатам заседания решения придадут новый импульс для дальнейшего развития организации.
- В 2019 году председательство в органах ЕАЭС переходит к Армении. Желаю, чтобы год вашего председательства прошел плодотворно во благо наших народов, - сказал Нурсултан Назарбаев.</t>
  </si>
  <si>
    <t>https://www.akorda.kz/ru/events/international_community/foreign_visits/uchastie-v-zasedanii-vysshego-evraziiskogo-ekonomicheskogo-soveta-9</t>
  </si>
  <si>
    <t>Токаев</t>
  </si>
  <si>
    <t>В заседании участвовали Первый Президент Республики Казахстан – Елбасы Нурсултан Назарбаев, президенты Республики Беларусь – Александр Лукашенко, Кыргызской Республики – Сооронбай Жээнбеков, Российской Федерации – Владимир Путин, Республики Молдова – Игорь Додон, Республики Таджикистан – Эмомали Рахмон, Премьер-министр Республики Армения Никол Пашинян, председатель коллегии ЕЭК Тигран Саркисян, председатель Исполнительного комитета – исполнительный секретарь СНГ  Сергей Лебедев.
Глава государства отметил, что за короткий по историческим меркам срок ЕАЭС состоялся как важный и узнаваемый игрок на международной арене. По его словам, евразийская интеграция, несмотря на известные трудности, демонстрирует хорошие результаты.
- За прошлый год рост ВВП государств-членов ЕАЭС составил 2,5%. Объем внешней торговли вырос на 19%, экспорт – на 27%. Взаимная торговля внутри союза увеличилась на 9%. Если говорить о Казахстане, в 2018 году наша экономика выросла более чем на 4%, - сказал Касым-Жомарт Токаев.
Президент Казахстана подчеркнул, что для поддержания набранных темпов роста определены основные векторы развития на среднесрочную перспективу в промышленности, энергетике, международной деятельности и других сферах.
- Принят Таможенный кодекс ЕАЭС, создается общий рынок услуг и рабочей силы, совершенствуются административные процедуры в рамках наднациональной регуляторики. Более 40 стран мира изъявили желание развивать торгово-экономическое сотрудничество с ЕАЭС. Уверен, наша совместная работа заинтересует многие страны мира и позволит в обозримом будущем построить большую и экономически сильную Евразию, - заявил Глава государства.
Касым-Жомарт Токаев обозначил наиболее важные задачи, стоящие перед интеграционным объединением на предстоящий период. По его мнению, необходимо реализовать инфраструктурные мегапроекты, цифровую повестку ЕАЭС, а также использовать потенциал Международного финансового центра «Астана». Предстоит работа по развитию общего рынка и его защите от демпинга и контрафактных товаров, недобросовестной конкуренции со стороны третьих стран, обеспечению эффективного таможенного администрирования.
- Нурсултан Абишевич Назарбаев предложил построить скоростную железную дорогу и канал «Евразия». Эти проекты могли бы стать символом евразийской интеграции, придать дополнительный импульс развитию экономик наших стран и крепко связать Большую Евразию. В результате наши государства станут еще более конкурентоспособными и привлекательными для транзита Восток-Запад-Восток, - подчеркнул Президент Казахстана.
Кроме того, Глава государства указал на необходимость совместных усилий, направленных на обеспечение доступа товаров на новые рынки, устранение барьеров в торговле и транзите.
В завершение выступления Президент Казахстана выразил уверенность в том, что итоги заседания укрепят фундамент успешного сотрудничества и партнерства стран ЕАЭС.</t>
  </si>
  <si>
    <t>https://www.akorda.kz/ru/events/astana_kazakhstan/participation_in_events/prezident-kazahstana-kasym-zhomart-tokaev-prinyal-uchastie-v-zasedanii-vysshego-evraziiskogo-ekonomicheskogo-soveta-v-rasshirennom-sostave</t>
  </si>
  <si>
    <t>Касым-Жомарт Токаев в своем выступлении поблагодарил армянскую сторону за теплый прием и высокий уровень подготовки заседания. Глава государства выразил уверенность в том, что Евразийский экономический союз стал одним из важных звеньев развития мировой торговли.
Президент Казахстана подчеркнул, что быстроменяющаяся конъюнктура рынка, растущая конкуренция между державами, торговые войны, рост протекционизма приводят к нестабильности мировой экономики.
– В сложных глобальных условиях нам крайне важно поддержать устойчивый экономический рост наших государств. Это возможно только за счет реального и взаимовыгодного сотрудничества, интеграции и кооперации. Нашим странам следует продолжить устранение барьеров на общем внутреннем рынке, – отметил Касым-Жомарт Токаев.
Глава государства призвал активизировать работу по снятию торговых барьеров.
– Полагаю, что Комиссия может и должна усилить инструменты мониторинга национальных законодательств, разработать эффективный механизм информирования и разъяснения действующего права внутри Евразийского экономического союза, – сказал Президент Казахстана.
Отмечая достигнутые результаты в транспортно-логистическом сотрудничестве Евразийского экономического союза, Касым-Жомарт Токаев предложил ЕЭК и правительствам ускорить разработку единой транзитной системы ЕАЭС, а также создать привлекательные условия для развития передовых технологий.
– Наблюдается устойчивый рост объемов экспортно-импортных и транзитных операций по направлению Китай – Европа – Китай. Произведен запуск трансконтинентального железнодорожного маршрута Вьетнам – Китай – Казахстан – Европа, который решает логистические вопросы по продвижению наших товаров на рынок стран АСЕАН. Данный транспортный коридор будет хорошей альтернативой морским перевозкам и позволит в кратчайшие сроки доставлять грузы из Юго-Восточной Азии в Европу через территорию государств-членов ЕАЭС, – сказал Глава государства.
Ключевым пунктом повестки дня заседания ВЕЭС стало подписание Соглашения о свободной торговле между государствами-участниками Евразийского экономического союза и Республикой Сингапур, которое открывает для стран ЕАЭС большой регион АСЕАН с населением в 600 млн. человек. В этой связи Президент Казахстана подчеркнул важность развития торгово-экономических связей с новыми растущими рынками и сохранения высокого темпа переговоров в этом направлении.
– Перспективная тенденция видится в том, чтобы выстраивать связи ЕАЭС с крупными международными организациями – АСЕАН, ШОС и другими. Сегодня в ходе заседания Высшего совета подписано Соглашение о зоне свободной торговли с Республикой Сингапур. Это наряду с Вьетнамом уже вторая страна, с которой у ЕАЭС будет соответствующее соглашение. Важным является вопрос развития торгово-экономического и логистического сотрудничества с Исламской Республикой Иран, – отметил Касым-Жомарт Токаев.</t>
  </si>
  <si>
    <t>https://www.akorda.kz/ru/events/international_community/foreign_visits/prezident-kazahstana-prinyal-uchastie-v-zasedanii-vysshego-evraziiskogo-ekonomicheskogo-soveta</t>
  </si>
  <si>
    <t>Выражение благодарности В.В.Путину</t>
  </si>
  <si>
    <t xml:space="preserve"> Хочу выразить благодарность нашему Почетному Председателю Высшего Евразийского экономического совета, который инициировал создание этого объединения. ЕАЭС функционирует самым наилучшим образом. Мы рады приветствовать Вас в этом новом качестве в Санкт-Петербурге, - обратился к Нурсултану Назарбаеву Президент Росси</t>
  </si>
  <si>
    <t>https://nazarbayev.kz/ru/news/2019-12/nursultan-nazarbaev-prinyal-uchastie-v-zasedanii-vysshego-evraziyskogo-ekonomicheskogo</t>
  </si>
  <si>
    <t>В своем выступлении Президент Казахстана особое внимание уделил проекту документа «О стратегических направлениях развития евразийской экономической интеграции до 2025 года».
Поддержав идею принятия Стратегии в целом, Касым-Жомарт Токаев заявил, что некоторые ее положения требуют дополнительной проработки.
– Учитывая особую важность данного документа, который закладывает основные контуры интеграции на годы вперед, видится целесообразным обсудить его дополнительно и принять в ходе очной встречи. Рано или поздно мы увидимся друг с другом, – считает Глава государства.
Президент высказал ряд комментариев к этому проекту. В первую очередь, он полагает необходимым на практике обеспечить движение товаров без барьеров и ограничений, поэтапно строить единый рынок услуг в согласованных сторонами секторах, готовиться к общему энергетическому и финансовому рынкам.
Касым-Жомарт Токаев подчеркнул, что двустороннее сотрудничество между странами Союза многогранно и затрагивает практически весь спектр экономических, социальных, гуманитарных отношений.
– Поэтому рассмотрение этих вопросов в пятистороннем формате с привлечением Евразийской экономической комиссии может затруднить их практическую реализацию. Включение в полном объеме таких вопросов, как здравоохранение, образование и наука, в сферу компетенций Евразийской экономической комиссии может существенно поменять ее экономическую направленность, другими словами, будет противоречить сути Договора о создании ЕАЭС от 2015 года, – убежден Глава государства.
По словам Президента, интеграционная работа должна учитывать особенности национальной правовой системы и исходить из принципа «необходимой достаточности» при рассмотрении вопросов гармонизации и унификации национальных законодательств.
– Предлагаемые в Стратегии «гармонизация и унификация» законодательства, в части установления правовой ответственности – административной и уголовной, в ряде отраслей, речь идет о таможенном деле, техническом регулирование, защите прав потребителей, на наш взгляд, пока не отвечают принципу разумной достаточности. А это приведет к отторжению Стратегии национальным общественным мнением, поскольку Стратегия ограничит суверенные права правительств и парламента, – полагает Касым-Жомарт Токаев.
Кроме того, Глава государства призвал аккуратно подходить к вопросам расширения полномочий ЕЭК.
– Предоставление Комиссии права участия в двусторонних переговорах государств-членов с третьими странами по вопросам торговли услугами требует, конечно же, дополнительного изучения, – заявил он.
В своем выступлении Президент Казахстана назвал сотрудничество по линии ЕАЭС приоритетным направлением и ключевым элементов восстановления экономики, а также приветствовал решение Парламента Узбекистана о вступлении этой страны в ЕАЭС в качестве государства-наблюдателя.
Вместе с тем Касым-Жомарт Токаев высказал ряд предложений, направленных на дальнейшее укрепление взаимной торговли, поддержку бизнеса и взаимодействия в сферах цифровизации и транспортной логистики.
Во-первых, Президент Казахстана указал на необходимость разработки плана поэтапного снятия всех ограничений и барьеров, которые возникли во время пандемии.
– Наши ведомства в сфере здравоохранения, санитарного, ветеринарного, иных видов контроля должны учесть уроки кризиса и предложить эффективные механизмы взаимодействия, обеспечивающие, с одной стороны, безопасность наших граждан, а с другой стороны, – безбарьерное движение товаров. Как в вопросе борьбы с пандемией, так и при последующем снятии ограничений важна слаженная работа транспортных властей, санитарных служб, пограничных ведомств, – считает Глава государства.
В качестве второго предложения Касым-Жомарт Токаев отметил важность существенной активизации работы по запуску интегрированной информационной системы ЕАЭС.
– Цифровизация ключевых аспектов взаимодействия государственных органов наших стран будет способствовать упрощению бизнес-процессов, увеличению взаимного товарооборота, снижению административной нагрузки на бизнес, – отметил Президент.
В-третьих, Глава государства указал на необходимость развития транспортно-логистических услуг.
– В рамках этой работы мы уже приступили к созданию национальной товаропроводящей системы, которая к 2022 году будет состоять из 24 оптово-распределительных центров. Это даст возможность хранения, обработки и распределения порядка 5 миллионов тонн агропродукции. Предлагаю проработать возможность создания общей товарораспределительной сети с заинтересованными странами Союза, – сказал Касым-Жомарт Токаев.
Важное место в выступлении заняла тема поддержки бизнеса. Президент заявил, что в текущей кризисной ситуации практически все ресурсы стран ЕАЭС брошены на стабилизацию работы и сохранение рабочих мест. При этом он заметил, что исполнение отдельных, наиболее затратных решений органов Союза, таких как введение обязательной маркировки на некоторые группы товаров, не является насущной необходимостью в условиях кризиса.
Кроме того, Глава государства предложил создать и активно использовать площадку руководителей министерств финансово-экономического блока стран ЕАЭС и правительств в целом для обсуждения мер реагирования на внешние вызовы в посткризисный период.
По итогам саммита по предложению Касым-Жомарта Токаева документ «О стратегических направлениях развития евразийской экономической интеграции до 2025 года» был одобрен в основном, но не принят. Правительствам стран-участниц и ЕЭК поручено доработать Стратегию.</t>
  </si>
  <si>
    <t>В своем выступлении Президент Казахстана отметил, что текущий год стал для всех серьезным испытанием, но Союз продемонстрировал единство и сплоченность, а самое главное – способность противостоять вызовам. Были оперативно приняты важные решения, направленные на обеспечение здоровья и безопасности населения.
Как сообщил Глава государства, стремительное распространение COVID-19, падение цен на сырьевые товары, резкое снижение экономической активности во всем мире – все это негативно отразились на экономиках наших стран. Согласно официальному отчету ОЭСР мировой ВВП по итогам 2020 года сократится на 4,5 %. По прогнозам Всемирного банка, в развивающихся странах ожидается спад на 2,5%. Важнейший показатель – доходы на душу населения –снизится в этом году на 3,6%.
– Негативные тенденции также оказали влияние на торговлю в рамках Союза. Взаимная торговля за 9 месяцев текущего года снизилась на 13 % и составила 39 млрд долл. Товарооборот Евразийского экономического союза с третьими странами снизился еще больше – на 19% и составил 447 млрд долл. Все это делает неотложной задачу эффективного взаимодействия, поиска резервов роста и раскрытия экономического потенциала нашего Союза, – сказал Касым-Жомарт Токаев.
За период функционирования ЕАЭС взаимная торговля Казахстана с партнерами выросла на 33%, в т.ч. экспорт вырос на 25%. Приток инвестиций из стран ЕАЭС вырос до 6 % в общем объеме. Количество совместных предприятий увеличилось в 2 раза и составляет около 13 тысяч.
К сотрудничеству с Союзом стремятся многие страны. Статус наблюдателя при ЕАЭС получили Узбекистан и Куба.
– Мы рассчитываем, что этот шаг откроет широкие перспективы всестороннего экономического сотрудничества с практической и взаимовыгодной отдачей. Мы рассматриваем это как пример растущего авторитета, привлекательности и узнаваемости нашего объединения во всем мире. Большие перспективы видим в наращивании торговли и широкой кооперации с братским Узбекистаном. Считаем, что участие Узбекистана в Евразийском проекте гармонично дополнит наши двусторонние связи, а также сотрудничество в рамках центрально-азиатского региона, – отметил Глава государства.
Отдельного внимания заслуживает утверждение Стратегии ЕАЭС до 2025 года. В мае текущего года Президент выразил позицию о необходимости более полной проработки проекта Стратегии, учитывая наличие в документе некоторых спорных положений. Касым-Жомарт Токаев поблагодарил своих коллег, глав государств за поддержку данной позиции.
– Правительствами и Комиссией проведена содержательная, конструктивная работа по доработке Стратегии. В частности, скорректированы мероприятия, предусматривающие гармонизацию и унификацию законодательств государств-членов в ряде отраслей. Пересмотрены полномочия Комиссии в части обязательного участия в двусторонних переговорах с третьими странами. Теперь Комиссия может участвовать в переговорах только по инициативе самого государства-члена. Думаю, это выверенный и гибкий подход. Доработаны направления сотрудничества и формулировки в сфере образования и здравоохранения, подчеркивающие экономическую направленность пятистороннего сотрудничества в данных сферах, – сообщил Президент.
В ходе заседания также рассмотрено предложение Казахстана касательно формирования кадрового состава Комиссии. Речь идет об отказе от жесткой привязки представленности граждан к доле финансирования. С практической точки зрения представительная работа в Комиссии граждан всех пяти государств даст возможность профессионального роста, поможет воспитать специалистов именно в сфере евразийской интеграции. Глава государства с удовлетворением отметил достигнутый приемлемый консенсус по всем чувствительным вопросам, что еще раз показывает стремление стран к учету позиций друг друга и нахождению компромиссов.
Вместе с тем Касым-Жомарт Токаев высказал ряд предложений, направленных на стимулирование предпринимательской активности, вовлечение малых и средних предприятий в интеграционные производственные цепочки, проведение выездных встреч членов коллегии ЕЭК с бизнесом. В выступлении также отмечена важность разработки модели оценки, которая объективно покажет всем реальный вклад, добавленную стоимость интеграции в экономику государств-членов ЕАЭС.
Президент Казахстана обратил внимание глав государств на продолжающийся рост Китая и Азии, который постепенно превращает Восток в центр мировой экономической гравитации.
– Азия действительно становится регионом XXI века. И 28 % мирового ВВП уже сконцентрировано здесь, и эта цифра будет только расти. Сейчас тренд «разворота на Восток» предлагает новые возможности транспортно-логистической кооперации. Нам, евразийским странам, следует полностью реализовать свой транзитный потенциал. Предлагаю форсировать работу по модернизации трансграничных участков транспортных артерий, в частности, завершить строительство и модернизацию участка автодороги «Западная Европа-Западный Китай» на территории Российской Федерации. Кроме того, следует начать процесс оцифровки всех автомобильных коридоров с целью обеспечения свободы внутреннего движения товаров, а также транзита в третьи страны, – предложил Касым-Жомарт Токаев.</t>
  </si>
  <si>
    <t>https://www.akorda.kz/ru/events/international_community/foreign_other_events/glava-gosudarstva-prinyal-uchastie-v-zasedanii-vysshego-evraziiskogo-ekonomicheskogo-soveta</t>
  </si>
  <si>
    <t xml:space="preserve">В своем выступлении Глава государства отметил, что пандемия и принятые меры по борьбе с ней прервали процесс глобализации и изменили структуру мирохозяйственного уклада. В этих условиях необходимо найти эффективное решение наиболее актуального вопроса: как преодолеть последствия кризиса и выйти на путь восстановления и развития экономики.
– Мы начали реализацию первого стратегического документа в истории нашего Союза. Стратегия определила приоритеты интеграции и взаимодействия практически во всех отраслях экономики и международного сотрудничества на среднесрочную перспективу. Поэтому важно обеспечить качественную и оперативную реализацию Стратегии развития Союза, – отметил Президент Казахстана.
Обращаясь к участникам саммита, Касым-Жомарт Токаев заявил, что на пути к посткризисному восстановлению необходимо системно решить «наболевшую» проблему барьеров во взаимной торговле, количество которых в период локдаунов значительно возросло.
– Данные ограничения наносят ущерб развитию торгово-экономических отношений, ограничивают потенциал роста и развития. Казахстан, уверен, как и остальные страны – члены Союза, выступает за создание равных и недискриминационных условий для всех участников рынка. Борьба Комиссии с барьерами носит непрекращающийся характер, но особо эффективной ее не назовешь. Это борьба с последствиями решений, принятых на национальном уровне, – подчеркнул Президент Казахстана.
Согласно данным ООН, которые были приведены в выступлении, по итогам 2020 года мировые цены на продовольственные товары оказались самыми высокими за последние три года. Ожидается, что спрос на продовольствие к 2030 году возрастет более чем на 35 %.
– Каждая из наших стран обладает потенциалом для наращивания объемов производства продовольственных товаров. Вместе с тем ограничительные меры по защите внутреннего рынка могут привести к сдерживанию развития агропромышленного комплекса и дефициту продовольствия. Конечно, в отдельных, исключительных случаях их временное применение оправданно. В то же время считаю, что подобного рода ограничения не должны распространяться на страны нашего Союза, – отметил Касым-Жомарт Токаев.
Президент предложил усилить взаимодействие аграрных научных учреждений, активизировать меры по наращиванию экспорта сельскохозяйственной продукции на рынки третьих стран.
Казахстан, по его словам, готов со странами Союза развивать приграничную инфраструктуру аналогично проекту Международного центра торгово-экономического сотрудничества «Центральная Азия», к практической реализации которой приступил совместно с Узбекистаном. Большое значение приобретает также создание системы торгово-логистических и оптово-распределительных центров в рамках Союза. Такая система позволит обеспечить продовольственную безопасность стран, поддержит потенциал агропромышленного сектора, снизит издержки и, соответственно, цены на ключевые продукты.
– Евразийским странам предстоит полностью реализовать свой транзитный потенциал. Вновь предлагаю форсировать работу по модернизации трансграничных участков транспортных артерий. В частности, завершить реконструкцию автомагистрали «Западная Европа – Западный Китай» на всей территории Евразийского экономического союза, – указал на важность проекта Глава государства.
Касым-Жомарт Токаев выразил уверенность, что ЕАЭС станет мощным и действенным фактором посткризисного восстановления экономик наших стран. Казахстан будет продолжать прилагать все усилия для превращения Союза в эффективную, авторитетную организацию экономической интеграции.
В заключение Президент Казахстана поблагодарил участников за содержательные и конструктивные выступления. </t>
  </si>
  <si>
    <t>https://www.akorda.kz/ru/prezident-kasym-zhomart-tokaev-prinyal-uchastie-na-zasedanii-vysshego-evraziyskogo-ekonomicheskogo-soveta-2142239</t>
  </si>
  <si>
    <t xml:space="preserve">Мероприятие открыл и модерировал Касым-Жомарт Токаев. В своем выступлении он с удовлетворением отметил динамику роста макроэкономических показателей в рамках Союза, несмотря на внешние факторы и карантинные ограничения.
– Объем взаимной торговли за 9 месяцев текущего года вырос на 32,5 % и достиг 52 млрд долларов. Это больше показателя доковидного периода на 16,5 %. Вырос объем экспорта между странами Союза. Например, рост объемов экспорта Казахстана составил 39 %. В сопоставимых цифрах вырос экспорт и других стран-участниц ЕАЭС, – констатировал Глава государства.
Президент Казахстана напомнил о пяти направлениях совместной работы при вступлении в председательство в Союзе: усилении промышленной кооперации, устранении барьеров во взаимной торговле, развитии транспортно-логистической инфраструктуры, цифровизации, а также расширении торгово-экономических отношений с третьими странами.
– Мы понимаем, что это работа не одного дня. Однако уже сегодня можно отметить успешную реализацию некоторых их них, – сказал он.
Касым-Жомарт Токаев подробно остановился на результатах совместной работы в ходе казахстанского председательства, выразив благодарность правительствам ЕАЭС и Евразийской экономической комиссии за проделанную работу.
Вместе с тем Глава государства высказал ряд предложений, требующих особого внимания в условиях новых вызовов.
В частности, Президент обратил внимание на беспрецедентный спрос на цифровую продукцию и электронные услуги. По его мнению, уже сегодня на мировом рынке машиностроения наблюдаются системные сбои ввиду нехватки микрочипов и компьютерных элементов.
– В этой связи предлагается поручить нашим правительствам при содействии научно-исследовательских институтов проработать вопрос реализации совместных кооперационных проектов по производству микрочипов и компьютерных элементов для машиностроительной отрасли. Требуется создать производственную базу, которая позволит удовлетворить в полном объеме потребности наших предприятий, а в дальнейшем наладить и экспорт, – сказал Президент Казахстана.
Касым-Жомарт Токаев также считает актуальным развитие сухопутных перевозок, налаживание «скоростных» трансконтинентальных коридоров, обеспечение их региональной и глобальной конкурентоспособности. В этом контексте он напомнил об инициативе нашей страны относительно создания товаропроводящей сети ЕАЭС.
– Казахстан на протяжении последних двух лет ведет работу по созданию Национальной сети оптово-распределительных центров. Мы готовы принять активное участие в создании и интеграции товаропроводящих систем стран-членов Союза, – заявил он.
Глава государства вновь высказался за последовательное сокращение барьеров, ограничений и изъятий. В феврале этого года Коллегия утвердила Методологию разделения препятствий. Теперь процесс рассмотрения и квалификации барьеров регламентирован в доступной для бизнеса форме и в приемлемые сроки. Президент призвал продолжить вовлечение малых и средних предприятий в процесс евразийской интеграции и торговли без барьеров.
Отдельный блок в речи Касым-Жомарта Токаева был посвящен эффективности работы Евразийской экономической комиссии и ее взаимодействию со странами-участницами. Как было отмечено в выступлении, формирование единой и целостной экономической политики на стыке интересов пяти стран – достаточно кропотливая и сложная работа.
– С этого года мы приступили к реализации Стратегии развития Евразийской интеграции до 2025 года. Считаю, нам следует строго придерживаться положений Стратегии и не выходить за рамки действующего права Союза. Важно помнить, что наша работа и деятельность Союза в целом привлекает значительный интерес со стороны внешних партнеров. Это налагает на нас повышенную ответственность, – сказал Глава государства.
Резюмируя свое выступление, Президент Казахстана подчеркнул, что твердая приверженность сохранению взаимоуважительного, конструктивного диалога является прочной основой долгосрочного сотрудничества в рамках Союза.
Председательство в органах Евразийского экономического союза в 2022 году переходит к Кыргызской Республике. По этому случаю Касым-Жомарт Токаев поздравил Президента Садыра Жапарова и пожелал ему успехов в достижении поставленных целей.
По завершении заседания в расширенном формате лидеры государств-членов ЕАЭС продолжили обсуждение в узком составе.
</t>
  </si>
  <si>
    <t>https://www.akorda.kz/ru/prezident-kazahstana-prinyal-uchastie-v-zasedanii-vysshego-evraziyskogo-ekonomicheskogo-soveta-10111526</t>
  </si>
  <si>
    <t xml:space="preserve">Токаев </t>
  </si>
  <si>
    <t>В начале своего выступления Касым-Жомарт Токаев поблагодарил кыргызскую сторону и лично Садыра Жапарова за радушный прием и высокий уровень организации заседания.
Глава государства отметил, что традиционно на декабрьских встречах лидеры ЕАЭС подводят итоги совместной работы и определяют задачи на предстоящий период.
– Мы видим, как в мире вводятся разного рода запреты, квоты и пошлины, серьезно ограничивающие торговлю. На этом фоне наше активное сотрудничество в рамках ЕАЭС позитивно отличается от глобальных тенденций, и это внушает оптимизм. Несмотря на давление внешних факторов, товарооборот Казахстана со странами ЕАЭС за январь-октябрь этого года вырос более чем на 7%, составив 23 миллиарда долларов. Реализуются масштабные совместные проекты, увеличивается доля национальных валют во взаиморасчетах. Такая положительная динамика наглядно демонстрирует высокий уровень взаимодействия и значительный потенциал нашего интеграционного партнерства, – заявил Касым-Жомарт Токаев.
По его словам, в условиях текущей геополитической турбулентности странам ЕАЭС крайне важно сохранить и укрепить экономические связи, объединить усилия по развитию торгово-экономической кооперации в рамках общих принципов и целей. Для этого Президент Казахстана обозначил ряд приоритетных вопросов.
– Минимизация отрицательного влияния мировой инфляции на экономику наших стран. Прогнозы международных организаций неутешительны. Международный валютный фонд понизил прогноз роста мировой экономики в 2023 году до 2,7%, Всемирная торговая организация – до 1%. А по данным Евразийской экономической комиссии, в странах ЕАЭС продолжается рост потребительских цен. Инфляция в рамках Союза в октябре составила 11,5%. Основной ее прирост приходится на продовольственные и непродовольственные товары. Всё это ощутимо сказывается на покупательной способности и социальном самочувствии наших граждан. Нужно признать, что известные санкционные ограничения оказывают давление на экономики всех государств – членов ЕАЭС. Поэтому Комиссии и правительствам наших стран, на наш взгляд, следовало бы обратить на данный вопрос особое внимание и предложить пути смягчения влияния этих санкционных ограничений, – отметил Президент Казахстана.
Вторым приоритетом в выступлении было названо развитие международного экономического сотрудничества.
– Сфера внешнеторговых интересов Союза с каждым годом расширяется. Это позитивная тенденция, и Казахстан поддерживает данное направление. Теперь важно сфокусироваться на повышении качества взаимодействия с партнерами, с которыми заключены преференциальные соглашения. Речь идет о Вьетнаме, Сербии и Иране. Важно ускорить работу и по соглашениям о зонах свободной торговли с Индией, Египтом, Индонезией и Израилем. Желательно совместными усилиями продолжить данную работу. Об этом я говорю уже не в первый раз. Казахстан с удовлетворением отмечает начало переговоров с Объединенными Арабскими Эмиратами по соглашению о зоне свободной торговли. Считаю данную инициативу весьма перспективной и соответствующей интересам всей «евразийской пятерки». Теперь важно не затягивать этот процесс, – подчеркнул Глава государства.
Наряду с этим Президент Казахстана указал еще на один важный вопрос – обеспечение свободного транзита товаров по территории ЕАЭС. По его словам, эффективность интеграционного партнерства напрямую зависит от соблюдения принципа «четырех свобод», одной из которых является свобода перемещения товаров.
– Считаю, что следовало бы ликвидировать все случаи ограничения перемещений, квотирования и задержания казахстанских, и не только казахстанских, грузов, проходящих транзитом через нашу общую таможенную территорию. Такие ограничения не соответствуют целям и духу экономического сотрудничества в рамках ЕАЭС. Самое главное, они ограничивают реализацию потенциала нашей экономической интеграции. Полагаем необходимым ускорить вступление в силу Соглашения о применении навигационных пломб для отслеживания перевозок. Такая мера стала бы хорошим примером положительного влияния цифровизации на интеграционные процессы. Оптимизация мер государственного контроля, предусмотренная данным Соглашением, значительно расширит предпринимательский и транспортно-транзитный потенциал экономического Союза. Полагаю, скорая ратификация данного Соглашения будет способствовать решению данной проблемы, – сказал Касым-Жомарт Токаев.
Он напомнил, что в 2020 году была принята Стратегия развития евразийской экономической интеграции до 2025 года. Сегодня правительства стран ЕАЭС совместно с Комиссией работают над ее реализацией. Глава государства считает абсолютно правильным подходить к реализации Стратегии поэтапно, с полным соблюдением национальных интересов всех стран-участниц.
– Полагаем, что в подготовке новой Стратегии развития ЕАЭС пока нет необходимости. Тем более нет необходимости ограничивать права национальных Правительств. Действующий большой Договор и всё право Союза – это результат долгих переговоров, тщательно выверенных позиций, основанных на взаимных уступках, на компромиссе. Институциональная и содержательная части Договора обеспечивают тонкий, деликатный баланс национальных и наднациональных компетенций, представляя собой, по сути, добрую волю и экономический прагматизм всех сторон. Уже более 8 лет участники Союза вместе преодолевают современные вызовы. Это стало возможным именно благодаря взаимной поддержке и уважению национальных интересов. Мы делегировали отдельные права Евразийской экономической Комиссии, Евразийскому Суду, Евразийскому Банку развития. Создаем Евразийскую Перестраховочную организацию. Всё это время гарантией нашего долгосрочного сотрудничества является паритетность и сбалансированность интересов сторон. Поэтому важно продолжать придерживаться институциональных основ Договора о ЕАЭС, – заявил Президент Казахстана.
Он подчеркнул, что Казахстан искренне и предметно заинтересован в развитии интеграции.
– Ни о каком «притормаживании» интеграционных процессов со стороны Казахстана не может быть и речи. Казахстан, напротив, предпринимает все усилия для усовершенствования и оптимизации процесса экономической интеграции в полном соответствии с Договором о ЕАЭС в интересах всех государств-участников Союза, и, конечно же, с учетом национальных интересов нашей страны. Наши народы и, конечно, народ Казахстана, особенно предприниматели, должны реально почувствовать полезные плоды и результаты такой интеграции. Нас беспокоит «пробуксовка» процессов на определенных направлениях. В частности, речь идет о цифровой повестке Союза. Между тем Казахстан достаточно далеко продвинулся в этом направлении. По данным ООН, наша страна входит в тридцатку самых оцифрованных государств мира. Более 90% госуслуг в Казахстане предоставляются в электронном формате. Созданы законодательные основы для конкурентного развития IT-технологии и инноваций. Функционирует международный технопарк IT-стартапов, развивается криптоиндустрия, внедряется цифровой тенге. Считаю, что этот опыт можно было бы использовать для развития интеграции и создания проектов общего евразийского масштаба. Наша задача, как Союза, – стать ведущим игроком в сфере новых цифровых технологий, крипто-экосистемы, финтеха. И эта задача вполне выполнима. Тем более, Россия, Беларусь, Армения исторически имеют значительный опыт в таких сферах. Призываем страны-участницы усилить работу в этом направлении, – отметил Глава государства.
Он полагает, что требует особого внимания и вопрос трудовой миграции. По его мнению, текущие вызовы еще более отчетливо подчеркивают значимость данной сферы.
– Важно не стоять на месте, предлагать новые подходы. В том числе в части поиска работы, упрощения процедур трудоустройства, предоставления социальных гарантий трудовым мигрантам и их семьям. Граждане должны чувствовать на себе реальную пользу интеграционного проекта. Еще одна сфера – туризм. Здесь у Союза колоссальный потенциал, нам доступны все виды туризма. Давайте создавать условия, продвигать интеграцию, в том числе между людьми. Полагаю, Комиссия совместно с правительствами могла бы проработать предметные и реалистичные проекты в этой сфере, – предложил Касым-Жомарт Токаев.
Подводя итоги, Глава государства констатировал, что общими усилиями страны Евразийского экономического союза успешно нивелируют последствия текущих вызовов.
В завершение Президент Казахстана поздравил кыргызскую сторону и лично Садыра Жапарова с успешным завершением председательства Кыргызстана. Он отметил, что в следующем году эта почетная миссия переходит к российской стороне. По его словам, у Казахстана нет сомнений, что работа российского председательства будет успешной. Касым-Жомарт Токаев выразил уверенность в том, что усилия Российской Федерации, как крупнейшей экономики, придадут новый импульс развитию ЕАЭС.
По итогам заседания был принят ряд документов.</t>
  </si>
  <si>
    <t>https://www.akorda.kz/ru/prezident-kazahstana-prinyal-uchastie-v-zasedanii-vysshego-evraziyskogo-ekonomicheskogo-soveta-911715</t>
  </si>
  <si>
    <t>В своем выступлении Президент Казахстана отметил, что в условиях глобальных и региональных вызовов совместными усилиями стран ЕАЭС с успехом преодолеваются социально-экономические преграды, обеспечивается макроэкономическая стабильность и динамика роста.
– За годы деятельности Союза взаимная торговля Казахстана увеличилась на 33 процента, а экспорт – на 55 процентов. В Казахстане работает более 15 тысяч совместных предприятий, и их количество продолжает расти. Это отрадное явление. Данные показатели свидетельствуют об успешности нашего интеграционного взаимодействия. Считаю важным, чтобы общие усилия и далее были направлены на динамичное развитие торгово-экономического сотрудничества во благо наших граждан. В этом вижу гарантию укрепления нашего «коллективного иммунитета» перед лицом глобальных вызовов, – сказал Касым-Жомарт Токаев.
По его мнению, наблюдаемая сегодня санкционная конфронтация  является беспрецедентной по своей сути и последствиям.
– В феврале этого года в рамках проводимого в столице Казахстана Евразийского межправительственного совета мной предложено было создать Рабочую группу Высокого уровня для выработки экономических мер по обеспечению устойчивости экономик стран «евразийской пятерки». Рабочая группа создана. Разработан пакет оперативных мер, которые реализуются и уже имеют конкретные результаты. Однако надо понимать, что сложившаяся геополитическая ситуация будет иметь продолжительный характер. И к этому надо быть готовыми, – заявил Глава государства.
Касым-Жомарт Токаев предложил участникам совета рассмотреть две инициативы Казахстана, отвечающие текущим реалиям и потребностям интеграционного объединения.
– Нужны реальные проекты и конкретные результаты. Для этого следует ускорить завершение совместных проектов стран-членов ЕАЭС, а также инициировать новые инвестиционные проекты. Требуется усилить взаимодействие по линии бизнеса, усовершенствовать наши скоростные трансконтинентальные коридоры, тем самым обеспечив их региональную и глобальную конкурентоспособность. Особое внимание предлагаю уделить вопросу формирования комфортных условий для релокации иностранных компаний с учетом санкционного контекста. Даже мировые гиганты прекрасно понимают преимущества геоэкономического расположения ЕАЭС, к тому же невозможно игнорировать потенциал нашего 180-миллионного потребительского рынка. Данные меры предлагаю реализовать в течение 12 месяцев, – отметил Президент Казахстана.
Глава государства считает, что работу можно выстроить в рамках Рабочей группы Высокого уровня под руководством профильного члена – министра Коллегии ЕЭК. Промежуточный доклад Рабочей группы предложено рассмотреть в декабре этого года.
– В это непростое время особую актуальность обретает вопрос расширения и углубления экономического сотрудничества с третьими странами и интеграционными объединениями. Об этом я уже говорил на заседании Высшего совета в октябре прошлого года. Данное направление также было определено одним из приоритетов председательства Казахстана в органах ЕАЭС. В конце прошлого года подписан меморандум о взаимопонимании с Шанхайской организацией сотрудничества. Нам следует в скорейшем времени перевести работу на практические рельсы, начав обсуждение конкретных проектов и инициатив. Сегодня мы даем старт переговорам по заключению соглашения о свободной торговле с Индонезией. Ведутся переговоры с Индией, на стадии проработки – соглашение с Монголией, – подчеркнул Касым-Жомарт Токаев.
По его словам, заданный вектор в текущих условиях обретает особую актуальность. Президент Казахстана призвал Комиссию и Правительства ускорить данную работу
– Вчера состоялся первый Евразийский экономический Форум, на котором мы обсудили актуальные вопросы, проблемы и пути их решения, обменялись мнениями по дальнейшему развитию евразийской интеграции. Убежден, что договоренности и решения этих двух плодотворных дней найдут свое продолжение в рамках дальнейшего развития нашего объединения, – подытожил свое выступление Глава государства.</t>
  </si>
  <si>
    <t>https://www.akorda.kz/ru/prezident-kazahstana-prinyal-uchastie-v-zasedanii-vysshego-evraziyskogo-ekonomicheskogo-soveta-2742524</t>
  </si>
  <si>
    <t>Глава государства в своем выступлении отметил, что геополитические потрясения оказывают значительное влияние на экономическую ситуацию по всему миру.
– В этом году международные финансовые институты в среднем почти в два раза снизили прогнозы развития мировой экономики. Однако, несмотря на давление внешних факторов, наше сотрудничество в рамках Евразийского экономического союза показывает положительную динамику. Страны-участницы сохраняют макроэкономическую стабильность, наращивают темпы экономического роста и объемы взаимной торговли. Со своей стороны отмечу, что за годы деятельности ЕАЭС торговый оборот Казахстана с другими странами-участницами Союза вырос на 74%, при этом экспорт вырос на 98%. Мы считаем это хорошими показателями, – сказал Касым-Жомарт Токаев.
По его словам, в текущих геоэкономических условиях общим приоритетом является более полное и эффективное раскрытие потенциала Союза.
– Прежде всего, речь идет о полноценной реализации первой из четырех свобод – свободе движения товаров. Это формирование единого, действительно безбарьерного рынка и обеспечение беспрепятственного транзита товаров в третьи страны. Полагаю, что достижение этих целей должно стать ключевым направлением работы правительств и Евразийской экономической комиссии. Уверен, что на данном этапе развития интеграции в этом вопросе мы должны отходить от тактики принятия «точечных решений», ситуативных договоренностей и ручного управления. Нам необходим полноценный, системно функционирующий внутренний рынок Союза, – заявил Глава государства.
Он полагает, что важно совместными усилиями расширять рынки сбыта для товаров наших экспортёров. Как сообщил лидер Казахстана, одна из ключевых целей создания Союза – получение максимально выгодных торговых условий от третьих стран на основе сильной, скоординированной совместной позиции.
– Важно продолжить системный диалог с интеграционными объединениями и странами, сотрудничество с которыми представляет для нас экономический интерес. Комиссии предстоит оперативно завершить работу по заключению соглашений о зоне свободной торговли с Объединёнными Арабскими Эмиратами, Индией, Египтом, Индонезией, Израилем. Нам следует качественно усилить взаимодействие с ШОС, АСЕАН, МЕРКОСУР и другими международными организациями, – подчеркнул Президент Казахстана.
По его мнению, видится важным развитие и формализация института наблюдателя при Союзе. Он считает, что данный институт должен стать механизмом эффективного и взаимовыгодного сотрудничества.
– Комиссии предстоит проработать возможность присоединения государств-наблюдателей к отдельным договорам в рамках Союза, а также возможность их участия в конкретных кооперационных и инфраструктурных проектах. Думаю, нашим партнерам будет особенно интересна кооперация в энергетике, сельском хозяйстве, транспортно-логистической сфере. Считаю, что Комиссии необходимо актуализировать соответствующий перечень договоров и проектов, – отметил Касым-Жомарт Токаев.
Важным направлением в выступлении Президента было названо развитие промышленности. Для укрепления сотрудничества в данном направлении начата реализация целого ряда многосторонних кооперационных проектов и межгосударственных программ. Было отмечено успешное взаимодействие по Межгосударственной программе дистанционного зондирования земли.
– В текущей геополитической ситуации Казахстан, учитывая свою географию и возможности, готов выступить в качестве центра развития евразийской промышленной кооперации. Это могут быть совместные предприятия по производству электромобилей, магистральных локомотивов, вагонов, сельскохозяйственной и легковой техники, строительных материалов и химической продукции. Многое из перечисленного уже находится в практической разработке. Мы также готовы к реализации совместных проектов по освоению месторождений черных и цветных металлов с дальнейшей переработкой и производством готовой продукции. Отдельно отмечу наше успешное сотрудничество в данных сферах с Российской Федерацией. Только за последние пару лет реализованы крупные проекты по производству грузовых автомобилей, магистральных тепловозов и электровозов, продукции для железнодорожной отрасли, производству шин. На подходе еще целый ряд крупных проектов, – подчеркнул Глава нашего государства.
Он считает, что еще одним важным направлением в дальнейшем интеграционном развитии может стать создание новых международных транспортных артерий. Касым-Жомарт Токаев выразил уверенность в том, что ЕАЭС станет связующим звеном между Европой и Азией, глобальным Югом и Севером.
– Мы приветствуем намерения Российской Федерации по формированию коридоров в направлении Китая, Индии, Пакистана, Ирана, государств Ближнего Востока и Юго-Восточной Азии. Считаю, что созрело понимание необходимости развития транспортного коридора Север – Юг в сопряжении с Транскаспийским маршрутом. В этой связи Казахстан будет выступать надежным логистическим хабом ЕАЭС, задействуя все свои возможности и ресурсы. В качестве предметных инициатив предлагаем запустить скоростные грузовые поезда по железнодорожной магистрали Челябинск – Болашак – Иран. Для этого можно использовать действующую инфраструктуру транспортного коридора Север – Юг с созданием грузового консолидирующего центра в Челябинске. Мы готовы реконструировать «узкие места» в нашей железнодорожной сети Бейнеу – Мангыстау и на участке автомобильной дороги Бейнеу – Шалкар. Казахстан, безусловно, сделает это, исходя из понимания общности наших усилий по созданию соответствующего грузопотока. Хорошим примером нашего взаимовыгодного сотрудничества призвано стать строительство железной дороги Бахты – Аягоз. Ее запуск позволит значительно нарастить пропускную способность и Казахстана, и России в направлении Китая. Также можно было бы рассмотреть возможность совместных инвестиций в строительство инфраструктуры в морских и сухих портах Ирана и Туркменистана. Это значительно расширит географию экспорта государств-членов, укрепит наши логистические возможности, – сказал Президент.
Наряду с развитием физической инфраструктуры лидер Казахстана указал на крайнюю важность выработки предметных решений по созданию общей цифровой системы транзита товаров. По его мнению, она должна быть надежной, но простой в использовании и основываться на передовых цифровых технологиях.
– Следует решить вопросы использования электронных пломб, гарантийной системы оперативного информационного обмена, а также развития системы «Е-окна». Эти меры позволят создать общий цифровой мультимодальный коридор, который ускорит товаропотоки и оптимизирует цепочки поставок. Большие возможности для совместной работы имеются в сферах цифровизации, туризма, агропромышленного комплекса, – сообщил Касым-Жомарт Токаев.
По его словам, важно последовательно и системно реализовать огромный потенциал ЕАЭС во благо наших стран.
– Это принципиально важно. Ведь экономическая интеграция – это прежде всего ключевой инструмент достижения роста экономики и благосостояния наших граждан. Соответственно успех или неуспех интеграционных усилий будет измеряться очень просто – бизнес и граждане должны чувствовать, что работают и живут лучше в результате работы Союза. Только в таком случае они дадут властям мандат доверия на дальнейшие интеграционные шаги. Поэтому казахстанское видение развития Союза – это последовательное наращивание экономического потенциала наших стран. То есть проекты, технологии, рабочие места, налоги. Абсолютно уверен, что совместными усилиями мы успешно выполним все поставленные перед нами задачи и выведем Евразийский экономический союз на более высокую траекторию развития, – подчеркнул Глава государства.
В завершение своего выступления лидер Казахстана отметил, что в следующем году ЕАЭС исполняется десять лет, и планируется проведение юбилейного саммита.
– Считаю, что это знаковое событие должно стать хорошим поводом для детального анализа пройденного пути и определения дальнейших стратегических перспектив Союза. В этой связи предлагаю поручить Комиссии к следующему заседанию Высшего совета подготовить Доклад о первом этапе евразийской интеграции. В нем будут представлены основные итоги и достижения, а также конкретные рекомендации по дальнейшему интеграционному развитию. Конечно же, десятилетие нашего интеграционного объединения – это значимая веха, которую необходимо отметить на соответствующем уровне. Символично было бы провести юбилейное заседание в Астане, поскольку Договор о создании ЕАЭС был подписан в столице Казахстана, – предложил Президент Казахстана.
По итогам заседания был принят ряд документов.</t>
  </si>
  <si>
    <t>https://www.akorda.kz/ru/prezident-kazahstana-prinyal-uchastie-v-zasedanii-vysshego-evraziyskogo-ekonomicheskogo-soveta-254528</t>
  </si>
  <si>
    <t>В своем выступлении Глава нашего государства выразил признательность российским коллегам и лично Владимиру Путину за гостеприимство и высокий уровень организации мероприятия. Он отметил, что нынешний год был сложным, прежде всего, из-за продолжающейся и нарастающей глобальной нестабильности.
– Инфляционное давление, трансформация международных логистических цепочек, региональные конфликты, санкционное противостояние – это только некоторые факторы, которые замедлили темпы развития мировой экономики. В таких непростых условиях Казахстан планирует завершить год с экономическим ростом в 4,9 процента. Отрадно, что на позитивную динамику вышли все страны «евразийской пятерки». Вместе с тем для сохранения траектории устойчивого развития наших экономик мы должны совместно готовиться к вызовам 2024 года. По прогнозам экспертов, в следующем году глобальная экономика будет расти умеренными, если не сказать медленными темпами – от полутора до трех процентов. ЕАЭС, будучи неотъемлемой частью мировой экономики с рынком в 2,6 триллиона долларов, возможно также ощутит это замедление. Поэтому нам необходимо максимально задействовать экономические резервы и имеющийся потенциал взаимовыгодной интеграции. Казахстан изначально отстаивал принцип экономической составляющей союза. Считаем, что участники ЕАЭС своими действиями и решениями должны исходить именно из этой повестки дня, – сказал Касым-Жомарт Токаев.
По его мнению, одной из приоритетных задач является развитие технологической кооперации государств ЕАЭС в реальном секторе экономики. Лидер Казахстана полагает, что широкое внедрение передовых технологий и инноваций усилит позиционирование экономического объединения на мировой арене. Он приветствовал отражение данного вопроса в принятой сегодня декларации «Евразийский экономический путь», которая сопряжена с глобальной инициативой Китая «Один пояс, один путь».
Касым-Жомарт Токаев считает, что новый импульс необходимо придать полноценной реализации фундаментальной основы ЕЭАС – свободы движения товаров. Несмотря на открытие таможенных границ, каждая из стран продолжает де-факто защищать внутренних производителей от конкуренции с другими участниками ЕАЭС.
– Нам предстоит устранить существующие барьеры и ограничения на общем рынке, а также ускорить введение единых технических регламентов. Полноформатное функционирование Интегрированной информационной системы ЕАЭС значительно сократило бы издержки бизнеса при перемещении товаров между странами-участницами. Большой потенциал продуктивного взаимодействия имеется в сфере электронной торговли. В прошлом году общий объем данного рынка в ЕАЭС достиг 80 миллиардов долларов. В ближайшей перспективе этот показатель может удвоиться. Однако это далеко не предел. Нам следует более активно работать над совершенствованием таможенных процедур и созданием эффективной и равноправной экосистемы онлайн-торговли, – подчеркнул Глава нашего государства.
В выступлении еще одним важным направлением сотрудничества был обозначен агропромышленный комплекс. По словам Президента, сегодня странам «евразийской пятерки» удалось достичь высокого уровня продовольственной самообеспеченности.
– Вместе с тем доля экспорта сельхозпродукции стран ЕАЭС на мировом рынке все еще остается крайне низкой, составляя чуть более двух процентов. И это в то время, когда на планете более 800 миллионов человек испытывают голод и нехватку продовольствия. Поставкам продовольствия, к сожалению, препятствует нынешняя геополитическая ситуация, где на первый план вышли санкции. В результате страдают народы, нуждающиеся в продовольствии. Между тем, по оценкам экспертов, потенциал стран ЕАЭС позволит прокормить около 600 миллионов человек. Поэтому налаживание тесных кооперационных связей для выпуска конкурентной, экологичной и экспортоориентированной продукции, соответствующей передовым международным стандартам, должно стать одной из наших приоритетных задач. Предстоит общими усилиями развивать системы агрологистики и хранения, внедрять цифровые решения в сферу сельского хозяйства. Нам нужно поработать над созданием совместных центров агроинноваций, которые бы занимались коммерциализацией и промышленным внедрением новых технологий в агропромышленном комплексе, – предложил лидер Казахстана.
По мнению Президента, ЕАЭС выступает стратегическим звеном, связывающим все евразийское пространство. И государства-участники имеют все возможности, чтобы закрепить данный статус.
– В первую очередь, речь идет о развитии коридора «Север – Юг» с выходом на государства Ближнего Востока, Иран, Пакистан и Индию. В этом плане отрадно отметить, что казахстанская инициатива по запуску маршрута «Челябинск – Болашак – Иран» находит свое практическое воплощение. Со своей стороны, мы готовы реконструировать «узкие места» в нашей железнодорожной и автомобильной сети. Речь идет о железных дорогах «Бейнеу – Мангыстау», «Макат – Кандыагаш» и участке автомобильной дороги «Бейнеу – Шалкар». Для дальнейшего развития коридора создается совместное предприятие логистических компаний Казахстана, России и Туркменистана. Предлагаю железнодорожным администрациям из других стран ЕАЭС присоединиться к данной работе. Казахстан активно укрепляет транспортно-логистический каркас и связанность ЕАЭС. Мы завершаем строительство казахстанских терминалов в китайском городе Сиань и грузинском порту Поти. Мы планируем запустить 5 трансграничных транспортно-логистических хабов на границах с Россией, Китаем, Узбекистаном, Кыргызстаном и на Каспийском море. В ближайших планах – строительство 1300 километров новых железнодорожных путей, сухих портов «Бахты» и «Калжат», а также морского порта в иранском Бендер-Аббасе. Приглашаем страны ЕАЭС к совместной реализации взаимовыгодных проектов, в том числе партнерской сети крупных стратегических портов, логистических центров и почтовых хабов, – отметил Касым-Жомарт Токаев.
Наряду с этим Глава государства предложил рассмотреть возможность сопряжения «Цифровой повестки ЕАЭС» и китайской инициативы «Цифровой шелковый путь». По его мнению, построение усовершенствованной модели цифрового и интеллектуального взаимодействия внесет существенный вклад в развитие экономик стран евразийского пространства.
– Огромные перспективы открывает взаимодействие в сфере цифровых технологий и искусственного интеллекта. Очевидно, что они определят будущий технологический прогресс не только отдельных отраслей, но и целых стран и объединений. Казахстан довольно успешно использует цифровые решения. В нашей стране более 90% государственных услуг предоставляется в электронном виде. Намерены к 2026 году довести показатель экспорта IT-отрасли до одного миллиарда долларов. Казахстан выступает за всестороннее развитие сотрудничества в данной сфере. В этом ключе предлагаю рассмотреть возможность строительства волоконно-оптической линии связи по маршруту «Россия – Казахстан – Иран» для подключения к существующим международным линиям, проходящим вдоль побережья Индийского океана. Это позволит не только создать альтернативный маршрут транзитного трафика на евразийском пространстве, но и значительно усилить позиции ЕАЭС в логистике данных на глобальном уровне, – заметил Президент Казахстана.
Он подчеркнул важность в это непростое время последовательно укреплять потенциал ЕАЭС на внешнем контуре, развивая торгово-экономические отношения с третьими странами и интеграционными объединениями.
– Мы приветствуем подписание полноформатного Соглашения о свободной торговле с Ираном, который занимает важное место в системе наших торгово-экономических связей. Следует продолжать целенаправленную работу в этом направлении с Индией, Объединенными Арабскими Эмиратами, Египтом, Индонезией, Монголией и другими заинтересованными странами, – сказал Касым-Жомарт Токаев.
В конце своей речи лидер Казахстана поздравил Владимира Путина с успешным завершением председательства Российской Федерации, а также пожелал Николу Пашиняну продуктивного председательства в органах ЕАЭС в 2024 году. Кроме этого Глава государства выразил благодарность Михаилу Мясниковичу, завершающему свою миссию на посту председателя Евразийской экономической комиссии.</t>
  </si>
  <si>
    <t>https://www.akorda.kz/ru/prezident-kazahstana-prinyal-uchastie-v-zasedanii-vysshego-evraziyskogo-ekonomicheskogo-soveta-2611415</t>
  </si>
  <si>
    <t>Уважаемые коллеги!
Прежде всего хотел бы выразить признательность Президенту Российской Федерации Владимиру Владимировичу Путину за блестящую организацию юбилейного саммита и оказанный тёплый приём.
Пользуясь случаем, хочу также поздравить Вас, уважаемый Владимир Владимирович, с официальным вступлением в должность Президента Российской Федерации.
Десять лет назад в Астане был подписан исторический Договор о Евразийском экономическом союзе. За сравнительно небольшой период наш союз трансформировался в важное и перспективное интеграционное объединение на международном пространстве. Совместными усилиями было принято более тысячи различных нормативных документов.
Правильность выбранного вектора развития нашего объединения подтверждают макроэкономические итоги десятилетия. Так, торговый оборот Казахстана со странами – участницами союза вырос в 1,7 раза, достигнув 28,5 миллиарда долларов, а экспорт – более чем в два раза.
Сотрудничество в рамках Евразийского экономического союза способствует поступательному развитию экономики Казахстана. Только по итогам прошлого года валовой внутренний продукт страны вырос на 5,1 процента. Мы считаем это неплохим результатом. Высокий уровень интеграционного взаимодействия подкрепляется совместной реализацией крупных инфраструктурных проектов, развитием промышленной кооперации и формированием общего рынка услуг. Для дальнейшего устойчивого развития в условиях геополитической неопределённости наше объединение должно стать более гибким и эффективным.
По оценкам Всемирного банка, темпы роста мирового валового внутреннего продукта в первой половине текущего десятилетия могут оказаться самыми низкими за последние 30 лет. Если международное сообщество не примет действенное решение, то этот период может войти в историю как десятилетие упущенных возможностей. Несомненно, это большой вызов и для Евразийского экономического союза, являющегося неотъемлемой частью глобальной экономики. Нам предстоит задействовать все резервы и решить задачи, поставленные при создании союза.
Прежде всего речь идёт о полноценной реализации фундаментального принципа экономического союза – свободы движения товаров. Нам необходимо создать действительно единый и системно функционирующий безбарьерный внутренний рынок. Важно полностью устранить практику применения скрытых ограничений, так называемых точечных решений и какого-либо ручного управления. Считаю, что это должно стать безусловным приоритетом работы Евразийской экономической комиссии.
Другая, не менее важная задача, – перестройка внешней торговли. Очевидно, что наше объединение обладает огромными возможностями для расширения своей ниши на глобальном рынке. Предлагаю поручить Евразийской экономической комиссии выработать системные решения по укреплению потенциала союза на внешнем контуре. Необходимо создать соответствующие условия для более активного выхода евразийской продукции на зарубежные рынки. Крайне важно обеспечить беспрепятственный транзит товаров в третьи страны.
Президент Казахстана Касым-Жомарт Токаев на заседании Высшего Евразийского экономического совета в расширенном составе.
Президент Казахстана Касым-Жомарт Токаев на заседании Высшего Евразийского экономического совета в расширенном составе.
На фоне трансформации мировой экономики особое значение для Евразийского экономического союза имеет расширение сети соглашений о свободной торговле с третьими странами. Это позволит максимально упростить доступ наших экспортёров на новые рынки, интегрировать их в региональные и глобальные производственные цепочки. Казахстан, безусловно, приветствует решение о начале переговоров с Монголией по заключению временного торгового соглашения.
Большие перспективы сотрудничества имеются с быстро развивающимися странами Азии, Африки и Ближнего Востока. Кооперация с глобальным Югом представляет особый интерес, учитывая ожидаемый вклад только одной Азии в текущий рост мирового валового внутреннего продукта на уровне 60 процентов. Для выхода на рынки Персидского залива предлагаем государствам, Казахстан уже это делает, государствам – членам экономического союза присоединиться к Ашхабадскому соглашению о создании международного транспортного коридора.
Базовым условием налаживания долгосрочной интеграции остаётся наличие устойчивой системы транспортной связанности с внешними рынками. Прочный задел нами уже сформирован. Сегодня евразийский транспортный каркас обеспечивает эффективную торговую связь между Европой и Азией, севером и югом.
Однако в ближайшее десятилетие износ инфраструктуры в Евразийском регионе станет более ощутимым и потребности в её обновлении будут только расти, поэтому приоритетным вопросом является модернизация и расширение транспортной и логистической инфраструктуры. Недаром говорят, что там, где прокладываются рельсы, открывается путь к новым возможностям. Поэтому мы в Казахстане до 2030 года планируем отремонтировать 11 тысяч и проложить более пяти тысяч километров новых железных дорог.
В рамках глобальной инициативы «Один пояс, один путь» построен казахстанский терминал в китайском городе Сиань, в котором формируется до 40 процентов объёма контейнерных перевозок по маршруту Китай – Европа. В планах также запуск пяти трансграничных транспортно-логистических хабов на границах с Россией, Китаем, Узбекистаном, Киргизстаном и на Каспийском море.
Кроме того, по всему периметру страны начата масштабная модернизация международных автомобильных пунктов пропуска. Эти комплексные инфраструктурные решения, на наш взгляд, будут способствовать дальнейшему сопряжению и расширению возможностей евразийских транспортных артерий.
Железнодорожная отрасль Казахстана получит новый импульс к развитию за счёт создания единой цифровой экосистемы. Планируем уже в следующем году использовать в железнодорожных перевозках элементы искусственного интеллекта. Использование передовых технологий позволит значительно повысить эффективность перевозок и оптимизировать расходы, в том числе для наших партнёров. Важно создать так называемую бесшовную логистику путём гармонизации тарифной политики и таможенных процедур, а также создания единого евразийского цифрового коридора. В качестве практической меры предлагаем приступить к внедрению механизма удалённой проверки всех товаросопроводительных документов с использованием QR-кодов и взаимного признания цифровых документов.
Следующей приоритетной задачей для повышения конкурентоспособности союза и выхода на новые рынки является углубление промышленной кооперации. Сегодня около 90 процентов экспорта евразийской «пятёрки» приходится на промежуточные товары. Между тем в условиях глобального технологического прогресса остро стоит вопрос повышения сложности производимой продукции, поэтому необходимо усилить технологическую интеграцию в реальном секторе экономики.
Как известно, с текущего года будет оказываться финансовое содействие промышленным кооперационным проектам за счёт средств бюджета Евразийского экономического союза. Важно также обеспечить поддержку высокотехнологичным предприятиям, которые налаживают производство товаров высокого передела.
Естественно, важной задачей является создание прозрачного механизма обеспечения равного доступа к финансированию. Со своей стороны Казахстан продолжит последовательную политику, направленную на развитие промышленной кооперации на евразийском пространстве. На сегодняшний день со странами – участницами союза прорабатывается реализация более 150 индустриальных проектов.
Большие перспективы сотрудничества отмечаем в нефтегазохимической отрасли, способной стать новой точкой экономического роста. При участии российских партнёров ведём строительство высокотехнологичных заводов по производству полипропилена, полиэтилена и бутадиена. Будет налажен выпуск продукции третьего передела, в 20 раз превышающий стоимость исходного сырья.
Ещё одно важное направление – укрепление продовольственной безопасности. Всем известно, что Евразийский регион обладает одним из самых высоких производственно-ресурсных и экспортных потенциалов в мире. В условиях роста численности населения в мире, ограниченности ресурсов в других макрорегионах мы имеем возможность обеспечить продовольствием около 600 миллионов человек. При этом роль союза в обеспечении глобальной продовольственной безопасности будет только усиливаться. Наше стратегическое видение состоит в том, чтобы трансформировать агропромышленный комплекс в высокотехнологичную отрасль. Для этого крайне важно принимать согласованные меры по внедрению прорывных инновационных технологий, базирующихся на искусственном интеллекте, робототехнике, биотехнологиях и агронауке.
На сегодня именно успешная цифровая трансформация становится определяющим фактором экономического прогресса и технологического суверенитета не только отдельных стран, но и целых регионов. Нам важно занять достойное место, быть в авангарде цифровой гонки на глобальном уровне.
Сотрудничество в сфере цифровизации должно стать движущей силой устойчивого развития интеграционного объединения, поэтому Казахстан поддерживает инициативу Евразийской экономической комиссии по развитию четырёх свобод союза в условиях повсеместной цифровизации. В свою очередь мы создаём одну из наиболее быстрорастущих цифровых экономик в нашей части мира, конечно же, уделяем особое внимание искусственному интеллекту.
Уважаемые участники заседания!
Всего за 10 лет существования Евразийского экономического союза мы добились впечатляющих результатов по всем направлениям. Но с учётом огромного потенциала нашего объединения нам предстоит сделать ещё больше. Поэтому Казахстан будет поддерживать экономическую интеграцию, основанную на принципах равноправия и взаимовыгодного партнёрства.
Пользуясь случаем, хочу поздравить всех с наступающим Днём Великой Победы.
Спасибо за внимание.</t>
  </si>
  <si>
    <t xml:space="preserve">нет текста речи, новостная статья о том, что прошла встреча </t>
  </si>
  <si>
    <t>https://www.akorda.kz/ru/glava-gosudarstva-prinyal-uchastie-v-zasedanii-vysshego-evraziyskogo-ekonomicheskogo-soveta-v-rasshirennom-sostave-26115847</t>
  </si>
  <si>
    <t>https://www.akorda.kz/ru/glava-gosudarstva-prinyal-uchastie-v-zasedanii-vysshego-evraziyskogo-ekonomicheskogo-soveta-v-rasshirennom-sostave-2752042</t>
  </si>
  <si>
    <t xml:space="preserve">Касым-Жомарт Токаев принял участие в очередном заседании Высшего Евразийского экономического совета (ВЕЭС), которое состоялось в Санкт-Петербурге.
В своем выступлении Глава нашего государства выразил признательность Президенту Владимиру Путину за теплый прием и высокий уровень организации мероприятия. Он отметил, что предновогодние петербургские встречи, ставшие доброй традицией, дают хорошую возможность подвести итоги года и наметить планы на перспективу.
Президент напомнил, что уходящий год является юбилейным для Евразийского экономического союза, который уверенно вступил во второе десятилетие своего развития. Он подчеркнул, что за этот период обеспечен устойчивый рост взаимной торговли, успешно реализуются инфраструктурные проекты, расширяется промышленная кооперация.
Касым-Жомарт Токаев отметил, что несмотря на глобальные потрясения последних лет удалось сохранить позитивную экономическую динамику.
– Ожидается, что совокупный ВВП стран ЕАЭС в 2025 году увеличится на 2 %. Согласно прогнозам, в ближайшие два года рост ВВП приобретет устойчивый характер. За время функционирования Евразийского экономического союза накопленный объем взаимных прямых инвестиций в объединении превысил 20 млрд долларов. Приток инвестиций в Казахстан увеличился почти в семь раз (в 2015 году –  600 млн долл., в 2024 году – 4 млрд долл.). Промышленное производство выросло на 29% и составило 1,5 трлн долларов, – сказал Глава государства.
Президент подчеркнул необходимость последовательного укрепления экономического потенциала ЕАЭС и обозначил приоритетные направления дальнейшего развития интеграционного объединения.
– Мир вступил в эпоху тотальной цифровой трансформации и искусственного интеллекта. Считаю, что мы должны идти в ногу со временем и обеспечить внедрение современных технологий во все сферы экономик стран – участниц ЕАЭС. Предлагаем начать работу над внедрением технологии искусственного интеллекта в сферы деятельности ЕАЭС. В частности, такие системы уже сейчас могут использоваться для прогнозирования торговых потоков и оценки влияния таможенных пошлин. В следующем году Казахстан в рамках председательства в органах ЕАЭС будет принимать ежегодный Евразийский экономический форум. На полях форума можно было бы принять Совместное заявление об ответственном развитии искусственного интеллекта на пространстве нашего объединения, – заявил он.
Касым-Жомарт Токаев выразил мнение, что ЕАЭС способен претендовать на роль мирового транспортно-логистического узла.
– Через территории наших государств пролегают важнейшие международные коридоры, такие как Западная Европа – Западный Китай, Север – Юг, Транскаспийский международный транспортный маршрут. Совместно с зарубежными партнерами Казахстан активно развивает сеть международных мультимодальных логистических центров (в РФ, КНР, Азербайджане и др.) и терминалов (в Румынии и Венгрии). Предлагаем нашим партнерам присоединиться к этой работе в целях оптимизации торговых потоков, сокращения издержек на перевозку грузов, – отметил Глава государства.
Президент сообщил, что широкие перспективы для дальнейшего сотрудничества открывает развитие морской инфраструктуры Казахстана на каспийском побережье. По его словам, современные контейнерные хабы в основных портах Каспийского моря способны обслуживать растущие объемы грузоперевозок. В связи с этим Касым-Жомарт Токаев призвал ускорить вступление в силу Соглашения о судоходстве, которое придаст импульс укреплению транзитного потенциала всех участников союза.
Глава государства считает важным сосредоточиться на развитии новых промышленных производств, ориентированных на выпуск востребованной на мировом рынке продукции с высокой добавленной стоимостью.
– По расчетам аналитиков ЕАБР, дополнительные возможности производства и экспорта промышленных товаров в странах ЕАЭС оцениваются в 67 млрд долларов. При полной реализации этого потенциала совокупный эффект роста может достичь 500 млрд долларов. Для достижения этой цели важно усилить и промышленную кооперацию. Здесь необходимы инвестиции в прорывные инновационные проекты, – считает Касым-Жомарт Токаев.
Президент подчеркнул, что пришло время полностью искоренить практику создания административных барьеров во взаимной торговле.
– Нужно устранить искусственные ограничения при перемещении граждан, километровые очереди грузового транспорта на границах. Таможенное регулирование и меры государственного контроля (транспортного, санитарного, ветеринарного и фитосанитарного) не должны использоваться как инструмент продавливания определенных решений внутри союза. За период существования ЕАЭС принято значительное количество документов, направленных на обеспечение безбарьерной торговой среды. Необходимо неукоснительно соблюдать взаимные обязательства, своевременно устранять «узкие места». Для оперативного выявления потенциальных барьеров Комиссии стоит рассмотреть возможность подключения технологий искусственного интеллекта к мониторингу законодательных инициатив стран ЕАЭС. Полноценное функционирование единого безбарьерного рынка и обеспечение свободного транзита товаров должны оставаться безусловными приоритетами. Наши граждане и бизнес должны ощущать практическую пользу от интеграции, – сказал Глава государства.
По мнению Касым-Жомарта Токаева, следует активно расширять географию торгово-экономического сотрудничества.
– В текущем году состоялось подписание Соглашения о зоне свободной торговли с Монголией и Соглашения об экономическом партнерстве с Объединенными Арабскими Эмиратами. Сегодня будет подписано аналогичное Соглашение с Индонезией. Мы приветствуем данный факт. Это важный итог нашей совместной работы и свидетельство растущего интереса третьих стран к углублению торговых связей с Евразийским экономическим союзом. В обозримой перспективе считаем важным расширять взаимодействие союза со странами Глобального Юга, Арабского мира, Юго-Восточной Азии и Африки. Нужно уделить особое внимание сотрудничеству с такими важными объединениями, как ШОС, АСЕАН и другими, – добавил Президент.
В завершение Президент отметил, что перед странами-участницами стоят непростые задачи, которые требуют выверенных решений и скоординированных действий. Он напомнил, что в следующем году ответственная миссия председателя в органах ЕАЭС перейдет к Республике Казахстан, которая настроена на дальнейшую совместную работу, призванную стать залогом новых достижений и способствовать повышению благополучия народов объединения. Касым-Жомарт Токаев сообщил, что следующее заседание ВЕЭС состоится 28-29 мая в Астане.
Глава государства выразил признательность Александру Лукашенко за успешное председательство Республики Беларусь в уходящем году.
В саммите приняли участие Президент Российской Федерации Владимир Путин, Президент Республики Беларусь Александр Лукашенко, Премьер-министр Армении Никол Пашинян, Президент Кыргызской Республики Садыр Жапаров, Президент Республики Узбекистан Шавкат Мирзиёев, а также представители Индонезии, Ирана и Кубы.
По итогам заседания был принят ряд документов.
</t>
  </si>
  <si>
    <t>https://www.akorda.kz/ru/glava-gosudarstva-prinyal-uchastie-v-zasedanii-vysshego-evraziyskogo-ekonomicheskogo-soveta-21115343</t>
  </si>
  <si>
    <t>Сумма по Казахстану</t>
  </si>
  <si>
    <t>Армения</t>
  </si>
  <si>
    <t>Саргсян</t>
  </si>
  <si>
    <t>не участвовала</t>
  </si>
  <si>
    <t>на этом саммите обсуждался вопрос о вступлении Армении в ЕАЭС</t>
  </si>
  <si>
    <t>Уважаемые коллеги!
Прежде всего благодарю Президента Российской Федерации Владимира Владимировича Путина за тёплый приём и хорошую организацию российскими коллегами заседания Высшего Евразийского экономического совета.
Это первое заседание, первое формальное заседание, которое мы проводим в этом году после вступления в силу договора о Евразийском экономическом союзе. Думаю, глубоко символично, что оно проводится в канун юбилея – 70-летия Великой Победы, праздника, как ничто другое, символизирующего братство наших народов, внёсших решающий вклад в разгром фашизма, праздника, символизирующего силу единства, силу борьбы за справедливость, за мир и международную безопасность. Наследие Великой Победы и сегодня служит прочной основой для углубления уз братства между нашими народами и взаимовыгодного сотрудничества между нашими странами. Поздравляю всех нас с этим замечательным юбилеем!
Уважаемые коллеги!
С начала этого года экономики наших стран начали полноформатное взаимодействие в новых реалиях и в условиях при общем рынке с более чем 170 миллионами потребителей, где обеспечены соответствующие правовые основы, свобода передвижения товаров, услуг, капитала и рабочей силы. Работа должна быть ориентирована на увеличение торговых и инвестиционных потоков, укрепление деловых связей, усиление институтов ЕАЭС и в конечном итоге на достижение более высокого уровня интеграции наших экономик. Уверен, что вопросы, которые внесены в повестку сегодняшнего заседания, и соответствующие решения, которые мы примем, позволят продвигаться вперёд в этом направлении.
Сегодня нам предстоит продолжить работу в направлении присоединения Киргизской Республики к евразийскому интеграционному объединению. В Армении завершён процесс внутригосударственного согласования, необходимого для подписания проектов протоколов, согласованных в ходе заседания Евразийского межправительственного совета от 6 февраля 2015 года в Москве. Соответственно, исходим из того, что подписание этих протоколов без внесения изменений позволит приступить к процессу ратификации согласно законодательству Республики Армения.
Евразийский экономический союз становится серьёзной торгово-экономической единицей, привлекающей интерес многих стран от Латинской Америки до Азии. Шаги, направленные на развитие торгово‑экономических связей с разными странами, и подписание соглашений о сотрудничестве с ними способствуют расширению нашего общего рынка.
Важным шагом в этом направлении является завершение процесса подготовки соглашения о свободной торговле с Вьетнамом. Считаю необходимым продолжать расширять географический ареал сотрудничества и в южном направлении, в частности посредством налаживания более тесных связей с Ираном. Необходимо также уделять особое внимание внедрению крупных региональных инфраструктурных проектов, соединяющих Юго-Восточную Азию и Персидский залив со странами ЕАЭС.
В этом контексте, безусловно, есть особый потенциал установления взаимовыгодного сотрудничества со странами БРИКС, где Россия играет ключевую роль. Пользуясь случаем, благодарю Президента России за приглашение принять участие во встрече лидеров стран – участниц БРИКС с главами государств и правительств, входящих в Евразийский экономический союз и Шанхайскую организацию сотрудничества.
Важное значение и огромный потенциал имеет для наших стран сотрудничество с Китаем – одной из крупнейших экономик мира и одним из главных торговых партнёров нашего союза. Углубление такого сотрудничества позволит не только расширить наш общий рынок, привлечь инвестиции, но и подключиться к реализации крупных инфраструктурных проектов, диверсифицировать тем самым логистические возможности нашего объединения.
Уважаемые коллеги!
Под влиянием ряда неблагоприятных международных и региональных факторов наше экономическое пространство сталкивается с определёнными трудностями, преодоление которых зависит от проработанности принимаемых решений и эффективного претворения в жизнь. Наши страны достигли определённого уровня интеграции, и тенденция развития мировой экономики требует повышения уровня скоординированности наших действий.
Важным шагом в этом направлении является утверждение проекта об основных ориентирах макроэкономической политики государств – членов Евразийского экономического союза на 2015–2016 годы, реализация которого позволит обеспечить макроэкономическую стабильность наших стран и будет способствовать повышению темпов экономического роста.
Одним из приоритетных направлений деятельности нашего союза является создание единого электроэнергетического рынка. Наши страны владеют огромными запасами энергетических ресурсов, имеют производственный потенциал. Нужно использовать это сравнительное преимущество для повышения международной конкурентоспособности ЕАЭС в этой сфере. Последовательная реализация концепции формирования общего электроэнергетического рынка Евразийского экономического союза и достижение эффективного функционирования этого рынка позволит усилить позиции ЕАЭС как ключевого игрока на глобальном энергетическом рынке.
Другим важным направлением нашей совместной деятельности является поэтапная либерализация рынка услуг. Армения в полном объёме присоединяется к перечню единого рынка услуг, утверждённого решением ВЕЭС от 23 декабря 2014 года. Мировой опыт показывает, что в процессе экономической интеграции либерализация рынка товаров, либерализация рынка услуг не позволяет полноценно задействовать весь экономический потенциал интеграционного объединения. Думаю, данная сфера должна быть в фокусе нашего внимания.
Уважаемые главы государств!
За период функционирования ЕАЭС проведена большая работа. Полагаем, что сегодня важно не снижать набранный темп. Нельзя останавливаться на достигнутом, необходимо строить планы на перспективу. Согласно договору, важная функция в этом направлении отведена Евразийской экономической комиссии, которая с 1 февраля будущего года должна быть сформирована в новом составе, а возможно, и в новом формате. Осталось не так уж много времени до указанного срока. Поэтому предлагаю в течение предстоящих 2–3 месяцев проработать этот вопрос с тем расчётом, чтобы на следующем саммите мы смогли бы утвердить персональный состав и председателя Комиссии на основе ротационного принципа.
Благодарю вас за внимание.</t>
  </si>
  <si>
    <t>https://www.president.am/ru/press-release/item/2015/10/16/President-Serzh-Sargsyan-participation-in-EEC-Supreme-Session/</t>
  </si>
  <si>
    <t>https://www.president.am/ru/press-release/item/2015/12/21/President-Serzh-Sargsyan-participated-at-EUS/</t>
  </si>
  <si>
    <t>Уважаемые главы государств, коллеги!
Начну со слов благодарности в адрес Президента Казахстана Нурсултана Абишевича Назарбаева за организацию сегодняшнего заседания Высшего Евразийского экономического совета.
К сегодняшнему саммиту ЕАЭС вышел с определённым опытом, накопленным за полтора года функционирования в сложной для мировой экономики ситуации. Создана широкая договорная база, отрабатывается алгоритм интеграции, что в совокупности должно способствовать социально-экономическому развитию наших стран, повысить уровень конкурентоспособности наших экономик и степень их вовлечённости в мировую экономическую систему.
Экономическая интеграция требует увеличения уровня координации наших подходов на макроэкономическом уровне. В этой связи придаём большое значение последовательной реализации основных ориентиров макроэкономической политики государств – членов ЕАЭС на 2016–2017 годы и выработке дальнейших действенных механизмов по сопряжению нашего экономического потенциала. Это поспособствует повышению устойчивости экономик наших стран и преодолению последствий сложившейся негативной экономической ситуации.
Мы должны сделать всё, чтобы на общем фоне повышения роли региональных структур мировой политики и экономики наша интеграция стала привлекательной моделью экономического партнёрства, открытой для широкого сотрудничества со всеми заинтересованными сторонами.
Подписанное в формате ЕАЭС соглашение о зоне свободной торговли с Вьетнамом в Армении находится в завершающей стадии ратификации, и буквально на следующей неделе договор будет ратифицирован.
Мы также приветствуем фиксацию правовых рамок взаимодействия с входящими в объединение АСЕАН Камбоджей и Сингапуром, равно как и все аналогичные документы (а их более 20), подписанные с правительствами отдельных стран, а также с международными организациями.
Армянская сторона поддерживает решение о начале переговоров с Сербией по вопросу унификации торгового режима.
Относительно продвижения диалога по линии ЕАЭС – ЕС полагаю, что все мы едины во мнении, что сотрудничество двух интеграционных объединений должно быть нацелено на достижение совпадающих целей обеспечения свободы передвижения товаров, рабочей силы, услуг и капиталов. Это должно способствовать формированию общего пространства без разделительных линий. В этом контексте придаём важность взаимодействию Евразийской экономической комиссии с Европейской комиссией.
На ереванском заседании Межправительственного совета утверждены директивы на переговоры с Китаем. Рассчитываю, что комиссия на следующем заседании отчитается о начале переговорного процесса, конечной целью которого мы бы хотели видеть правовую основу для нашего тесного сотрудничества. При этом необходимо параллельно продолжать диалог с китайской стороной, а также с другими заинтересованными государствами, с Ираном и Индией, по части сопряжения ЕАЭС и «Экономического пояса Шёлкового пути». Такая стыковка – дополнительная возможность для выстраивания международной цепочки добавленной стоимости. Это помогло бы также увеличить охват торговли, реструктуризировать экономику, привлечь инвестиции под крупные инфраструктурные проекты, диверсифицировать логистические возможности.
Уважаемые главы государств! Принимаемые нами, в том числе и сегодня, решения должно быть осязаемы для наших граждан и бизнес-среды, для каждого покупателя товаров и заказчиков услуг, которые на собственном примере прочувствовали бы преимущество интеграции. Достичь этой цели можно посредством согласованной работы в направлении минимизации нагрузок на бизнес, устранения технических барьеров, создания условий для выхода на общие рынки ЕАЭС.
В этом контексте подчеркну значимость принятия концепций формирования общих рынков газа, нефти и нефтепродуктов. Реализация данных решений поспособствует усилению экономического потенциала ЕАЭС, так как рынок энергоносителей является важным фактором в производственной цепочке, и от его предсказуемости зачастую зависит возможность устойчивого экономического роста. Цены на углеводородное сырьё на пространстве ЕАЭС должны способствовать повышению конкурентоспособности производимых на нашем пространстве товаров.
Уважаемые коллеги! Интеграционные объединения успешно функционируют и развиваются лишь в безопасной среде: безопасность – базовый фундамент для экономического развития и процветания наших государств.
Я считаю чрезвычайно важным тот факт, что страны, формирующие Евразийский экономический союз, одновременно являются членами ОДКБ, основной целью которой является обеспечение всеобъемлющей безопасности на нашем пространстве.
Эскалация Азербайджаном в начале апреля ситуации вдоль линии соприкосновения с Нагорным Карабахом, на границе с Арменией, стало серьёзным вызовом безопасности пространства ЕАЭС. Риск очевиден: либо пространство Евразийского экономического союза будет рассматриваться нашими международными партнёрами как зона экономического развития, стабильности и безопасности, куда можно инвестировать, где можно выстраивать долгосрочные планы, либо все свыкнутся и будут исходить из того, что тут перманентные очаги напряжения и раздора. Не думаю, что второй сценарий исходит из интересов наших стран.
Армения не может оставаться в стороне в случае агрессивных действий Азербайджана по отношению к Нагорному Карабаху. Конечно, силы самообороны Карабаха восстановили порядок и взяли ситуацию под свой контроль. Важную роль в этом сыграла Россия, к которой Азербайджан обратился с просьбой о восстановлении режима перемирия.
В Вене при посредничестве стран – сопредседателей Минской группы ОБСЕ прошла встреча, в ходе которой были достигнуты договорённости об установлении мер доверия, механизмов мониторинга линии соприкосновения и расследовании инцидентов. Армения намерена последовательно работать в направлении реализации этих договорённостей и продолжать поиск мирного урегулирования, основанного в первую очередь на праве народа Нагорного Карабаха распоряжаться собственной судьбой и на самоопределении. Армения согласна с сопредседателями Минской группы в том, что этот принцип, как и принципы неприменения силы или угрозы ею, а также принцип территориальной целостности являются основой урегулирования нагорно-карабахского конфликта.
Благодарю за внимание.</t>
  </si>
  <si>
    <t xml:space="preserve">Уважаемый Владимир Владимирович, еще раз примите мои соболезнования.
Наша сегодняшняя встреча – хорошая возможность подвести итоги двухлетней деятельности Евразийского экономического союза, выявить наши достижения, а они, по нашему мнению, немалые. Думаю, стоит также акцентировать внимание на проблемных вопросах, тормозящих полноценное функционирование нашего единого экономического пространства. Было бы желательно конечно, чтобы эти актуальные вопросы были обсуждены при участии всех наших коллег.
Хотел бы поделиться нашими оценками функционирования Союза за текущий год. В позитив можно записать то, что темпы сокращения взаимной торговли снижаются. Есть положительная динамика по промышленному и сельскохозяйственному производству. Полагаю, что ряд принятых решений по рынку лекарственных препаратов и медицинских изделий, по либерализации до 2025 года 20 секторов услуг, а также по концепциям формирования общих рынков газа, нефти и нефтепродуктов проявят себя в ближайшей или среднесрочной перспективе.
Благодаря заложенному фундаменту евразийского интеграционного проекта нам удалось заметно ослабить деструктивные последствия внешнеэкономических шоков, которые были бы более чувствительными для государств-членов в случае отсутствия внутреннего рынка Союза. Для государств-членов с небольшими экономиками обеспечен эффект «масштаба» как для национальных производителей, так и для международного позиционирования страны.
Хотел бы также отметить в качестве существенного достижения нашей организации тот факт, что успешно запущен и работает механизм ротации высших должностных лиц. Думаю, выражу солидарное мнение, что все наши опасения по поводу целесообразности и продуктивности такого шага остались позади. Все уставные органы Организации работают в полном режиме и достаточно интенсивно, о чем свидетельствует также повестка сегодняшней встречи.
При всем этом, потенциал Союза в части реакции на социально-экономические вызовы реализуется еще в недостаточном объеме. Как следствие, ожидания бизнеса и граждан от создания и деятельности Союза, связанные с его ролью в модернизации экономик и повышении качества жизни граждан, остаются нереализованными. Правовая основа частично сформирована, но сохраняются ограничения использования интеграционного потенциала, что, по нашему мнению, не позволяет оперативно реагировать на ухудшение ситуации в мировой экономике. Одним словом, несмотря на серьезные продвижения, пока еще открытыми остаются немало вопросов.
Как нам представляется, Союз должен продвигаться по двум ключевым направлениям. Первое – это устранение оставшихся преград на пути полной либерализации «четырех свобод» и развитие интеграции внутри Союза. Второе – это более эффективное встраивание национальных экономик государств-членов и Союза в целом, в глобальную торговую систему. Оба эти направления являются взаимодополняющими. Очевидно, что без налаживания эффективного сотрудничества внутри Союза, международное позиционирование нашего интеграционного объединения осложнится.
В этом контексте, принятие Таможенного кодекса - весомый шаг на пути нашей дальнейшей интеграции, так как он очерчивает переход к единому таможенному регулированию на всем пространстве экономического союза. Важно, что новым Кодексом установлены передовые, соответствующие международным стандартам подходы. Применение указанных подходов упростит процедуру пересечения товаров таможенной границы ЕАЭС, сделает ее транспарентной, в том числе и посредством внедрения системы электронного декларирования, что и является нашей задачей.
В этой связи, хотел бы обозначить следующий момент. При переходе на ту или иную систему администрирования, следует высвободить бизнес от лишнего бумаготворчества, стремиться максимально совместить принципы необходимости и достаточности.
Для Армянской стороны актуален также вопрос либерализации секторов торговли услугами. Мы прилагаем последовательные усилия по применению в сфере государственных услуг принципа «одного окна», серьезно продвинулись в части обеспечения конструктивного государственно-частного взаимодействия в этой сфере. Готовы поделиться с партнерами нашим опытом по внедрению и применению единых электронных платформ в сфере государственных услуг.
В нашей стране сектор информационных технологий занимает одно из лидирующих мест, накоплен значительный опыт, который важно использовать в цифровой трансформации отраслей экономики, при формировании цифрового рынка Союза. Для участия в современном мировом разделении труда и получения результатов в сфере развития цифровой экономики, нужно обладать значимым голосом, поэтому мы заинтересованы в согласованных усилиях и реализации совместных проектов, проработке и осуществлении стратегических направлений развития цифровой экономики ЕАЭС уже в 2017 году. Особенно важным на наш взгляд может стать реализация инициатив в транспортно-логистической системе, энергетике, сельском хозяйстве, микроэлектронике и Армения готова принять активное участие в их реализации.
Уважаемые коллеги!
Хотел бы особо обозначить важность проведения скоординированной транспортной политики. Перед Арменией остро стоит вопрос обеспечения непрерывной связи со странами-членами ЕАЭС. В условиях отсутствия общей границы со странами ЕАЭС, наша торгово-экономическая связь осуществляется через территорию Грузии – через КПП «Верхний Ларс». Но, к сожалению, обусловленные рядом обстоятельств – погодными условиями, бюрократическими процедурами, работа данного КПП периодически нарушается, что наносит серьезный ущерб нашим хозяйствующим субъектам. В этой связи придаем важное значение созданию отдельного проезда для транспортных средств, принадлежащих странам-членам ЕАЭС, который значительно облегчит осуществление грузоперевозок. Это даст представителям бизнеса наших стран реальное ощущение полезности функционирования нашего Союза.
Относительно скоординированной транспортной политики, хотел бы отметить, что приоритет при выборе как уже действующих, так и вновь создающихся транспортных коридоров, и маршрутов, в первую очередь, должен отводиться тем, которые пролегают через страны ЕАЭС, а их перечень должен формироваться на основе предложений государств. Маршруты должны способствовать большей вовлеченности стран ЕАЭС в региональные и международные инфраструктурные коридоры и проекты сотрудничества.
Хотел бы перейти на тему международной деятельности ЕАЭС. Радует тот факт, что интерес к нашему Союзу в мире растет. В течение всего года интенсивно прорабатывались вопросы сотрудничества с Китаем, Ираном, Индией, Сингапуром и другими странами. Это, несомненно, расширяет возможности международного вовлечения и повышения роли ЕАЭС на международной арене.
Хотел бы отдельно коснуться вопроса сотрудничества ЕАЭС с Ираном. В ходе недавнего официального визита Президента Ирана Рухани в Армению мы обстоятельно обсудили перспективы углубления торгово-экономических отношений между ЕАЭС и Ираном, в том числе вопрос создания зоны свободной торговли. В частности, были представлены те широкие возможности взаимовыгодного сотрудничества, которые откроются для хозяйствующих субъектов наших стран и Ирана. Президент Ирана выразил заинтересованность в заключении временного соглашения c ЕАЭС, ведущего к образованию зоны свободной торговли.
Армения активно содействует переговорному процессу между Евразийской экономической комиссией и Ираном, имея целью по возможности быстро достигнуть подписания данного соглашения.
Одновременно, мы обсудили планы создания международного транспортного и транзитного коридора Персидский залив – Черное море. Армения – единственный член ЕАЭС, имеющий сухопутную границу с Ираном, делает упор на развитие транспортных и логистических инфраструктур, в том числе благодаря осуществляемому ныне строительству коридора Север-Юг, что создаст платформу для удобного и безопасного выхода в Персидский залив и далее в Индийский океан для наших партнеров по ЕАЭС.
Уважаемые Главы государств!
Подытоживая, хотел бы выразить надежду, что совместными усилиями мы не только преодолеем нынешние финансово-экономические трудности, но и поднимем международный вес нашего интеграционного объединения путем укрепления Союза изнутри. Убежден, что у ЕАЭС многообещающее будущее, что, несомненно, послужит развитию наших экономик и благосостоянию наших граждан.
Спасибо за внимание.
 </t>
  </si>
  <si>
    <t>https://www.president.am/ru/press-release/item/2016/12/26/President-Serzh-Sargsyan-speech-Economical-U-Session-in-Saint-Petersbur/</t>
  </si>
  <si>
    <t>Уважаемые коллеги!
Прежде чем остановиться на двух-трёх вопросах, предложенных на рассмотрение на пленарном заседании Высшего совета, хотел бы искренне поблагодарить Президента Кыргызстана Атамбаева Алмазбека Шаршеновича за организацию сегодняшней встречи на столь высоком уровне, а также за оказанное гостеприимство и тёплый приём.
Формирование и развитие нашего общего экономического пространства уже второй год происходит в условиях сложной мировой экономической конъюнктуры на фоне снижения темпов роста мировой экономики и геополитических потрясений. Всё это создаёт, с одной стороны, определённые преграды на пути к полноценному восстановлению нашего союза, а с другой стороны, открывает новые возможности для более тесной кооперации наших стран.
В этих условиях предпринятые нашими странами согласованные действия позволили в определённом смысле стабилизировать ситуацию в государствах-членах, выйти на макроэкономическую устойчивость через поддержку некоторых отраслей и секторов экономики, благодаря чему в ряде стран наметилась тенденция к росту промышленного и сельскохозяйственного производства.
Президент Армении Серж Саргсян на заседании Высшего Евразийского экономического совета.
Президент Армении Серж Саргсян на заседании Высшего Евразийского экономического совета.
В частности, в 2016 году в Армении наблюдалась положительная динамика в объёме валового внутреннего продукта, оживление экономической активности в промышленном секторе, в области сельского хозяйства и секторе услуг. Оборот торговли Армении со странами ЕАЭС вырос более чем на 15 процентов, а экспорт армянских товаров на евразийский рынок – на 65 процентов; зафиксирован рост товарооборота также с третьими странами.
Перед нашими странами стоят схожие цели развития, достижение которых мы видим, в частности, через инновации в промышленности, через высокотехнологическое сельское хозяйство, цифровую экономику, возобновляемую энергетику. Также важны совместные усилия, направленные на реализацию взаимовыгодных кооперационных проектов.
У нас две важные цели. Первая – укрепление союза изнутри, дальнейшая либерализация нашего общего экономического пространства путём устранения барьеров, минимизация изъятий и ограничений для свободного движения товаров, услуг, капитала и рабочей силы. Вторая – увеличение степени международной вовлечённости ЕАЭС. Обе эти цели являются взаимодополняющими и влияют на эффективность и международный авторитет организаций.
Для дальнейшего международного позиционирования нашего интеграционного объединения мы придаём важное значение продвижению сотрудничества ЕАЭС с третьими странами и ключевыми интеграционными объединениями, готовыми к реальному сотрудничеству. В 2016 году в конструктивном ключе прорабатывались вопросы сотрудничества с Ираном, Китаем, Индией, Египтом и многими другими странами.
Армения заинтересована в правовом закреплении соответствующих договорённостей, достигнутых на этих направлениях, в частности, с Исламской Республикой Иран, с которой нас связывают прагматичные взаимовыгодные и добрососедские отношения.
В этом плане позитивно оцениваем процесс взаимодействия между Евразийской экономической комиссией и Европейской комиссией как важный фактор, способствующий диалогу между двумя объединениями в целях обмена опытом и обсуждений путей обеспечения гармоничного, взаимодополняющего и взаимовыгодного развития процессов интеграции и сотрудничества.
Уважаемые главы государств! Эффективность ЕАЭС в значительной степени зависит также от слаженной и скоординированной работы между государственными органами стран-членов, Евразийской экономической комиссией и бизнесом. В этой связи ожидаем от Евразийской экономической комиссии в рамках своих полномочий предложения по решению актуальных задач, которые стоят перед союзом.
Важным шагом считаем разработку и публикацию комиссии совместно с государственными органами в так называемой «Белой книге», в которой зафиксировано 60 согласованных препятствий на рынке союза. Надеемся, что в ближайшее время будет утверждена и дорожная карта со сроками их устранения. Армения будет и далее реализовывать намеченные планы по преодолению последствий глобальных негативных экономических явлений, переходу к устойчивому экономическому росту, в том числе за счёт использования интеграционного потенциала союза.
Благодарю за внимание.</t>
  </si>
  <si>
    <t>С.Саргсян: Прежде всего, хочу ещё раз поблагодарить Владимира Владимировича за организацию сегодняшнего саммита, за тёплый приём. Также хочу поблагодарить киргизских коллег за председательство Кыргызстана в Евразийском союзе.
Уважаемые коллеги, почти за трёхлетний период функционирования Евразийского союза проделан немалый объём работы в части практической реализации на общем рынке принципов свободы передвижения товаров, услуг, капитала и рабочей силы.
Постоянно пополняется договорно-правовая база, уже определены приоритеты союза, идёт совместная координация политики в важнейших отраслях экономики, последовательно расширяется охват многостороннего сотрудничества ЕАЭС.
За первые семь месяцев текущего года имеем рост по объёму взаимной торговли почти на 28 процентов по сравнению с аналогичным периодом прошлого года. В январе–июле 2017 года к соответствующему периоду 2016 года зарегистрирован прирост экспортных поставок Республики Армения на рынок стран ЕАЭС на 29 процентов. Суммарный объём внешней торговли государств-членов с третьими странами увеличился более чем на 26 процентов. Владимир Владимирович привёл много цифр, которые подтверждают правильность принятого нами решения.
Необходимо закрепить эту тенденцию, обеспечив её устойчивый характер. Для этого, как нам представляется, необходимо, во-первых, продолжить совместную работу не только по части выявления, но и устранения имеющихся барьеров, обеспечить необходимые предпосылки для ведения бизнеса в условиях единых правил здоровой конкуренции.
Проводя работу по расширению договорной базы, необходимо сделать акцент на тех нормативных актах, после принятия которых хозяйствующие субъекты наших стран на практике ощутили бы обоснованность их принятия.
Заседание Высшего Евразийского экономического совета в расширенном составе.
Заседание Высшего Евразийского экономического совета в расширенном составе.
Во-вторых, ожидаем, что цифровая повестка дня должна способствовать продвижению транспарентности сотрудничества, повышению производительности, улучшению качества услуг. Разделяем актуальность вопроса и считаем, что его необходимо решить с учётом следующих моментов: оценки экономической обоснованности проектов, их интеграционной составляющей и значимости для экономик наших стран, с учётом положительного опыта реализации схожих проектов в государствах – членах союза, набора согласованных критериев, по которым можно оценивать соответствие проектов в интересах государств-членов и союза в целом.
Полагаю, что выработку цифровых решений можно начать со взаимного признания электронных счетов-фактур. Так как вопрос взаимного признания счетов-фактур является сквозным для целого ряда цифровых инициатив, включая прослеживание электронной торговли, предлагаю, чтобы правительства стран совместно с комиссией в возможно короткие сроки проработали этот вопрос. Важно также, чтобы все последующие действия по цифровой повестке отгородили бы бизнес от возможного увеличения несоразмерного административного и новых финансовых обременений.
Ещё одним шагом к укреплению ЕАЭС, и это третье, является сотрудничество на международном треке. Исходим из того, что как на уровне союза, так и в индивидуальном плане взаимодействие между различными интеграционными структурами – естественно, с соблюдением нами взятых обязательств – способно внести важный вклад в формирование взаимодополняющего и взаимовыгодного пространства без разделительных линий на благо всех государств.
С удовлетворением отмечаем принципиальное завершение переговоров по торгово-экономическому соглашению ЕАЭС – Китай. Это стало возможным благодаря накопленному нашими странами опыту двустороннего сотрудничества с Китаем. Считаем, что данный формат взаимодействия должен способствовать развитию сотрудничества с ЕАЭС, равно как и сотрудничество ЕАЭС по тому или иному направлению должно обогащать двусторонние отношения наших стран.
Считаем, что создание Единого евроазиатского торгово-экономического пространства и транспортного коридора возможно посредством реализации крупных инфраструктурных проектов, объединяющих ЕАЭС с инициативой «Один пояс, один путь», с вовлечением всех стран союза. Это позволит минимизировать все имеющиеся инфраструктурные ограничения для интеграции и, как следствие, сформировать систему связанных транспортных путей.
Хотел бы также подтвердить настрой – я уверен, что это наша общая позиция, – на подписание в ближайшей перспективе соглашений с Ираном. Этот вопрос вчера был затронут руководством Исламской Республики Иран, Премьер-министром Армении. Я так понимаю, что они готовы продолжать переговоры и завершить в ближайшее время.
В заключение я хотел бы проинформировать вас, что вчера Конституционный суд Армении рассмотрел Договор о Таможенном кодексе ЕАЭС. Документ будет в ближайшее время направлен в парламент на ратификацию. Рассчитываем, что и далее все вопросы будут решаться в наших странах в конструктивном ключе на благо наших народов и для процветания наших стран.
Спасибо большое.</t>
  </si>
  <si>
    <t>Пашинян</t>
  </si>
  <si>
    <t>“Уважаемые члены Высшего Евразийского экономического совета,
Уважаемые участники заседания,
Позвольте поприветствовать всех участников сегодняшнего заседания и поблагодарить российскую сторону за прекрасную организацию нашей встречи и традиционно теплый и радушный прием, который нам оказывается здесь, в Санкт-Петербурге.
Уважаемые коллеги, участие в Евразийском экономическом союзе является одним из приоритетных направлений деятельности нашего правительства. Торгово-экономическое сотрудничество со странами ЕАЭС становится одним из важнейших позитивных факторов, влияющих на экономический рост и внешнеторговый потенциал страны.
Так, рост товарооборотa Армении со странами ЕАЭС за первые 10 месяцев 2018 года по сравнению с аналогичным периодом 2017 года составил 15%. Объем экспорта в страны ЕАЭС за тот же период увеличился более чем на 22%, в то время как общий объем экспорта Армении увеличился на 11,7%. Увеличивается также и доля стран ЕАЭС в общей структуре экспорта Армении.
Данные факты, думаю, свидетельствуют не только о благоприятной конъюнктуре, сложившейся на рынках ЕАЭС для наших товаров, но и об эффективности инструментов свободной торговли, действующих в нашем Союзе.
Армения заинтересована в дальнейшем углублении интеграционных процессов в ЕАЭС. Готовы и впредь прилагать все усилия для совершенствования институтов интеграции и поиска новых путей и механизмов сотрудничества. В этом контексте хочу заметить, что Армения приветствует «Декларацию о дальнейшем углублении интеграционных процессов» и поддерживает ее положения, определяющие философию нашего сотрудничества и основные направления eго развития.
Мы убеждены, что интеграция наших стран в конечном итоге должна служить созданию комфортных условий для ведения бизнеса и полноценной реализации человеческого потенциала. Если удастся достичь видимых результатов в этом вопросе, то появится множество хозяйствующих субъектов и отдельных лиц, заинтересованных в углублении интеграции. Результаты интеграции должны быть ощутимы для всех. Интеграция примет необратимый характер, если в ней будут заинтересованы простые люди. А это станет возможным, если они увидят, что их жизненные условия улучшаются параллельно с развитием интеграционных процессов.
Уважаемые коллеги, правительство Армении нацелено на развитие технологических секторов экономики. Информационные технологии являются самой быстроразвивающейся отраслью нашей экономики и потенциальным конкурентным преимуществом нашей страны. В этой связи особый интерес для нас представляет цифровая повестка Евразийского экономического союза. Она полностью созвучна с нашими приоритетами, и мы заинтересованы в ее полноценной реализации.
Особую важность Армения придает диверсификации внешнеэкономических связей. Мы всецело поддерживаем «Основные направления международной деятельности ЕАЭС на 2019 год» и усилия, направленные на расширение географии договоров о свободной торговле. Считаем приоритетным сотрудничество с Европейским Союзом, a также со странами, которые являются нашими непосредственными торговыми партнерами. Армения готова стать эффективной платформой для развития торгово-экономических отношений с Ираном. Мы также готовы принимать активную роль в переговорах с Египтом по соглашению о свободной торговле.
Мы заинтересованы в скорейшем вступлении в силу договоров с Ираном и Китаем. Правительство Армении завершает внутригосударственную процедуру ратификации этих документов, и вскоре, после проведения парламентских выборов, внесет их на одобрение Национального Собрания страны.
Уважаемые коллеги,
Сегодня в Армении происходят изменения, затрагивающие, по сути, все стороны жизни нашего общества. Как вы знаете, через три дня у нас пройдут внеочередные парламентские выборы. Я могу с уверенностью заявить, что сегодня в Армении имеются все условия, необходимые для проведения самых открытых, свободных и справедливых выборов, имевших место в нашей стране за последние четверть века. Созданы все условия для свободного волеизъявления нашего народа.
Новый парламент даст народу Армении возможность для формирования правительства, деятельность которого будет нацелена на достижение скорейших результатов в приоритетных для нашего общества областях, а именно – в борьбе против коррупции, укреплении институтов верховенства закона и создании равных условий для всех субъектов, действующих в экономической и политической жизни нашей страны.
В конце хотел бы затронуть вопрос о представленности Армении в Евразийском межправительственном совете. Руководствуясь принципом партнерских взаимоотношений и конструктивного подхода в том, что касается функционирования нашего Союза, мы не настаиваем на незамедлительном обсуждении этого вопроса и принятии соответствующего решения. Однако, это чувствительный для нас вопрос, и мы бы хотели оставить его в общей повестке наших обсуждений с целью достижения взаимоприемлемого для всех нас решения.
И завершая свое выступление, хочу заверить, что Армения готова к принятию эстафеты председательства в Высшем Евразийском Экономическом Совете и рада будет принять одно из его заседаний. Мы приложим все усилия для успешного выполнения этой важной и ответственной задачи. Надеюсь, через год мы будем иметь более консолидированный Союз, служащий интересам наших экономик, государств и народов.
Благодарю за внимание”.</t>
  </si>
  <si>
    <t>https://www.primeminister.am/ru/statements-and-messages/item/2018/12/06/EAEU-meeting/</t>
  </si>
  <si>
    <t>Уважаемый Председатель Высшего Евразийского экономического совета! Уважаемые главы государств! Уважаемые участники заседания!
Прежде всего хочу начать с поздравления всех присутствующих с прошедшим праздником Великой Победы. Великая Отечественная война была тяжелейшим испытанием для народов стран ЕАЭС и многих народов мира. Наш долг – сохранить и передать молодым поколениям память об этом доблестном подвиге дорогих ветеранов, сделать всё возможное для обеспечения безопасности, устойчивого развития и процветания наших стран. Хочу также искренне поблагодарить Президента России за оказанный тёплый приём и гостеприимство, а также за организацию настоящего саммита на таком высоком уровне.
Уважаемые главы государств! Как вам известно, в Армении произошла мирная смена власти, о чём вы, полагаю, хорошо осведомлены. Мы сегодня уже сформировали Правительство, программа которого в концептуальном плане не будет предусматривать реверсов на внешнеполитическом треке.
Подтверждаю полную приверженность международным обязательствам, взятым Республикой Армения, в том числе и в рамках Евразийского экономического союза. Мы настроены на активное взаимодействие с партнёрами по ЕАЭС и в интересах практического достижения свободы передвижения товаров, услуг, рабочей силы и капитала, а также внедрения преференциальных режимов экономического сотрудничества, регламентированных правом Союза.
Имеющаяся по части ЕАЭС в армянском обществе дискуссия обусловлена тем, что решение вопросов администрирования, перехода на новые, общие механизмы регламентации, наличие различных препятствий и барьеров и изъятий пока не оправдывают ожиданий бизнеса незамедлительно получить конкретные и осязаемые преимущества, заложенные в основу идеи евразийской интеграции.
Полагаю, что совместные усилия стран ЕАЭС и последовательность в достижении видимых с каждым днём результатов могли бы уменьшить охват таких дискуссий. Армения в этом заинтересована и исходит из того, что необходимо прежде всего обеспечить рост торгово-экономического сотрудничества, сделать акцент на высокие и новые технологии, обеспечить на деле равные условия для хозяйствующих субъектов, найти развязки по тем актуальным вопросам, которые напрямую влияют на качество жизни. В конце концов, если показатели экономической активности, а они налицо, не прочувствованы гражданами, то они просто переходят в категорию статистики.
Уважаемые главы государств! Прежде чем остановиться на двух-трёх вопросах повестки дня, отмечу, что армянская сторона готова поддержать принятие всех согласованных к заседанию документов. По части вопросов, относящихся к деятельности ЕАЭС по внешнему контуру, отмечу, что проект положения о статусе наблюдателя после долгих согласований, по нашему мнению, получился выверенным и, главное, всецело вытекающим из договора о Союзе.
Полагаем, что проработку вопроса необходимости введения в ЕАЭС помимо наблюдателя иных форматов взаимодействия с третьими странами целесообразно рассмотреть после анализа практической реализации института наблюдателя, тем более что сегодня ожидается принятие соглашения о международных договорах ЕАЭС с третьими государствами или другими интеграционными объединениями, которые призваны регламентировать вопросы заключения договоров, упорядочить работу совместной исследовательской группы и многое другое.
Реализация макроэкономической политики на 2018–2019 годы, а это активизация процесса восстановления экономического роста и создание условий для устойчивого развития, несомненно, будет содействовать достижению национальных приоритетов, в том числе и посредством осуществления мер, направленных на формирование единого рынка услуг.
В заключение хотел бы выразить надежду, что дальнейшее взаимодействие стран Евразийского союза будет ориентировано на достижение развития посредством создания комфортных условий для предпринимательства и инвестиций, повышения уровня жизни граждан.
Благодарю за внимание.</t>
  </si>
  <si>
    <t>“Уважаемые члены Высшего Евразийского экономического совета,
Уважаемый Нурсултан Абишевич,
Уважаемые участники заседания,
Прежде всего, хочу начать со слов благодарности в адрес Казахстанской стороны за прекрасный приём и традиционное гостеприимство, а также за блестящую организацию нашего юбилейного саммита.
Хочу также поздравить первого pрезидента Казахстана Нурсултана Абишевича Назарбаева в связи с присвоением ему звания Почетного Председателя Высшего Евразийского экономического совета. Ваша роль в формировании Союза поистине неоценима.
Как не раз мною было отмечено, мы настроены на максимально продуктивное участие Армении в ЕАЭС и будем прилагать все усилия для усовершенствования механизмов сотрудничества и практического достижения четырёх свобод.
Уважаемые коллеги,
По вопросам повестки сегодняшнего заседания хотел бы отметить следующее:
Как председательствующая страна, Армения придаёт особую важность расширению внешнеэкономических связей Евразийского экономического союза. Мы нацелены на эффективное завершение переговоров с Сингапуром, Сербией, Египтом, Израилем и Индией. Соглашения с Ираном и Китаем уже ратифицированы Национальным Собранием Армении.
Хотел бы проинформировать вас, что в ходе моего недавнего визита в Пекин, на встречах с председателем и премьером Китая, соглашение о сотрудничестве с Евразийским экономическим союзом упоминалось как один из ключевых факторов, способствующих росту экономического сотрудничества между нашими двумя странами.
С удовлетворением хотел бы отметить прогресс, достигнутый в переговорах с Сингапуром, несмотря на то, что они, по сути, ведутся по трем отдельным направлениям – по товарам, услугам и инвестициям.
Принимая во внимание, что переговоры по Соглашению о свободной торговле уже практически завершены, а переговоры по Соглашению о торговле услугами и инвестициями находятся в пред-финальной стадии, считаю важным приложить все усилия для подписания пакета соглашений с Сингапуром уже в этом году.
Хочу также проинформировать, что в июле этого года я планирую посетить Сингапур с визитом, в ходе которого сделаю все возможное для обеспечения прогресса в этом направлении.
Республика Армения, как я уже не раз отмечал, активно участвует и поддерживает процесс создания и реализации цифровой повестки ЕАЭС. Придаем особую значимость деятельности групп по созданию специальных правовых режимов «регулятивных песочниц», по организации работ электронного документооборота, цифровых транспортных коридоров, а также по созданию центров цифрового развития.
Уверены, что динамичное развитие работы, проводимой в рамках цифровой повестки ЕАЭС и направленной на расширение возможностей государств-членов, будет способствовать повышению уровня сотрудничества и создаст комфортные условия для бизнеса. Движение по намеченному направлению позволит государствам-членам повысить свою конкурентоспособность, увеличить торговлю товарами и услугами как между государствами-членами, так и с третьими странами.
Формирование общего электроэнергетического рынка Союза позволит государствам-членам наладить сотрудничество на основе принципов равноправия, взаимной выгоды, обеспечения добросовестной конкуренции, исходя из экономических интересов производителей и потребителей электрической энергии.
В этой связи Республика Армения приветствует подписание Протоколов о внесении изменений в Договор о Евразийском экономическом союзе, подготовленных с целью дополнения Методологии осуществления межгосударственной передачи электрической энергии между государствами-членами, учитывая особенности присоединения к ЕАЭС Республики Армения и Кыргызской Республики.
Вносимые в Методологию изменения позволят формировать принципы планирования, определения и согласования объёмов поставки электроэнергии между государствами-членами. Они также позволят сформулировать принципы сотрудничества между системными операторами государств-членов и третьих стран.
В завершение хочу отметить, что будем рады приветствовать вас в Ереване на очередном заседании Высшего евразийского экономического совета 1-го октября сего года.
Благодарю за внимание”.</t>
  </si>
  <si>
    <t>https://www.primeminister.am/ru/statements-and-messages/item/2019/05/29/Nikol-Pashinyan-meeting-Supreme-Eurasian-Economic-Council/</t>
  </si>
  <si>
    <t>“Уважаемые коллеги, добро пожаловать в Армению. Рад приветствовать вас на очередном заседании Высшего евразийского экономического совета. Для Армении это весьма значительное событие. Мы очень рады возможности принимать высоких гостей в Ереване, проводить заседание высшего органа нашей организации и тем самым вносить свой очередной вклад в дальнейшее углубление нашей интеграции.
Как неоднократно мне доводилось отмечать, мы нацелены на максимально эффективное участие в ЕАЭС, одновременно прилагая усилия для совершенствования механизмов сотрудничества и эффективного функционирования интеграционного пространства. До начала обсуждения вопросов повестки дня, хочу отметить, что нам вдвойне приятно проводить сегодняшнее заседание, т.к. в нем, как вы знаете, примут участие руководители двух стран - Ирана и Сингапура, с которыми наш Союз развивает торгово-экономические отношения, направленные на установление режима свободной торговли. В результате тесного и эффективного сотрудничества между всеми звеньями нашей организации нам удалось еще более расширить географию сотрудничества Союза, благодаря чему сегодняшнее заседание приобретает особое значение. Желаю нам продуктивной работы”.
В ходе заседания в узком составе руководители государств-членов ЕАЭС обменялись мнениями о процессе Евразийского экономического форума, обсудили нормативы распределения сумм ввозных таможенных пошлин между бюджетами государств-членов ЕАЭС, а также коснулись вопросов деятельности Коллегии Евразийской экономической комиссии.
Затем состоялось заседание Высшего евразийского экономического совета в расширенном составе, в котором, кроме глав государств-членов ЕАЭС, приняли участие глава государства–наблюдателя при союзе, президент Республики Молдова Игорь Додон, а также президент Исламской Республики Иран Хасан Рухани и премьер-министр Республики Сингапур Ли Сянь Лун в качестве почетных гостей.
Премьер-министр Никол Пашинян выступил с заявлением, в котором, в частности, отметил:
“Уважаемые главы государств – членов Евразийского экономического союза!
Уважаемые гости заседания!
Дамы и господа!
Для меня особая честь приветствовать всех вас в Армении на очередном заседании Высшего Евразийского экономического союза.
Наша организация, которой уже пять лет, крепнет из года в год. Она уже доказала свою жизнеспособность и привлекательность в качестве международного интеграционного объединения. Я с радостью хочу отметить, что Армения вносит свой посильный вклад в это дело.
В этом году Армения председательствует в ЕАЭС, мы приложили максимум усилий для осуществления этой ответственной функции. И сегодняшнее заседание, на котором кроме государств-членов союза присутствуют также и руководители Молдовы, Ирана и Сингапура, стало своеобразной кульминационной точкой нашего председательствования. От имени всех членов Высшего Евразийского экономического совета хочу поприветствовать президента Республики Молдова Игоря Додона, президента Исламской Республики Иран Хасана Рухани и премьер-министра Республики Сингапур Ли Сянь Луна, которые любезно согласились принять участие в нашем заседании.
Рад также отметить, что в рамках заседания впервые проводится международный форум «Транзитный потенциал евразийского континента». Уверен, что данное мероприятие послужит эффективной платформой для обсуждения путей укрепления торгово-экономических связей и развития логистических схем на евразийском пространстве.
Дорогие друзья!
В своем выступления я бы, в частности, хотел затронуть те вопросы, решение которых, на мой взгляд, имеет большое значение для дальнейшего продвижения нашего сотрудничества и повышения его эффективности. К их числу, к примеру, относятся меры по устранению имеющихся барьеров на пути свободной в передвижении рабочей силы в рамках ЕАЭС, препятствующих формированию общего рынка труда.
Взаимное признание электронной цифровой подписи для беспрепятственного доступа потенциальных поставщиков к участию в закупках в электронном формате также относится к числу приоритетных вопросов, требующих особого внимания с целью достижения приемлемого для всех нас решения.
Процесс интеграции будет более динамичным, если наши граждане убедятся, что в результате нашей работы принимаются решения по чувствительным вопросам, которые приводят к непосредственному улучшению условий их жизни и работы. Уверен, что последовательная работа, проводимая в этом направлении, позволит не только эффективно устранять преграды, но и будет способствовать более полной интеграции на принципах равноправия, взаимной выгоды и уважения интересов друг друга.
Также считаем необходимым активизировать совместные усилия, направленные на формирование благоприятных условий для перехода на расчеты в национальных валютах между странами ЕАЭС. Несмотря на позитивную динамику, есть сферы (в частности, рынок газа), где товары стран ЕАЭС традиционно предлагаются не в национальной валюте стран союза, поэтому вопрос максимального расширения поля для взаимодействия в национальных валютах должен быть в числе наших приоритетов. Как раз в повестку сегодняшнего заседания включен вопрос о концепции создания общего финансового рынка. Это само по себе уже является серьезным шагом на пути формирования общего финансового пространства, а также предпосылкой для выстраивания современной платежно-расчетной системы ЕАЭС и создания благоприятных условий для перехода на расчеты в национальных валютах.
Уважаемые коллеги!
Как уже не раз мною было отмечено, Армения придает особую важность расширению географии внешнеэкономических связей Евразийского экономического союза. Уже в этом месяце вступают в силу соглашения с Ираном и Китаем. Их последующая реализация для нас является приоритетом в контексте реального расширения торгового сотрудничества с третьими странами.
Пользуясь присутствием уважаемого господина Рухани, хочу выразить уверенность, что временное соглашение между ЕАЭС и Ираном послужит катализатором для дальнейшего развития нашей взаимной торговли. Оно окажет позитивное влияние на состояние экономики наших стран за счет взаимного дополнения и создания новых цепочек добавленной стоимости.
С удовольствием хочу отметить, что завершены переговоры с Сингапуром. Сегодня состоится подписание соглашения о свободной торговле между ЕАЭС, его государствами-членами, и Республикой Сингапур. Пользуясь присутствием уважаемого господина Ли Сянь Луна, хочу выразить уверенность, что имплементация данного договора создаст благоприятную среду для расширения взаимовыгодных торговых отношений, снижения издержек бизнеса и повышения экономической эффективности сотрудничества.
Рад отметить, что завершены переговоры с Сербией, и в скором времени планируется подписание соответствующего соглашения о свободной торговле.
Мы также нацелены на эффективное завершение переговоров с Египтом, Израилем, Индией, что добавит преимуществ нашему объединению, в том числе и в качестве центра притяжения инвестиций.
Уважаемые коллеги!
В завершение еще раз хочу поприветствовать всех вас в Армении и заверить в том, что наша страна и впредь будет прилагать все возможные усилия для дальнейшего совершенствования нашей интеграции и углубления сотрудничества.
Благодарю за внимание”.</t>
  </si>
  <si>
    <t>https://www.primeminister.am/ru/statements-and-messages/item/2019/10/01/Higher-Eurasian-Economic-Council-Meeting/</t>
  </si>
  <si>
    <t>неполная речь - вступительное слово</t>
  </si>
  <si>
    <t>Премьер-министр Пашинян выступил с речью, в которой отметил:
“Уважаемые коллеги, приветствую всех. Фактически, мы заканчиваем год в очень хорошем настроении. Я хочу сказать, что сегодня у нас есть консенсус по всем вопросам нашей повестки дня, и мы сразу же можем перейти к процедуре подписания документов, и я думаю, что это очень хороший знак и очень хорошая атмосфера, что у нас, фактически, есть согласие по всем вопросам. Поскольку заканчивается председательство Армении в органах ЕАЭС, хочу поблагодарить всех коллег за совместную работу. Думаю, что у нас получилось довольно хорошее, эффективное, плодотворное председательство. Уверен, что мы продолжим наше сотрудничество в этом духе. Я поздравляю Беларусь с принятием председательства и желаю всего наилучшего”.</t>
  </si>
  <si>
    <t>https://www.primeminister.am/ru/press-release/item/2019/12/20/Nikol-Pashinyan-Session-of-the-Supreme-Eurasian-Economic-Council/</t>
  </si>
  <si>
    <t xml:space="preserve">Пашинян </t>
  </si>
  <si>
    <t>“Обстановка у нас, в целом, находится под контролем. На сегодняшний день мы имеем 1067 случаев заражения, 265 выздоровевших и, к сожалению, 16 человек умерли от коронавируса.
С 16-го марта в Армении действует режим чрезвычайной ситуации, который мы продлили до 14 мая. С 23-го марта у нас действует режим строгого карантина, с сегодняшнего дня в нем введены определенные послабления, расширяющие перечень отраслей, в которых разрешена экономическая деятельность. Как и практически все государства, подвергшиеся пандемии, мы ввели жесткие ограничения в сфере внешних транспортных коммуникаций.
Правительством Армении был также принят пакет мер из пока что 11-и мероприятий с целью смягчения социально-экономических последствий пандемии как для населения, так и для бизнеса. Наряду с этим, предпринимаются серьезные меры по стимулированию экономики и преодолению тяжелых кризисных явлений, неизбежность которых уже никто не ставит под сомнение.
Сегодня мы стоим перед вызовами, которые угрожают не только нашим системам здравоохранения и здоровью наших граждан, но и создают беспрецедентные по своему характеру проблемы для экономик наших стран. Многие эксперты уже предрекают рецессию в мировой экономике, которая по своим масштабам будет сравнима разве что с Великой депрессией. Ситуация усугубляется тем, что неизвестно как долго будет длиться пандемия и каковым будет ход ее развития в ближайшем будущем.
Преодоление проблем, вызванных пандемией Covid-19, требует максимального напряжения сил наших правительств. Очевидно и то, что требуется координация усилий и консолидация мер всего международного сообщества. Однако,как мы сегодня наблюдаем, выход из ситуации по обузданию пандемии и преодолению неизбежного кризиса, многие страны видят в мерах, основанных на логике протекционизма и ограничительных мер в международной торговле. По некоторым данным, около 70-и стран уже ввели запреты или ограничения на экспорт медицинских средств и лекарственных препаратов. Не исключено, что эта тенденция впоследствии расширится, охватив более широкий спектр товаров. Это не может не тревожить нас. Для стран с ограниченными экономическими возможностями и ресурсами она может иметь самые тяжелые последствия.
Мы поддерживаем иную стратегию – стратегию, построенную на философии сотрудничества и партнерства.
Первостепенным в этом плане для нас является сотрудничество в рамках нашего Союза. В этой связи хочу с удовлетворением отметить, что наше видение находит полное понимание и поддержку среди наших партнеров и друзей по ЕАЭС. Уверен, что наш Союз не только выдержит испытание глобальным экономическим кризисом, но и, благодаря своим институтам, поможет нам выйти из него с минимальными потерями. Армения готова с этой целью приложить все необходимые усилия.
Мы полностью поддерживаем Совместное заявление членов Высшего Евразийского экономического совета, которое является выражением нашей общей позиции относительно сегодняшней ситуации. С удовлетворением хочу отметить, что Заявление созвучно тем императивам, которые были недавно представлены в обращении генерального секретаря ООН. Сохранение мира, прекращение вооруженных конфликтов и единство международного сообщества являются необходимым условием для успешной борьбы против вызовов пандемии и экономического кризиса.
Системообразующим принципом нашего интеграционного объединения является свободная торговля, и наши действия должны основываться на необходимости сохранения этого принципа. Поэтому, в создавшейся ситуации мы считаем недопустимым введение мер, тем или иным образом, препятствующих движению товаров и услуг внутри ЕАЭС. Кроме того, для Армении крайне важным является бесперебойное осуществление грузовых перевозок со странами ЕАЭС. Российско-грузинская граница в этом плане приобрела жизненно важное, стратегическое значение для нас. Наконец, учитывая намечающуюся неопределённость в мировой финансовой системе, считаем необходимым ускорить процесс принятия мер для максимально возможного увеличения доли платежей в национальных валютах в торговле внутри ЕАЭС.
Уважаемые коллеги, в контексте первоочередных задач, стоящих перед нашей организацией, хочу подчеркнуть важность «Мер, направленных на обеспечение экономической стабильности в условиях развития пандемии», принятых на недавнем заседании Евразийского межправительственного совета. Из общего числа мер, в частности, хочу выделить создание «зеленых коридоров». Очевидно, что упрощение таможенных процедур имеет принципиальную важность для поддержания внешнеэкономических связей нашей страны. В создавшихся условиях хотел бы также выделить приоритетность реализации мер, связанных с цифровой повесткой Союза. Наконец, следует отметить целесообразность мер по оказанию Евразийским банком развития кредитного содействия странам-участникам Союза.
Завершая свое выступление, хочу выразить мнение, что ситуация с пандемией является своего рода испытанием для нашего Союза. Готовность наших стран к сотрудничеству и взаимной поддержке, которая была выражена в эти дни, свидетельствует о том, что интеграция состоялась и имеет большой потенциал развития. Уверен, что все мы будем стремиться и далее ее укреплять, несмотря на все трудности и неблагоприятные обстоятельства”.</t>
  </si>
  <si>
    <t>https://www.primeminister.am/ru/statements-and-messages/item/2020/04/14/Nikol-Pashinyan-meeting-EAEU/</t>
  </si>
  <si>
    <t>В своей речи премьер-министр Пашинян приветствовал участников конференции и напомнил, что во время последней рабочей встречи он рассказал о мерах, принимаемых правительством Армении по борьбе с пандемией и смягчению ее социально-экономических последствий. В связи с этим, премьер-министр сообщил, что правительство Армении практически завершило стадию применения строгих ограничительных мер и с четвертого мая перешло к реализации децентрализованной стратегии борьбы с пандемией.
«Со вчерашнего дня в Армении были сняты почти все ограничения практически на все виды экономической деятельности. Однако, сохранены ограничения в сферах образования, культуры, развлечений, отдыха и массовых мероприятий. Государственный сектор работает по гибридному методу, совмещая работу в офисе и в удаленном режиме.
Таким образом, на этом этапе у нас полностью отменен карантин. И это, конечно же, привело к некоторому росту новых случаев коронавируса. Однако, несмотря на отмену карантина, введены строгие правила социально-экономической безопасности – утверждены протоколы и регламенты, обязательные для выполнения всеми гражданами, хозяйствующими субъектами и государственными учреждениями. Концепция применения строгих ограничительных мер трансформирована в концепцию соблюдения строгих норм и правил поведения. Ее эффективность, конечно будет зависеть от степени ответственности общества в целом.
На протяжении периода строгого карантина нам удалось предпринять все необходимые меры по повышению пропускной способности системы здравоохранения страны.
В течение последующих двух недель мы будем проводить перманентный мониторинг ситуации. Надеемся, что необходимости возврата к применению мер строгого карантина не будет. Полагаем, что будут сформированы условия для полноценной жизнедеятельности общества и, в частности, работы экономики в условиях сохраняющейся пандемии
Параллельно, правительство приняло пакет мер по смягчению социально-экономических последствий карантина и нарастающего экономического кризиса. Эти меры, кроме социального значения, были направлены также на создание условий для скорейшего выхода экономики из состояния шатдауна и ее развития в посткризисный период.
Нам также удалось организовать эффективный контроль в сфере розничной торговли, пресечь возможный дефицит товаров и не допустить существенного роста потребительских цен. Благодаря оперативному вмешательству Центрального банка были пресечены резкие колебания на финансовых рынках и обеспечена устойчивость курса национальной валюты.
Дорогие друзья,
Я не раз уже отмечал, что в условиях пандемии и нарастающей рецессии мы придаем особое значение развитию нашего сотрудничества. Более чем уверен, что мы должны укреплять наш Союз и совершенствовать основополагающие институты интеграции. Мы должны доказать их состоятельность в период кризиса и быть готовыми совместно воспользоваться всеми экономическими возможностями, которые очевидно появятся в посткризисный период.
В этом контексте особо важное значение имеют «Стратегические направления развития евразийской интеграции до 2025 года». Убеждены, что направления сотрудничества, обозначенные в данном документе, будут способствовать подъёму как инвестиционной, так и инновационной привлекательности Союза, повышению его конкурентоспособности и научно-производственного потенциала.
В условиях глобальных экономических вызовов, перед которым мы все сегодня стоим, необходимость скорейшего формирования общего рынка газа для Армении ощущается особенно остро. Как не раз мною было отмечено, единый рынок энергоресурсов с недискриминационными принципами функционирования должен стать одним из основ нашей интеграции. Без него невозможен качественный прогресс в интеграционных процессах. Без него невозможно обеспечить равные условия экономической деятельности для всех участников Союза.
Мы исходим из того, что в «Стратегических направлениях развития евразийской интеграции до 2025 года» должен быть зафиксирован принцип применения единых подходов к цено-, тарифообразованию на общем рынке газа ЕАЭС, в том числе единых тарифов на услуги, оказываемые субъектом естественной монополии при транспортировке и транзите газа. Наш Союз должен стремиться к поэтапному достижению этой цели, что создаст благоприятную почву для качественно более глубокой экономической интеграции в рамках Союза.
Дорогие друзья,
В завершение, хочу воспользоваться случаем и еще раз поздравить всех нас с 75-летием победы в Великой Отечественной войне. Наш народ свято чтит этот день, и мы делаем все от нас зависящее, чтобы поколения помнили подвиг наших отцов и дедов.</t>
  </si>
  <si>
    <t xml:space="preserve">11 декабря </t>
  </si>
  <si>
    <t>“Уважаемый председатель,
Уважаемые главы государств,
Уважаемые участники заседания,
Рад нашей очередной встрече, на которой хотел бы также тепло поприветствовать Почетного председателя Высшего евразийского экономического совета Нурсултана Абишевича Назарбаева.
Это последнее заседание Высшего совета в текущем году, в связи с чем хотел бы начать свое выступление со слов благодарности в адрес белорусского председательства в ЕАЭС. В сложившихся форс-мажорных обстоятельствах председательство Минска, при поддержке государств-членов и плодотворной работе Комиссии, было продуктивным и полезным.
Пандемия и вызовы, с которыми мы столкнулись в этом году, создали значительные вопросы. Вместе с тем, это не привело к сужению охвата деятельности Союза. Наоборот, трудности сплотили нас. Более того, они подчеркнули необходимость активизации процессов по завершению строительства эффективно функционирующего интеграционного объединения, обеспечивающего свободу передвижения товаров, услуг, рабочей силы и капитала: Союза, нацеленного на создание условий по дальнейшему сближению наших экономик и повышению уровня их интеграции.
Такая точка зрения нашла подтверждение именно в условиях кризиса, в преодолении которого неоспоримо значение той поддержки, которую мы получили и продолжаем получать от наших партнеров. Мы благодарны за неоценимую помощь, оказанную Российской Федерацией в противодействии распространению пандемии и при парировании вызовам, с которыми мы столкнулись в этом году.
В контексте шагов по преодолению сегодняшних вызовов, невозможно обойти то обстоятельство, что географическая удаленность и отсутствие общей границы со странами Союза, создают для Армении определенные трудности и экономические издержки. Как следствие, беспрепятственная грузовая и пассажирская связь с остальным пространством Союза имеет для нас фундаментально важное значение. Ограничения в данной области являются особенно чувствительными, и поэтому, создание условий для отмены запретов на въезд граждан Армении в ряд стран ЕАЭС сегодня имеет актуальное значение.
В рамках обеспечения экономической стабильности в сложившихся условиях, хочу также выделить инициативу Армении по созданию «зеленых коридоров», направленную на упрощение таможенных процедур. В этом контексте неоспорима важность применения мер для поддержания внешнеэкономических связей наших стран как внутри самого Союза, так и с третьими странами и их объединениями.
Уважаемые коллеги,
Сегодняшняя встреча приобретает особую значимость, учитывая, что Республике Куба и Республике Узбекистан будет официально присвоен статус наблюдателя в Евразийском экономическом союзе. В связи с этим, хотел бы приветствовать президента Республики Узбекистан Шавката Миромоновича Мирзиёева и президента Кубы Мигеля Диас-Канеля Бермудеса. Мы подтверждаем нашу приверженность и готовность к сотрудничеству.
Рассчитываем, что вовлечение государств-наблюдателей в реализацию совместных программ в ближайшем будущем найдет своё отражение в росте взаимной торговли и экономического сотрудничества. Это будет также способствовать повышению инвестиционной привлекательности наших стран.
Полагаем, что взаимодействие ЕАЭС на внешнем контуре должно прирастать новыми взаимовыгодными проектами, расширяющими последующее сотрудничество с той или иной страной. В этом ключе рассматриваем и предложенное к принятию решение по продолжению работы в направлении подписанного в 2018 году временного соглашения с Ираном.
Армения настроена на последовательное продвижение экономических интересов Союза на мировом рынке и содействие позиционированию ЕАЭС как надежного, предсказуемого партнера на международной арене. Уверены, что принятые сегодня документы «Об основных направлениях международной деятельности ЕАЭС на 2021 год» и «О подходах к развитию торгово-экономического сотрудничества с основными партнерами Союза на среднесрочную перспективу» внесут важный вклад в реализацию этих целей.
Уважаемые коллеги,
Армения считает приоритетным доработку и окончательное согласование «Стратегических направлений развития евразийской интеграции до 2025 года». Мы должны найти компромиссные развязки, позволяющие завершить этот чрезвычайно важный для нашего интеграционного объединения процесс.
Мы придерживаемся принципиальной позиции о необходимости скоординированной энергетической политики. В частности, уверены, что формирование общего рынка газа Союза является неотъемлемой частью экономической интеграции в рамках Союза. Республика Армения выражает свое удовлетворение в связи с работой, проделанной Комиссией и уполномоченными органами государств-членов в прошедший период в рамках первого этапа формирования общего рынка газа ЕАЭС. Хотелось бы подчеркнуть важность второго этапа, основным результатом которого должно стать создание инфраструктурной, технологической и правовой основы формирования общего рынка газа Союза. В связи с этим, еще раз выражаем уверенность, что разработка и принятие международного договора об общем рынке газа ЕАЭС станет важной вехой в деятельности Союза и развития интеграционного пространства.
Уважаемые коллеги,
На заседании Межправительственного совета, состоявшегося неделю тому назад, был рассмотрен вопрос о предоставлении тарифных преференций в отношении товаров, происходящих и ввозимых на таможенную территорию Союза из развивающихся и наименее развитых стран. Полагаем, что реализация достигнутых в рамках Межправсоюза договоренностей о проработке вопроса, позволит подвести перечень стран-пользователей единой системы тарифных преференций ЕАЭС под критерии, принятые в рамках ЕАЭС. Это также исключит необходимость проработки вопроса на уровне Высшего Евразийского экономического совета и со стороны Суда ЕАЭС.
Уважаемые участники заседания,
Ввиду того, что в 2021 году председательство в органах ЕАЭС переходит к Республике Казахстан, в завершении своего выступления хотел бы пожелать успехов нашим казахстанским друзьям и подтвердить готовность Республики Армения к взаимодействию с председательствующей стороной и государствами-членами в интересах дальнейшего развития Союза.
Благодарю за внимание”.</t>
  </si>
  <si>
    <t>https://www.primeminister.am/ru/statements-and-messages/item/2020/12/11/Nikol-Pashinyan-EAEU-speech/</t>
  </si>
  <si>
    <t xml:space="preserve">“Уважаемые главы государств!
Уважаемые участники заседания!
Рад приветствовать вас на первом заседании Высшего Евразийского экономического совета в текущем году и хочу пожелать нам всем содержательной и плодотворной работы.
Рад приветствовать на нашем заседании почетного председателя Высшего Евразийского экономического совета Нурсултана Абишевича Назарбаева.
Хочу также искренне поприветствовать глав государств-наблюдателей Евразийского союза, президента Республики Узбекистан Шавката Миромоновича Мирзиёева и президента Республики Куба Мигеля Марио Диас-Канель Бермудеса.
Уважаемые участники заседания!
По вопросам повестки дня сегодняшнего заседания хочу остановиться на некоторых вопросах, имеющих с нашей точки зрения, важное значения для развития интеграционных процессов.
Мы придаем важное значение формированию общего рынка газа Союза. Считаем необходимым, чтобы в рамках международного договора были бы согласованы не только подходы к цено- и тарифообразованию на общем рынке газа Союза, но и установлены тарифы на транспортировку газа из третьих стран для внутреннего потребления на основе прозрачности и недискриминационного подхода.
Важно продолжить работу по выявлению, а также устранению барьеров и ограничений во взаимной торговле. Данная работа ведется, без преувеличения, на протяжении всего времени существования нашего Союза. Несмотря на имеющиеся расхождения в позициях и некоторые объективные трудности на пути к созданию полноценного единого рынка товаров и услуг, мы продолжаем поиск конструктивных решений, что и нашло отражение в докладе.
Инструментом адаптации к требованиям и вызовам времени считаем последовательную реализацию основных ориентиров макроэкономической политики государств-членов Союза на 2021-2022 годы.
Темпы восстановления экономик наших стран будут во многом определяться эффективностью реализации основных положений, зафиксированных в данном документе, включая, формирование благоприятных условий для восстановления предпринимательской активности и расширения возможностей внутреннего рынка Союза. Думаю, что данную точку зрения разделяют и остальные мои коллеги.
Формирование единых подходов для проведения согласованной внешнеторговой политики, отвечающей интересам каждого государства-члена и всего Союза в целом, является стержневым элементом в обеспечении евразийской экономической интеграции.
Сегодня с уверенностью можем сказать, что соглашения о свободной торговле и торгово-экономическом сотрудничестве между ЕАЭС и третьими странами показали свою востребованность.
С этой точки зрения в очередной раз подтверждаем готовность к продолжению реализации совместных программ и проведении целенаправленной и последовательной работы по популяризации идеи евразийской экономической интеграции и повышения ее международного авторитета.
Считаем важным и далее проводить работу, направленную на создание правовой базы, обеспечивающей интересы Союза и его членов в мировой торговле.
Армения подтверждает свою приверженность дальнейшему углублению сотрудничества между государствами-членами Союза в области здравоохранения, направленного на улучшение здоровья населения, укрепление взаимодействия и коллективного стратегического партнерства в деле профилактики и борьбы с болезнями, а также поддержание общих интересов государств-членов Союза на международной арене.
В этом контексте хочу отметить важность разработки плана мероприятий по повышению уровня обеспеченности государств - членов Союза стратегически важными лекарственными препаратами и фармацевтическими субстанциями для медицинского применения, производство которых должно быть обеспечено в Союзе.
Уверен, что дальнейшие совместные и согласованные действия наших стран в области развития сотрудничества в сфере здравоохранения и фармацевтического производства в будущем приведут к положительным результатам.
Считаю, что сегодня, как никогда раньше, нам необходимо разработать механизмы финансирования интеграционных проектов, активнее вовлекая в эти задачи государственные ресурсы и наднациональные институты развития ЕАЭС, в том числе посредством создания Специализированных Инвестиционных Фондов.
Кроме того, думаю, все согласятся, что укрепление человеческого капитала и технологическое развитие являются одними из ключевых факторов устойчивого экономического роста наших экономик. В этой связи неоспорима важность накопления человеческого капитала в Союзе в целях создания более надежной инновационной экосистемы, в том числе, за счет углубления интеграционных процессов в образовании и научно-инновационной деятельности.
Принимая во внимание, что в настоящее время у Евразийской экономической комиссии ограничены инструменты регулирования в области образования, предлагаю проработать вопрос о создании платформы по академической мобильности в сфере промышленности и агропромышленного комплекса ЕАЭС.
В своем выступлении я бы также хотел затронуть тему цифровой повестки Союза, которая имеет приоритетное для Армении значение. В этой связи я бы хотел отметить введение в промышленную эксплуатацию с 1-го июля текущего года первого совместного цифрового проекта Союза “Унифицированная система поиска «Работа без границ»”. Благодаря этому проекту, для граждан Союза появятся новые возможности трудоустройства как на своей территории, так и на территории стран “пятерки”. Для работодателей увеличится перечень площадок для поиска персонала. А для государств-членов – внедрение современных и эффективных цифровых инструментов развития рынка труда Союза.
Уважаемые коллеги!
В завершение, позвольте поблагодарить всех вас за проделанную работу. Динамика и длительность восстановления экономик после потрясений, вызванных пандемией во многом будут зависеть от нашей готовности к тесному взаимодействию в процессе выработки новых механизмов и инструментов сотрудничества, соответствующих новым условиям.
Уверен, что результат равноправного и взаимовыгодного диалога, согласованных и слаженных действий на площадке ЕАЭС не заставит себя долго ждать.
Благодарю за внимание”.
 </t>
  </si>
  <si>
    <t>https://www.primeminister.am/ru/press-release/item/2021/05/21/Nikol-Pashinyan-meeting/</t>
  </si>
  <si>
    <t>“Спасибо Касым-Жомарт Кемелевич,
Уважаемые члены Высшего Евразийского экономического совета,
Уважаемые участники заседания,
Прежде всего, позвольте выразить признательность белорусской стороне за организацию сегодняшнего заседания в режиме видеоконференции.
Прежде чем начать свое выступления, хотел бы также искренне поприветствовать президента Республики Узбекистан Шавката Миромоновича Мирзиёева и президента Республики Куба Мигеля Марио Диас-Канель Бермудеса.
Уважаемые коллеги,
Вполне очевидно, что вопросы формирования общих рынков электроэнергии, газа, нефти и нефтепродуктов на пространстве ЕАЭС относятся к категории системообразующих.
Формирование общих отраслевых рынков в энергетической сфере является не просто задачей по выполнению положений Договора о создании ЕАЭС, а необходимым условием для полной реализации потенциала экономической интеграции. Возможно это и предопределяет всю сложность процесса согласования принципов и механизмов функционирования этого рынка, подразумевающего учет разных возможностей и интересов стран в энергетической сфере. Тем не менее, можно обозначить значительное продвижение в вопросе наполнения будущего соглашения, как и готовность продолжить работу над дискуссионными вопросами, которые, надеемся, удастся решить в разумные сроки. Исходим из того, что от успешной реализации поставленных задач в долгосрочной перспективе выиграют все страны, выиграет экономический союз.
Устранение препятствий во взаимной торговле в ЕАЭС является одним из приоритетов Союза, цель которого – обеспечить функционирование внутренних рынков без изъятий и ограничений, в том числе без барьеров, сужающих свободу доступа предпринимателей на рынки государств-членов ЕАЭС.
Выполнение имеющихся в этой сфере договоренностей укрепят основы функционирования Союза, а отсутствие барьеров в рамках Союза повысят не только уровень доверия государств – членов друг к другу, но и повысят нашу конкурентоспособность на внешних рынках. В этом контексте считаю необходимым активизировать усилия по выявлению и устранению препятствий в торговле, по созданию единых рынков товаров и услуг, выстраиванию эффективных логистических цепочек, повышению транзитного потенциала Союза с учетом интересов бизнес-сообществ и прав граждан стран Союза.
Уверен, что эффективное внедрение и развитие цифровых технологий также будут способствовать минимизации или полному устранению барьеров.
На сегодняшний день актуальным является также вопрос защиты внутреннего рынка Союза в случае выявления негативного эффекта, возникшего вследствие экономического давления третьих сторон. В этом контексте выработка ответных мер имеет важное место в повестке как евразийской, так и любой региональной интеграции.
Армения готова к тесному сотрудничеству с целью поиска путей выработки общего подхода в данном вопросе с учетом опыта государств-членов и на основе международного права.
Один из вызовов, с которыми сталкивается мировое сообщество на современном этапе, - это климатические изменения, которые влияют не только на экономику, но и на социальные процессы. В связи с этим необходимо взаимодействие для выработки и принятия мер по смягчению последствий изменения климата, для продвижения «зеленого восстановления» и адаптации к развитию экономик с низким уровнем выбросов углерода.
В этом контексте хочу выделить значимость проводимой Комиссией работы, ориентированной на продвижении экологически чистого транспорта на Евразийском пространстве. Создание условий для формирования рынка электромобилей в ЕАЭС исходит из интересов экологической безопасности и здоровья населения.
Уверен, что это также будет способствовать более широкому внедрению новых технологий и модернизации национальных экономик, повышению уровня вовлеченности наукоемких отраслей.
С учетом того, что ряд автопроизводителей уже заявил о полном переходе в ближайшей перспективе к производству автомобилей на электрической тяге, неразвитость рынка электромобилей в наших государствах однозначно приведет к технологическому отставанию и снижению конкурентоспособности в этой сфере.
В связи с этим прошу Комиссию совместно с государствами-членами усилить работу в данном направлении, активнее вовлекать в нее бизнес-сообщество и научные круги.
В завершение хочу поблагодарить за совместную работу и еще раз подтвердить приверженность армянской стороны идеям, заложенным в основе евразийской интеграции.
Благодарю за внимание”.</t>
  </si>
  <si>
    <t>https://www.primeminister.am/ru/statements-and-messages/item/2021/10/14/Nikol-Pashinyan-Speech</t>
  </si>
  <si>
    <t>“Уважаемые члены Высшего Евразийского экономического совета,
Уважаемые члены делегаций,
Рад приветствовать Вас на завершающем заседании Высшего Евразийского экономического совета.
Позвольте выразить слова благодарности председательствующей стороне и лично президенту Кыргызской Республики Садыру Нургожоевичу Жапарову за традиционное гостеприимство и организацию сегодняшнего заседания, а также за усилия по реализации приоритетных направлений, целей и задач, обозначенных в рамках кыргызского председательства.
Искренне приветствую также премьер-министра Республики Узбекистан Абдуллу Нигматовича Арипова и хочу выразить готовность Республики Армения в развитии сотрудничества с государствами-наблюдателями в рамках реализации совместных проектов.
Прежде чем перейти к ключевым вопросам повестки заседания, хотел бы отметить, что за последние годы экономическое развитие стран ЕАЭС происходит в непростых условиях.
Текущая ситуация, безусловно, сказывается на базовых экономических индикаторах всех государств-членов Союза и нам в это непростое для всех нас время следует сосредоточить усилия, чтобы максимизировать эффекты евразийской интеграции с учетом национальных приоритетов социально-экономического развития.
Несмотря на сложившуюся ситуацию, с удовлетворением хочу отметить, что наблюдается динамика роста во взаимной торговле. Товарооборот Армении со странами ЕАЭС за январь-сентябрь текущего года в эквиваленте составил более трех млрд долларов США и увеличился по сравнению с тем же периодом 2021-го года примерно на 80%.
Уважаемые коллеги,
В продолжение наших обсуждений по ключевым вопросам повестки в узком составе, хотел бы озвучить ряд вопросов, актуальных для экономического союза.
Важным элементом экономической интеграции на евразийском пространстве является промышленное сотрудничество, и мы должны сконцентрировать наши усилия для продвижения всех перспективных начинаний. В этом контексте сегодня мы даем старт новому механизму по финансовой поддержке промышленной кооперации. Убежден, что данный инструмент финансирования будет способствовать технологическому развитию наших государств.
Совместно с Комиссией мы приступили к реализации дорожной карты в рамках климатической повестки. Для Армении тема «зеленых» технологий и защиты окружающей среды особенно актуальна. Развивая «зеленую» энергетику, Армения активно осваивает возобновляемые источники энергии. Реализуются мероприятия по декарбонизации металлургической отрасли. Нами всячески стимулируется использование электротранспорта.
Коллеги,
Хочу обратить ваше внимание на вопросы продовольственной безопасности. С этой точки зрения в текущем году, в целях обеспечения устойчивости внутренних рынков государств-членов ЕАЭС, сформированы индикативные балансы по важным сельскохозяйственным товарам. Это действенный инструмент для оперативного определения потребностей и возможностей взаимных поставок в Союзе.
Отмечу также работу Комиссии по формированию портфеля инвестиционных агропромышленных проектов, что может стать эффективным инструментом для развития кооперации и импортозамещения.
С точки зрения успешной реализации евразийской повестки крайне важно нахождение взаимоприемлемых решений по всем вопросам.
В связи с этим, армянская сторона считает приоритетным последовательную реализацию договоренностей, направленных на создание общих рынков энергоресурсов. В частности, для нас остаётся чувствительным вопрос формирования общего рынка газа.
Благодаря конструктивному диалогу и нацеленности на поиск компромиссных решений удалось обеспечить высокую степень готовности проекта международного договора о формировании общего рынка газа.
Однако, учитывая сложность процесса, обусловленную необходимостью учета различных возможностей и интересов стран в энергетической сфере, остается ряд неурегулированных вопросов.
Мы готовы проявить гибкий подход для достижения консенсуса и обеспечения баланса интересов всех государств-членов ЕАЭС по нерешенным вопросам, с целью использования преимущества и потенциала общего рынка газа Союза в полной мере.
Уважаемые коллеги,
Отмечу, что по итогам текущего года Комиссия совместно с правительствами государств-членов продемонстрировала высокий уровень работы по балансированию внутреннего рынка Союза, обеспечивая должное сопряжение национальных и наднациональных интересов в этот непростой период.
В свою очередь, цифровая трансформация приоритетных сфер наднационального регулирования с должным уровнем информационной безопасности создаст фундамент доверия между государствами-членами Союза.
Продолжая переход интегрированной информационной системы к цифровой платформе, мы сможем сформировать необходимые условия для создания прочной инфраструктуры, обеспечивающей свободное движение товаров, услуг, капитала и рабочей силы.
В этом контексте видим высокую востребованность в выработке системного документа, обозначающего новые приоритеты в работе по развитию внутреннего рынка Союза. Полагаю, что такой документ позволит раскрыть весь потенциал нашего внутреннего рынка, сделав его еще прочнее.
Еще одним важным направлением нашего сотрудничества считаю развитие торгово-экономических отношений ЕАЭС с третьими странами и объединениями.
Реализация торгово-экономического соглашения с Китаем, соглашений о свободной торговле с Ираном, Сингапуром и Сербией, а также текущие переговоры по соглашениям о свободной торговле с Египтом, Объединенными Арабскими Эмиратами, Израилем, Индией и Индонезией придадут дополнительный импульс процессу интеграции союза в мировую экономику.
Это, в свою очередь, приведет к наращиванию объемов экспорта товаров ЕАЭС, диверсификации внешних рынков, привлечению инвестиций и к созданию благоприятной среды для международного экономического партнерства с третьими странами.
В контексте успешного выстраивания в мировую экономическую архитектуру и установления взаимовыгодных связей с третьими странами придаем важное значение основным направлениям международной деятельности ЕАЭС на 2023-й год. Этот документ является своего рода «внешнеэкономической стратегией» и декларирует широкие направления взаимодействия на следующий год.
Уважаемые коллеги,
Можно без сомнения констатировать, что наши совместные усилия приносят практический результат, и мы ощущаем позитивные эффекты от интеграции, и это стало возможным благодаря слаженному взаимодействию государств-членов Союза. Уходящий год стал юбилейным для Евразийской экономической комиссии. За десять лет она, безусловно, стала инициатором целого ряда важных для государств-членов Союза решений. В этой связи, позвольте поблагодарить всех сотрудников Комиссии во главе с Михаилом Владимировичем за достойный вклад в развитие Евразийского экономического союза.
В завершение, хочу еще раз выразить всем признательность за активное сотрудничество в 2022-м году и пожелать удачи российской стороне, принимающей председательство в органах Союза.
Пользуясь случаем, позвольте еще раз подтвердить приверженность армянской стороны принципам и целям, заложенным в основе Договора о ЕАЭС и готовность к активному взаимодействию со всеми государствами-членами в интересах дальнейшего продвижения евразийской интеграции.
Благодарю за внимание”.
В ходе заседания были обсуждены актуальные вопросы деятельности Евразийского экономического союза, намечены пути дальнейшего углубления интеграционных процессов, совершенствования функционирования единого рынка товаров и услуг. Обсужден и принят ряд решений, касающихся энергетического и торгового секторов. Принято решение о начале переговоров с Объединенными Арабскими Эмиратами о заключении соглашения о свободной торговле.
Российская сторона представила основные приоритеты своего предстоящего председательства в ЕАЭС в 2023 году.</t>
  </si>
  <si>
    <t>https://www.primeminister.am/ru/foreign-visits/item/2022/12/09/Nikol-Pashinyan-visit-to-Bishkek/</t>
  </si>
  <si>
    <t>“Мы проводим первое заседание Высшего Евразийского экономического совета в текущем году, в связи с чем хотел бы пожелать всем нам успехов в продолжении совместной плодотворной работы.
С даты подписания Договора о Евразийском экономическом союзе прошло всего 8 лет, однако ЕАЭС уже является одним из наиболее динамично развивающихся интеграционных объединений, о чём также свидетельствуют результаты реализации Стратегии-2025.
Тем не менее нашим странам необходимо оперативно адаптироваться к резко меняющимся внешним и внутренним условиям. Полагаю, что нам уже необходимо наметить горизонты развития нашего Союза на стратегическом этапе после 2025 года с учётом вышеупомянутых факторов.
Необходимо взглянуть на интеграционный проект шире, ставить перед собой и реализовывать амбициозные задачи, осваивать новые направления и сферы сотрудничества.
Уважаемые коллеги,
В качестве инструмента адаптации к требованиям и вызовам времени придаём важное значение последовательной реализации Основных ориентиров макроэкономической политики государств-членов EAЭС, где определены наиболее важные задачи, стоящие перед экономиками наших стран.
Считаем необходимым и далее проводить работу, направленную на поддержание макроэкономической стабильности.
Хочу отметить большую работу, проделанную Комиссией совместно с государствами-членами ЕАЭС, по устранению препятствий на внутреннем рынке. В данном контексте нельзя оставлять без внимания первопричины их возникновения, так как они в основном носят экономический характер. Уверен, что залогом значительного сокращения препятствий на внутреннем рынке станут согласованные действия по развитию наших экономик и промышленной кооперации с целью выхода на рынки третьих стран.
Активизация промышленной кооперации, развитие и реализация совместных производств и инновационных проектов, а также научно-техническое сотрудничество позволят соединить цепочку «научные изобретения» - «производственная сфера».
Следует также зафиксировать, что поступательное развитие информационных технологий, цифровизация являются важнейшими условиями для развития современных форм взаимодействия между уполномоченными органами и хозяйствующими субъектами наших стран. А доверие во взаимодействии – это фундамент, за счёт которого мы можем обеспечить свободу перемещения товаров, услуг, капитала и рабочей силы.
При этом мы должны понимать, что любые шаги на пути к развитию информационно-коммуникационных технологий, цифровизации в современных условиях могут быть предприняты только с учётом должного уровня информационной безопасности.
Следует также отметить важность выработки механизмов, позволяющих минимизировать риски вызовов в мировой экономике, которые за последние месяцы приобрели небывалый масштаб и глубину. На наш взгляд, целесообразно подумать о разработке пилотных проектов и совместных мероприятий, ориентированных на расширение и углубление торгово-экономических отношений и наращивание кооперационного взаимодействия.
В то же время, с целью обеспечения стабильного экономического роста государств-членов необходимо постоянное взаимодействие с бизнес-сообществом по актуальным вопросам развития интеграционных процессов. С точки зрения учёта и продвижения интересов бизнеса, расширения участия предпринимательского сообщества в реализации программ, хочу особо выделить работу, проведённую вчера в рамках Евразийского экономического форума.
Экспертные дискуссии являются эффективным инструментом для всесторонней оценки текущей ситуации и выработки на этой основе практических мер по обеспечению устойчивого развития нашего объединения.
Коллеги,
В контексте международного сотрудничества представляется актуальным наращивание контактов и выстраивание конкретных цепочек взаимодействия с партнёрами из третьих стран. С уверенностью отмечу, что за эти годы Союз существенно расширил горизонты международного сотрудничества.
Считаю важным в очередной раз обратить внимание на заинтересованность Армении в скорейшем заключении полноформатного соглашения о свободной торговле между Ираном и ЕАЭС. Опыт функционирования временного Соглашения с Тегераном наглядно показывает привлекательность иранского рынка и перспективы дальнейшего углубления сотрудничества.
Сегодня мы также планируем дать старт переговорам с Республикой Индонезия о заключении соглашения о свободной торговле.
Важно и впредь насыщать международную повестку, чтобы как страны Союза, так и наши партнёры видели осязаемые результаты взаимовыгодного сотрудничества.
Уважаемые участники заседания,
В завершение хочу поблагодарить всех вас за совместную работу и ещё раз подтвердить готовность Армянской стороны и далее прилагать усилия, направленные на выработку и принятие совместных решений, отвечающих интересам каждого государства-члена и всего объединения в целом.
Благодарю за внимание”.</t>
  </si>
  <si>
    <t>https://www.primeminister.am/ru/press-release/item/2022/05/27/Nikol-Pashinyan-meeting./</t>
  </si>
  <si>
    <t>“Уважаемые главы государств,
Уважаемые члены делегаций,
Рад приветствовать вас на заседании Высшего Евразийского экономического совета, в ходе которого нам предстоит обобщить проделанную в текущем году работу и наметить контуры дальнейшего развития ЕАЭС.
Пользуясь случаем, хочу поблагодарить российскую сторону и лично պрезидента Российской Федерации Владимира Владимировича Путина за организацию сегодняшнего мероприятия на самом высоком уровне.
Республика Армения с 1 января 2024 года принимает у Российской Федерации председательство в органах ЕАЭС, в связи с чем мы рассчитываем на поддержку государств-членов и эффективное сотрудничество в реализации поставленных нами задач.
Символично, что председательство Армении совпадает десятилетием подписания Договора о ЕАЭС, в основе которого лежит фундаментальный постулат о том, что ЕАЭС – это экономическое объединение, которое не должно иметь политической и, тем более, геополитической повестки.
Мы продолжаем воспринимать его именно таким образом и развивать взаимодействие в рамках нашего экономического сотрудничества в данном контексте, стремясь пресекать всяческие попытки политизации евразийской интеграции. ЕАЭС и его экономические принципы не должны коррелировать с политическими амбициями.
Базовые свободы торговли и интеграции не могут и не должны ограничиваться из-за политических соображений, это точно приведет к коррозии фундаментальных принципов объединения.
В этом контексте, армянская сторона считает важным подписание Декларации о дальнейшем развитии экономических процессов до 2030 года и на период до 2045 года, в основу которого заложены концептуальные и приоритетные направления среднесрочного и долгосрочного развития ЕАЭС.
Армянская сторона приветствует подписание Соглашения о свободной торговле с Ираном. Подписание полноформатного Соглашения поспособствует укреплению торгово-экономических, логистических и транспортных связей с Ираном и позволит подвести прочную договорную основу под совместные планы.
Уважаемые коллеги,
Вместе с тем, внутри ЕАЭС накопился ряд нерешенных вопросов принципиального характера, считаю уместным отметить назревшую необходимость достижения принципиальных решений для согласования государствами-членами подходов, принципов и механизмов функционирования общих рынков энергоресурсов.
В этом контексте мы готовы проявить гибкий подход для обеспечения баланса интересов государств-членов ЕАЭС по неурегулированным вопросам, с целью использования преимуществ и потенциала общих рынков энергоресурсов ЕАЭС.
Считаю также необходимым расширение направлений сотрудничества в сфере повышения энергоэффективности и развития возобновляемой энергетики.
Другим фундаментально важным вопросом является внедрение цифровых технологий в практическую деятельность государственных бизнес-процессов с активным привлечением IT- сообществ наших стран.
Указанная сфера приобретает особую актуальность, в частности, в свете прикладного применения искусственного интеллекта, который открывает новые возможности для более оперативного сбора и эффективного анализа данных экономической активности.
Ответственное использование возможностей искусственного интеллекта может также служить дополнительным толчком для развития экономического сотрудничества в рамках ЕАЭС.
Общеизвестно, что отсутствие общей границы со странами Союза создает определенные трудности и экономические издержки для Армении. Это вызов для Армении, но в тоже время – уникальная возможность для ЕАЭС. Если нам удастся через современные технологии обеспечить транспортную, транзитную и административную бесшовность, мы получим уникальную возможность для развития отношений ЕАЭС с заинтересованными третьими странами.
Еще одним эффективным инструментом может стать введение современных систем цифровой прослеживаемости товаров и грузов, в том числе взаимное признание электронных подписей, что гарантирует реализацию «четырех свобод» без создания дополнительных препятствий, тем самым обеспечив техническую основу для эффективного сотрудничества в ЕАЭС.
Важно, чтобы данные системы были современными, эффективными и устраняли имеющиеся барьеры, а не создавали новые.
Уважаемые участники заседания,
В это непростое для всех нас время следует сосредоточить усилия, чтобы максимизировать эффекты ЕАЭС с учетом национальных приоритетов социально-экономического развития.
В завершение, хочу еще раз выразить всем признательность за активное сотрудничество в 2023 году и пользуясь случаем, уважаемые коллеги, поздравляю всех с наступающим Новым годом, желаю мира и благополучия нашим странам.
Благодарю за внимание”.</t>
  </si>
  <si>
    <t>https://www.primeminister.am/ru/press-release/item/2023/12/25/Nikol-Pashinyan-Session-of-the-Eurasian-Economic-Supreme-Council/</t>
  </si>
  <si>
    <t>Н.Пашинян: Спасибо, Владимир Владимирович.
Уважаемые главы государств! Уважаемые члены делегаций!
Рад приветствовать вас на первом в текущем году заседании Высшего Евразийского экономического совета.
Позвольте поблагодарить председательствующую сторону и лично Президента Российской Федерации Владимира Владимировича Путина за традиционное гостеприимство и организацию на высоком уровне юбилейного, 30-го заседания Высшего совета.
Уважаемые коллеги!
На заседании в узком составе мы провели обстоятельный обмен мнениями по ключевым вопросам повестки дня. И я хотел бы вкратце остановиться на некоторых вопросах, актуальных для Союза.
Укрепление потенциала национальных экономик обусловлено также грамотным подходом к обеспечению энергетической безопасности. Как уже неоднократно отмечалось, своевременное функционирование общего рынка газа ЕАЭС в долгосрочной перспективе будет способствовать формированию благоприятных и взаимовыгодных условий торговли, обеспечению повышения энергетической безопасности и конкурентоспособности государств – членов Союза на международном рынке.
В этом контексте армянская сторона готова к конструктивному диалогу с целью скорейшего достижения консенсуса по неурегулированным вопросам.
Благодаря большой работе, проделанной Комиссией и уполномоченными органами государств – членов Союза, нам удалось обозначить значительное продвижение в вопросе разработки нормативно-правовой базы по созданию нового формата финансирования проектов промышленной кооперации.
Финансовое содействие совместным кооперационным проектам в отраслях промышленности предоставит нам возможность простимулировать отдельно взятые сектора экономик наших стран. При этом считаем важным их сбалансированное развитие в целях минимизации рисков, предполагающих стагнацию или снижение активности в иных отраслях экономик государств – членов ЕАЭС.
Следовательно, на этапе отбора проектов важно выработать механизмы, нивелирующие данные риски, что даст нам долгосрочную перспективу для таких проектов.
Отмечу, что одним из важных аспектов сотрудничества между нашими странами является продовольственная безопасность, которая направлена на обеспечение доступности и качества продовольствия для населения, а также на защиту рынка от низкокачественных и опасных продуктов.
Сегодня резко возросла необходимость формирования коллективной системы обеспечения продовольственной безопасности. Считаю очевидным необходимость в консолидации усилий стран ЕАЭС в этом направлении.
Радуюсь, что, используя различные форматы взаимодействия, в 2022 году мы провели планомерную работу по формированию взаимовыгодного партнёрства вне Союза, о чём свидетельствует информация, представленная в докладах об основных направлениях международной деятельности ЕАЭС и о подходах к развитию торгово-экономического сотрудничества с основными партнёрами Союза на среднесрочную перспективу.
Учитывая высокую динамику развития сотрудничества с Ираном, вступление в силу соглашения о свободной торговле и его последующая реализация являются приоритетными для нас в контексте реального расширения торгового сотрудничества с третьими странами.
Продолжение работы по таким приоритетным и перспективным переговорным направлениям, как Индия и Египет, а также развитие комплексного диалога по экономической повестке и углубление торгово-экономического сотрудничества с Объединёнными Арабскими Эмиратами и Индонезией даст дополнительный импульс процессу интеграции Союза в мировую экономику.
Несмотря на достигнутые результаты, исходя из современных реалий нам необходимо оперативно закладывать эффективные механизмы взаимодействия с партнёрами из третьих стран, что последовательно приведёт к созданию условий для стабильного развития экономик наших стран.
Уважаемые участники заседания!
Очевидно, что эффективное планирование шагов по развитию общего экономического пространства подразумевает открытый диалог предпринимателей и представителей деловых кругов.
В этом контексте хочу особо отметить проведение Евразийского экономического форума и, пользуясь случаем, ещё раз поблагодарить российскую сторону за организацию масштабных мероприятий и за усилия по выработке тематики обсуждений, максимально охватывающих актуальные сферы взаимодействия в рамках ЕАЭС.
Форум привлекает ведущих политических деятелей и лидеров деловых, культурных и других кругов обществ государств-членов, став ключевой площадкой формирования перспективных идей и проектов, трибуной для дискуссий вокруг актуальных вопросов.
В завершение хочу ещё раз подтвердить готовность армянской стороны к последовательному осуществлению совместных проектов, направленных на достижение взаимоприемлемых решений по важным вопросам функционирования нашего интеграционного объединения.
Благодарю за внимание.</t>
  </si>
  <si>
    <t>отметил:
“Уважаемые главы делегаций,
Уважаемые участники заседания,
Рад приветствовать вас на первом в текущем году заседании Высшего Евразийского экономического совета.
Прежде всего, хочу выразить признательность российской стороне за организацию сегодняшнего заседания на высоком уровне.
Рад приветствовать также глав государств-наблюдателей при ЕАЭС и приглашенных гостей.
Как мы уже отметили в ходе обсуждения в узком составе, сегодняшнее заседание приурочено к десятилетнему юбилею подписания в Астане 29 мая 2014 года Договора о ЕАЭС.
За десять лет своего существования Евразийский экономический союз стал значимой для экономик наших стран площадкой тесного и экономического взаимодействия государств-членов.
Понятно, что нормативная база ЕАЭС продолжает формироваться, и этот процесс далек от завершения. Важно, что она формируется в рамках экономической логики. Только на основе уважительного отношения к интересам стран-партнеров и поиска конструктивных решений, отвечающих интересам каждого государства-члена, мы сможем сохранить эффективность функционирования ЕАЭС. Считаем необходимым сосредоточить наши усилия для учета национальных приоритетов социально-экономического развития.
Наше сотрудничество должно работать в интересах граждан и бизнеса наших стран, способствовать повышению их благосостояния и модернизации национальных экономик.
Уважаемые участники заседания,
Уважаемые коллеги,
Возвращаясь непосредственно к вопросам повестки, не могу не обозначить, что существенно затянулся процесс формирования общего рынка с едиными системами регулирования в сфере энергоресурсов. Армянская сторона с пониманием относится к возможному пересмотру сроков реализации невыполненных мероприятий, однако считает, что данный процесс не может длиться бесконечно и должен быть реализован в разумные сроки.
Мы неоднократно отмечали, что Республика Армения готова к конструктивному диалогу с целью скорейшего достижения консенсуса по неурегулированным вопросам и своевременного функционирования общего электроэнергетического рынка ЕАЭС.
Придаем особую важность созданию правовой базы, обеспечивающей торгово-экономические интересы предпринимателей государств-членов в мировой торговле. В этом контексте считаем важным подписание Протокола об электронном обмене информацией между государствами - членами ЕАЭС и Вьетнамом, что позволит увеличить объем взаимной торговли между странами-партнерами.
Армянская сторона также поддерживает принятие пакета документов, предусматривающих начало переговоров с одним из наших партнеров в Азии – Монголией. Безусловно, подписание временного торгового соглашения обеспечит новые возможности для расширения торгово-экономического и кооперационного взаимодействия.
Уважаемые коллеги,
Развитие транспортных инфраструктур даст дополнительный импульс росту товарооборота наших стран. В этом контексте, еще раз обозначу инициированный правительством Республики Армения проект “Перекресток мира”, целью которого является создание необходимых логистических условий для развития торговых и экономических связей между всеми заинтересованными государствами на основе полного уважения суверенитета и юрисдикции государств, паритетности и взаимности.
В завершение отмечу, что армянская сторона последовательно выступает за соблюдение основополагающих принципов, заложенных в основу Договора о ЕАЭС и выражает готовность к активному взаимодействию со всеми государствами-членами в интересах дальнейшего развития выбранной парадигмы экономического сотрудничества.
Благодарю за внимание”.</t>
  </si>
  <si>
    <t>https://www.primeminister.am/ru/press-release/item/2024/05/08/Nikol-Pashinyan-EAEU/</t>
  </si>
  <si>
    <t xml:space="preserve">
“Основные приоритеты нашего председательства, как известно, охватывали ключевые направления экономического взаимодействия: создание общих рынков в энергетической сфере, устранение барьеров на внутреннем рынке ЕАЭС, развитие транспортно-логистической инфраструктуры и укрепление международных связей.
Среди приоритетов также выделялись развитие кооперационного потенциала и цифровых технологий, а также консолидация усилий IT-сообществ для внедрения инновационных решений в агропромышленный комплекс”, - отметил Никол Пашинян.
По словам главы государства, план действий ЕЭК по реализации приоритетов председательства Армении в органах ЕАЭС был насыщенным и отражал актуальные направления, обозначенные в его январском обращении. Премьер-министр выразил уверенность, что детали будут более подробно обсуждены Комиссией при подведении итогов реализации плана.
“Пользуясь случаем, хочу выразить признательность членам Совета за содействие в практической реализации инициатив армянского председательства, а также поблагодарить Комиссию во главе с председателем Коллегии Бакытжаном Абдировичем Сагинтаевым за проделанную работу”, - сказал премьер-министр.
Затем состоялось заседание в расширенном составе, в ходе которого были подписаны протоколы принятых решений.
Коснувшись предложения провести очередное заседание Высшего Евразийского экономического совета в мае 2025 года в столице Беларуси Минске, премьер-министр Пашинян отметил, что армянская делегация не поедет в Беларусь и примет участие в заседании в формате видеоконференцсвязи.
“Мы не возражаем против проведения заседания Высшего Евразийского экономического совета в Минске, но я хочу заранее сказать, что наша делегация примет участие в этом заседании в режиме видеоконференции”,</t>
  </si>
  <si>
    <t>https://www.primeminister.am/ru/press-release/item/2024/12/26/Nikol-Pashinyan-EAEU-meeting/</t>
  </si>
  <si>
    <t>нет полного текста речи - только пресс-релиз</t>
  </si>
  <si>
    <t>https://www.primeminister.am/ru/press-release/item/2025/06/27/Nikol-Pashinyan-Eurasian-Economic-Forum/</t>
  </si>
  <si>
    <t>«Уважаемые главы государств Евразийского экономического союза,
Уважаемые присутствующие,
Рад приветствовать вас на заключительном заседании Высшего Евразийского экономического совета.
Пользуясь случаем, хотел бы выразить искреннюю благодарность президенту Российской Федерации Владимиру Владимировичу Путину за оказанное гостеприимство и высокий уровень организации сегодняшнего заседания.
Позвольте также пожелать Республике Казахстан успешной и плодотворной работы в рамках предстоящего председательства.
Уважаемые участники заседания,
В этом году мы подводим итоги реализации Стратегических направлений развития евразийской экономической интеграции до 2025 года, в рамках которых был накоплен значительный практический опыт взаимодействия.
В этом контексте сегодня мы формируем ориентиры дальнейшего развития евразийской экономической интеграции, опираясь на достигнутые результаты. И на данном этапе принципиально важно обеспечить четкое разграничение сфер применения наднациональных механизмов и сфер, в которых сохраняется приоритет национальных компетенций и суверенных решений, что обеспечит устойчивость интеграционных процессов.
Текущий год стал особенно значимым для международного сотрудничества ЕАЭС. Расширяется взаимодействие с ключевыми партнерами – Ираном, Объединенными Арабскими Эмиратами, Монголией, Китаем и Индией, открываются новые рынки, что способствует диверсификации экспорта и импорта, а также укрепляет позиции ЕАЭС в мировой экономике.
В этом контексте, конечно, приветствуем подписание Соглашения о свободной торговле с Республикой Индонезия.
Республика Армения также придает особое значение развитию конструктивного диалога с государствами-наблюдателями, проявляющими устойчивый интерес к взаимодействию с ЕАЭС.
Обеспечение беспрепятственного функционирования внутреннего рынка является одной из приоритетных задач интеграции. Это означает последовательное устранение барьеров, цифровизацию и упрощение регуляторных процедур, а также создание равных условий для всех участников экономического процесса.
Убежден, что Комиссии, совместно с правительствами государств-членов, нужно продолжать решать чувствительные вопросы через выработку взаимоприемлемых договоренностей.
Позвольте отметить перспективы развития транспортно-логистического сотрудничества на основе принципов взаимности, равноправия, а также суверенитета и национальных юрисдикций.
В данном контексте хочу отметить, что происходящие благоприятные и конструктивные изменения создают новые возможности для всех стран большого региона, способствуя укреплению экономической устойчивости и расширению региональных коммуникаций.
В этой связи выражаю признательность президенту Азербайджанской Республики за решение о разблокировке транзита грузов в Армению через территорию Азербайджана, а также создания условий для начала двусторонней торговли.
Это одно из первых важнейших достижений в рамках установления мира и стабильности в регионе.
Коллеги,
В последние годы значение сферы услуг в экономиках наших стран стабильно растет. Этот сектор формирует значительную часть ВВП и занятости.
Функционирование единого рынка услуг повышает качество и конкурентоспособность поставщиков, упрощает процедуры и создает более благоприятные условия для ведения бизнеса.
Считаем, что развитие этого направления должно идти более динамично, поскольку оно напрямую влияет на экономический рост государств-членов ЕАЭС.
Не менее значимым направлением является цифровизация. Сегодня устойчивое развитие невозможно без внедрения цифровых технологий, которые формируют прочную основу, в том числе и для электронной торговли.
В этом году достигнут консенсус по ключевым вопросам регулирования электронной торговли. Согласованные решения создают основу для унифицированного, но при этом гибкого подхода, а ряд механизмов уже имплементируются, создавая предсказуемые условия для участников рынка.
В этом контексте ключевым практическим направлением интеграции в текущем году стало повышение прозрачности и прослеживаемости движения товаров.
Развитие систем маркировки в сочетании с необходимой цифровой интеграцией фискальных систем государств-членов способствует повышению эффективности налогового администрирования и снижению теневого оборота.
Эти меры направлены на обеспечение добросовестной конкуренции и защиту внутреннего рынка ЕАЭС, при одновременном снижении административной нагрузки на бизнес.
Значительный мультипликативный эффект и вклад в экономику стран ЕАЭС оказывает сфера туризма, и принятая сегодня Концепция развития туризма придаст новый импульс увеличению взаимного туристического потока.
Уважаемые коллеги,
В заключение позвольте еще раз подтвердить готовность Республики Армения к взаимовыгодному сотрудничеству в рамках ЕАЭС на благо экономической стабильности и устойчивого развития в нашем регионе.
Пользуясь случаем, хочу всех поздравить с наступающим Новым годом и пожелать нам успехов в предстоящем 2026 году, а нашим народам — мира, благополучия и процветания.
Благодарю за внимание».</t>
  </si>
  <si>
    <t>https://www.primeminister.am/ru/press-release/item/2025/12/21/Nikol-Pashinyan-Session-Supreme-Eurasian-Economic-Council/</t>
  </si>
  <si>
    <t>СУММА ПО АРМЕНИИ</t>
  </si>
  <si>
    <t xml:space="preserve">Кыргызстан </t>
  </si>
  <si>
    <t>Атамбааев</t>
  </si>
  <si>
    <t>Президент Алмазбек Атамбаев отметил, что определены ясные и справедливые параметры присоединения Кыргызской Республики к ЕАЭС. “Определена доля расщепления для Кыргызской Республики при переходе на единый таможенный тариф, сроки вступления Договора в силу, даты применения единого таможенного тарифа и отмены таможенного контроля на кыргызско-казахстанской границе”, - сказал Глава государства.
Президент также выразил надежду, что к 70-летию Победы Кыргызстан станет членом Евразийского экономического союза.
Глава государства отметил, что Кыргызстан прошел непростые годы. “Мы прекрасно знаем, каким хрупким может быть мир, согласие и поэтому мы осознанно выбираем путь интеграции, добрососедства и дружбы. Уверен, что вместе нашим странам будет легче пережить эти непростые времена, если мы будем дружны, будем помогать друг другу”,  - сказал Алмазбек Атамбаев.</t>
  </si>
  <si>
    <t>https://www.president.kg/ru/news/21/5977</t>
  </si>
  <si>
    <t>В ходе своего выступления Глава государства отметил, что для Кыргызстана вступление в Таможенный союз и присоединение к Единому экономическому пространству - важнейший приоритет во внешнеэкономической политике. “Мы вместе идем по пути интеграции и это наш общий выбор. Вместе мы одобрили Дорожную карту по присоединению Кыргызстана к Таможенному союзу. За короткий срок совместно с Евразийской экономической комиссией выполнено многое. В рамках исполнения Дорожной карты по Таможенному союзу Кыргызская Республика внесла в Парламент страны пакет соответствующих законопроектов и получила уже одобрение практически всех парламентских фракций”, - сказал Алмазбек Атамбаев.
Не менее важной составляющей реализации Дорожной карты по Таможенному союзу, по словам Главы государства, являются мероприятия по поднятию на соответствующий уровень таможенной инфраструктуры, инфраструктуры качества и подключение в рабочем режиме к информационной системе обмена данными. “Указанные мероприятия технически важная составляющая процесса вхождения, и мы надеемся успеть завершить их к намечаемому сроку присоединения при вашем активном содействии. Мы, конечно, хотели бы встретить Новый год в качестве полноправного члена союза”, - сказал Алмазбек Атамбаев.
“Мы понимаем, что будет резкий скачок цен по некоторым важным для потребителей товарам из-за разности таможенных пошлин у Кыргызстана и Таможенного союза. Несмотря на это Кыргызстан сознательно идет на максимальное сокращение тарифных изъятий для исключения таможенного контроля на внешних границах со странами-участницами. Свобода передвижения товаров, как фундаментальная идея союза, считаем, должна быть обеспечена на практике. Кыргызстан готовится до конца года вступить в Евразийский экономический союз и в этом процессе мы ждем поддержки по свободному перетоку капитала, человеческих ресурсов, товаров и услуг между странами. Кыргызстан всегда был и остается одним из активных сторонников Евразийского интеграционного процесса. Внешние и внутренние критики Кыргызстана за активное участие в процессах интеграции переводят обсуждения в эмоциональную плоскость. Сознательно или нет, экономические доводы опускаются на второй план, и разговоры в основном ведутся о потере суверенитета. Хотя это не не соответствует действительности. Но они получат весомую поддержку в обществе, если получится так, что страна отдавая ведение экономической политики в значимых сферах в наднациональный орган - Евразийскую экономическую комиссию - при этом не будет иметь равного количества голосов при принятии решений в этих сферах. Поэтому, учитывая статус Кыргызской Республики, как страны учредителя Евразийского экономического сообщества, и исходя из основного принципа Договора о Евразийском экономическом союзе - полноправного участия. Очень надеюсь, что Кыргызская Республика будет представлена в органах управления Евразийского экономического союза в том же объеме, что и страны, подписавшие Договор о Евразийском экономическом союзе”,- сказал Алмазбек Атамбаев.</t>
  </si>
  <si>
    <t>https://president.kg/ru/news/all/5718</t>
  </si>
  <si>
    <t>Уважаемые главы государств! Уважаемые участники заседания!
Кыргызстан после встречи в декабре прошлого года провёл практически все необходимые согласованные мероприятия для полноценного вхождения в Евразийский экономический союз. В кратчайшие сроки были разработаны и согласованы протоколы к Договору о присоединении к Союзу.
Много сил и ресурсов было направлено на оснащение таможенных постов, пунктов пропуска и лабораторий необходимым оборудованием, которое соответствует стандартам Евразийской экономической комиссии. В этой связи хочу высказать благодарность представителям государств – членов союза и представителям Евразийской экономической комиссии за помощь и поддержку киргизским коллегам в достижении общей цели.
Для гармонизации договорно-правовой базы Кыргызстана со стандартами Евразийского экономического союза парламент Кыргызстана принял весь пакет соответствующих законов. Нужно отметить, что в обсуждении и решении вопросов, связанных с присоединением Кыргызстана к Таможенному союзу, Евразийскому экономическому союзу, участвовали все госорганы и представители бизнес-сообщества Кыргызстана. Можно даже сказать, было такое всенародное обсуждение.
И здесь я хочу выразить особую благодарность российским и казахским коллегам за громадную поддержку, которая была оказана и в моральном, и в финансовом, и в материальном плане, в том числе поставками оборудования, соответствующих финансовых средств. Поддержка оказывалась буквально во всём.
Я вам честно скажу, уважаемые коллеги, конечно, сегодня в нашей стране, в Кыргызстане, практически все граждане ждут, подпишем мы договоры, войдём мы в союз, или не сможем подписать. Это тем более очень важно и даже символично перед юбилеем Победы, который у нас отмечается во всех странах завтра, 9 мая, и мы, конечно же, подпишем все эти документы, назад дороги, как говорится, нет.
Для себя я давно принял решение, я очень переживал, смогут ли наши эксперты найти общее решение, практически две-три последние ночи, можно сказать, не спал. И я знаю, что буквально меньше часа назад наконец‑то эксперты нашли решение, которое устраивает и главных членов союза, и Кыргызстан. И, конечно же, я могу вздохнуть спокойно, надеюсь, потому что я думаю, что главы государств доверяют своим экспертам, и для меня это очень символично, потому что для меня завтрашний праздник – это святой праздник, который будет всегда для меня, конечно, праздником со слезами на глазах.
Завтра в моём селе открывается стела с фамилиями участников войны, погибших на войне, пропавших без вести. И там четыре фамилии Атамбаевых. Я очень надеюсь, что мы, пять стран, я надеюсь, что будет больше стран, мы сможем и дальше укрепить наш союз, и расширить этот союз. И я убеждён, что Евразийский экономический союз станет общим достоянием и благом для наших народов, и я абсолютно уверен, что наш союз именно укрепляет стабильность на Евразийском пространстве и придаёт вот такое поступательное движение всей Евразии.
В заключение я хочу ещё раз поздравить вас с наступающим святым праздником. Спасибо большое. Я надеюсь, что вы поддержите нас, а мы обязуемся оправдать ваше доверие.</t>
  </si>
  <si>
    <t>http://www.kremlin.ru/catalog/persons/280/events/49435</t>
  </si>
  <si>
    <t>https://president.kg/ru/news/all/29826</t>
  </si>
  <si>
    <t>https://president.kg/ru/news/all/7168</t>
  </si>
  <si>
    <t>Президент Кыргызской Республики  Алмазбек Атамбаев в начале своего выступления выразил глубокие соболезнования родным и близким погибших в результате крушения самолета близ города Сочи и всему братскому народу России. «Мы скорбим вместе с вами», - сказал Президент.
Касаясь вопросов деятельности Евразийского экономического союза, Глава государства подчеркнул, что 2016 год был показательным для Кыргызской Республики в качестве полноправного члена союза.
«Произошло много изменений: были как позитивные моменты, так и отрицательные. К сожалению, негатив  временами превалирует и это в целом  накладывает отпечаток на то, как народ Кыргызстана принимает вступление страны в Евразийский экономический союз. И это естественно накладывает отрицательный отпечаток на экономический эффект от интеграции Кыргызстана в Евразийский экономический союз», - сказал Алмазбек Атамбаев, предложив обсудить имеющиеся вопросы в ходе переговоров.</t>
  </si>
  <si>
    <t>https://president.kg/ru/news/21/4538</t>
  </si>
  <si>
    <t>Атамбаев</t>
  </si>
  <si>
    <t>Уважаемые главы государств! Уважаемые участники заседания!
Конечно, я тоже в первую очередь хочу поблагодарить нашего хозяина сегодняшней встречи – уважаемого Нурсултана Абишевича Назарбаева, казахскую сторону за прекрасную организацию нашей встречи, за радушие, за теплоту и за ту атмосферу, деловую и в то же время дружескую, братскую, которая царит во время нашей встречи.
Прошёл год, как Кыргызстан поддержал проект Евразийской интеграции и подписал Договор о присоединении к Евразийскому союзу. Несмотря на положительные аспекты интеграции, в частности отмену таможенного контроля на границе с Республикой Казахстан, улучшение положения трудовых мигрантов в России и в других странах – членах ЕАЭС, хотел бы отметить и поддержать Александра Григорьевича Лукашенко в том, что до сих пор очень много различных барьеров между нашими странами. Я озвучивал в узком кругу ряд таких вопросов: это вопрос о применении унифицированного железнодорожного тарифа, вопрос об ограничении ввоза кыргызского картофеля в Казахстан, вопрос о снятии ветеринарного контроля на границе Казахстана и Киргизии, вопрос о транзите товаров для Кыргызстана по территории Российской Федерации и несколько других.
Я очень благодарен Президенту Казахстана Нурсултану Абишевичу Назарбаеву и Президенту Российской Федерации Владимиру Владимировичу Путину за то, что нашёл полное понимание и обещание поддержать и решить в кратчайшие сроки эти вопросы.
Конечно же, поддерживая формат вот такого сотрудничества, я хотел бы призвать, чтобы мы и впредь воздерживались от мер, способных поставить под угрозу достижение основных целей и задач интеграции, и направлять свои силы в первую очередь на устранение таких барьеров, которые могут дискредитировать саму идею союза.
Договор о создании Евразийского экономического союза был подписан 29 мая 2014 года. Договору всего два года, реально союз ещё меньше работает. То есть совсем юный возраст, но в то же время уже видно, что у нашего союза огромный потенциал. Безусловно, уже есть определённые результаты, успехи, есть и промахи, и потери, и искусственно создаваемые проблемы. Но, видимо, так и должно быть в молодом организме, который, можно сказать, только родился. Но мы все, главы государств и народы наших стран, – мы должны чётко для себя осознать: у наших народов, наших стран нет другой альтернативы – и мы ответственны за будущее нашего Евразийского экономического союза, за будущее наших стран. Нужны труд и терпение, мудрость и сотрудничество наших народов и руководителей государств, всех министерств и ведомств.
Благодарю за внимание. Я верю в будущее Евразийского экономического союза.</t>
  </si>
  <si>
    <t xml:space="preserve">11 октября </t>
  </si>
  <si>
    <t>Исаков</t>
  </si>
  <si>
    <t>важаемые члены Высшего совета! Уважаемые участники заседания! Хочу ещё раз всех поприветствовать, поблагодарить за участие в сегодняшнем заседании Совета.
И в самом начале хочу сказать о том, что сегодня на заседании у нас присутствует Президент Республики Молдова Игорь Николаевич Додон. И мы рассматривали в узком кругу обращение Республики Молдова о предоставлении статуса государства-наблюдателя при Евразийском экономическом союзе.
И Высший Евразийский экономический совет в узком кругу принял решение. Первое: приветствовать и поддержать намерение Республики Молдова о получении статуса государства-наблюдателя при Евразийском экономическом союзе.
Евразийская экономическая комиссия представит для утверждения на очередном заседании Высшего Евразийского экономического совета порядок реализации статуса государства-наблюдателя при Евразийском экономическом союзе.
Третье: принять решение о предоставлении Республике Молдова статуса государства-наблюдателя после утверждения порядка, предусмотренного пунктом 2 настоящего решения.
Мы ещё раз рады Вас приветствовать, Игорь Николаевич, на нашем заседании.
Уважаемые коллеги! Хочу сказать, что председательство Кыргызстана в этом году даёт нам возможность представить своё видение дальнейшей работы нашей организации. Кыргызстан предложил Высшему совету 2017 год посвятить созданию условий для развития бизнеса на Евразийском экономическом пространстве, потому что экономикой, конечно, реально движет бизнес, предприниматели.
Поэтому нам очень важно продолжить совместную работу по созданию благоприятных условий для реализации четырёх основных принципов строительства союза: это свобода движения товаров, свобода движения услуг, свобода финансов и свобода передвижения трудовых ресурсов. Поэтому, конечно же, нам надо сосредоточиться на том, чтобы устранить те барьеры, которые пока ещё есть внутри союза. И конечно же, для этого нужна более тесная связь между государственными органами, Евразийской экономической комиссией, и, конечно же, чтоб комиссия прислушивалась к инициативам, предложениям бизнеса наших стран.
Президент Киргизии Алмазбек Атамбаев на заседании Высшего Евразийского экономического совета.
Президент Киргизии Алмазбек Атамбаев на заседании Высшего Евразийского экономического совета.
Для Кыргызстана, конечно же, особенно важно усилить работу по развитию сельского хозяйства, перерабатывающей промышленности, лёгкой промышленности. И хочу поблагодарить руководителей России и Казахстана за поддержку, которая оказывается сегодня, по реализации норм, связанных с ветеринарным, санитарным, фитосанитарным контролем. Думаю, что эти барьеры будут сняты, и в то же время работа, которая проводится в лабораториях, позволит улучшить качество выпускаемых товаров и повысит эффективность их производства.
И конечно же, нам надо обязательно и дальше активно формировать общий рынок труда. И здесь нам необходимо завершить работу над договором о пенсионном обеспечении трудящихся и членов их семей в странах ЕАЭС.
И конечно, как страна, где, к сожалению, многие уезжают в поисках работы, мы просили бы применять более либеральный подход в вопросах депортации трудовых мигрантов, граждан государств – участников союза, за мелкие административные правонарушения.
И конечно же, очень важно нам формировать общий электроэнергетический рынок внутри союза, определить для этого финансовые, инфраструктурные ресурсы.
В завершение хотел бы подчеркнуть, что для нас отношения со странами – членами Евразийского экономического союза – это приоритет во внешнеэкономической политике Киргизской Республики. И мы призываем наших партнёров к активной совместной работе.
Сегодня у нас на повестке десять вопросов, основные мы рассмотрели. И сейчас, думаю, какие-то короткие мнения по тем вопросам, которые в повестке дня мы рассматривали в узком кругу.
Серж Азатович, Вам слово предоставляется.</t>
  </si>
  <si>
    <t>*новостная статья</t>
  </si>
  <si>
    <t>Жээнбеков </t>
  </si>
  <si>
    <t>Президент Сооронбай Жээнбеков выразил признательность российской стороне и Президенту России Владимиру Путину за организацию встречи, радушный приём и гостеприимство, поздравил его с успешным и плодотворным завершением председательства в органах Союза в 2018 году, а также пожелал премьер-министру Армении Николу Пашиняну успешного председательства Армении в 2019 году.
"Мы считаем важным обсудить вопрос о состоянии конкуренции на трансграничных рынках. Необходимо анализировать принятые меры по пресечению нарушений общих правил конкуренции, постоянно формировать позитивное представление о Союзе, как эффективной и конкурентоспособной международной организации", - отметил Сооронбай Жээнбеков.
Он выразил уверенность, что подписанные документы внесут весомый вклад в создание условий ведения бизнеса. Тем самым будет сделан значительный шаг для улучшения жизни граждан всех государств-членов Союза.
"Наш Союз имеет огромный потенциал для экономического развития каждой страны евразийского пространства, который еще не в полной мере задействован. В этом контексте одной из важнейших задач нашей работы является устранение любых барьеров и ограничений. Считаю важным реализацию четырех основных свобод на пространстве ЕАЭС - свободу передвижения товаров, услуг, капитала и рабочей силы. Мы должны поддерживать друг друга и устранять препятствия", - подчеркнул Сооронбай Жээнбеков.
Как он отметил, в 2019 году важно провести работу по наращиванию количества секторов и отраслей, в которых будет осуществляться единая экономическая политика, усилить кооперацию в агропромышленном секторе с созданием совместных предприятий. Для успешной реализации этих планов необходима тесная взаимосвязь между государственными органами, Евразийской экономической комиссией и бизнесом. Также необходимо создание механизма реализации совместных инфраструктурных проектов.
"Мы уверены, что реализация совместных проектов приведет к увеличению экономического потенциала всех стран Союза. Вместе с тем, кыргызская сторона неоднократно отмечала о необходимости расширения компетенции Евразийской экономической комиссии. Об этом я отмечал на прошлом заседании Высшего совета. Полагаю необходимым Комиссии, совместно с государствами-членами Союза, провести соответствующие мероприятия для реализации этой инициативы", - сказал Сооронбай Жээнбеков.
В завершение Президент Сооронбай Жээнбеков подчеркнул, что отношения со странами-членами ЕАЭС остаются неизменным приоритетом Кыргызской Республики, выразил готовность страны к откровенному, доверительному диалогу, призвав партнеров по Евразийскому экономическому союзу к активной совместной работе.</t>
  </si>
  <si>
    <t>https://www.vb.kg/doc/375329_jeenbekov:_otnosheniia_s_chlenami_eaes_ostautsia_neizmennym_prioritetom_dlia_kr.html</t>
  </si>
  <si>
    <t>Уважаемые главы государств! Уважаемые участники заседания! Позвольте поприветствовать всех участников заседания, ещё раз выразить сердечную признательность Президенту Российской Федерации Владимиру Владимировичу Путину за прекрасную организацию встречи, а также за традиционно тёплый, радушный приём.
Пользуясь случаем, хотел бы от себя лично и от имени всех кыргызстанцев искренне поздравить Владимира Владимировича с победой и вступлением в должность Президента Российской Федерации и пожелать дальнейших успехов на этом ответственном посту.
Одновременно хотел бы поздравить Никола Воваевича с избранием на пост Премьер-министра и пожелать успехов в работе.
Уважаемые коллеги! Евразийская интеграция была и остаётся приоритетным направлением во внешнеэкономической политике Киргизской Республики. В докладе Киргизской Республики «Два года в ЕАЭС. Первые результаты» отражены основные итоги нашей деятельности в рамках Союза. Одним из положительных итогов участия Кыргызстана в Союзе является либерализация рынка труда и улучшение положения наших трудовых мигрантов.
При этом, несмотря на позитивные изменения, нам предстоит решить ещё немало вопросов, в том числе путём совершенствования положений Союзного договора. Необходимо стремиться к обеспечению равных прав и социальных гарантий трудящихся мигрантов в нашем интеграционном объединении.
Мы проделали значительную работу в рамках Союза по созданию условий для успешного ведения бизнеса и устранения внутренних ограничений в торговле. Наглядным подтверждением позитивных результатов наших совместных усилий в данном направлении является рост объёма взаимной торговли государств-членов в 2017 году на 26 процентов.
Особого внимания заслуживает вопрос своевременного выполнения поставленных задач в рамках цифровой повестки, направленной на устранение барьеров в торговле, в том числе по прослеживаемости товаров. При этом необходимо учитывать потенциал стран ЕАЭС по внедрению цифровых технологий по маркировке и отслеживанию товаров. Считаю, что механизмы их прослеживаемости должны быть синхронизированы и внедряться поэтапно, особенно с учётом нагрузки на малый и средний бизнес.
Уважаемые главы государств! Сегодня в мире мы наблюдаем тенденцию ужесточения так называемых торговых войн. Нарастание геополитической напряжённости может подрывать все результаты, которые мы достигли в рамках евразийской интеграции. Мы должны уйти от внутренней конкурентной борьбы и совместно действовать на международной арене. Только углубляя и расширяя нашу интеграцию, мы можем раскрыть весь имеющийся экономический потенциал наших стран.
Вместе с тем убеждён, что совместная работа по расширению торгово-экономических связей Евразийского экономического союза с третьими странами, в том числе с Китаем, Индией, Сингапуром, имеет стратегическое значение. Большим шагом в сфере предоставления услуг в рамках Союза стало включение в единый рынок предоставления услуг туроператоров и турагентств. Важно продолжить работу по созданию единого рынка услуг.
Отдельного внимания требует разработка проектов, создающих региональные производственные цепочки для развития кооперационных связей между нашими странами. Для финансирования таких проектов надо усилить деятельность Евразийского банка развития. Необходимо, чтобы у нас действовал реально работающий финансовый институт развития ЕАЭС, нацеленный на углубление интеграционных процессов.
Уважаемые коллеги! Нужно двигаться вперёд, но всё ещё имеются вопросы, которые не решаются со дня присоединения Киргизской Республики к Союзу. Говоря о препятствиях и барьерах, хотим сказать, что необходимо наделить Комиссию дополнительными компетенциями для оперативного решения спорных ситуаций в передвижении товаров. Комиссия должна проявлять активность и твёрдость для урегулирования проблемных вопросов, возникающих между государствами – участниками Союза.
При этом остро стоит вопрос бюрократизации в органах Союза. Принятие решения в рамках Союза должно быть быстрым, гибким и мобильным. Процесс должен быть прозрачным и понятным, в том числе и для бизнеса, который за поддержкой обращается в Евразийскую экономическую комиссию. Комиссия должна эффективно разрешать конфликтные ситуации и контролировать выполнение соответствующих обязательств.
Предлагаю поручить Комиссии разработать конкретные предложения в данном направлении и представить их на наше решение.
Уважаемые коллеги! Завершая своё выступление, хотел бы ещё раз заверить партнёров, что способствование всесторонней интеграции на Евразийском пространстве является одним из ключевых направлений внешней политики Кыргызстана.
Спасибо за внимание.
В.Путин: Спасибо большое!
Слово Игорю Николаевичу Додону как главе государства-наблюдателя. Пожалуйста.</t>
  </si>
  <si>
    <t>Жээнбеков сказал, что страны — участницы союза проводят скоординированную политику почти во всех сферах экономики. По его словам, ЕАЭС доказал свою состоятельность и стал сильным интеграционным объединением. Президент отметил, что в 2018 году в торговых отношениях крупнейших экономических держав возникла напряженность и это негативно отразилось на экономике союза. Однако, кроме геоэкономических аспектов, рост объема взаимной торговли тормозят собственные недоработки.
"В погоне за краткосрочными выгодами некоторые страны ужесточают госконтроль и создают дополнительные препятствия. Подобный подход уменьшает совокупный эффект от интеграции. В интеграционных объединениях государства получают выгоду, снижая себестоимость продукции посредством увеличения скорости и объемов перевозки товаров, а в реальности мы спорим между собой", — сказал Жээнбеков.
Он заявил, что правительства стран ЕАЭС должны устранить препятствия на внутреннем рынке, в противном случае союз не достигнет своих целей. Президент сказал, что заинтересован в прозрачности таможенного контроля на внешних границах объединения, и отметил необходимость введения "тройного контроля" в таможенных пунктах. Однако Евразийская экономическая комиссия не имеет права принимать такие меры, поэтому Жээнбеков предложил наделить ее соответствующими полномочиями для оперативного решения споров.
Наряду с этим глава государства поднял вопрос о лимите на денежные переводы внутри ЕАЭС.
"Сейчас активно ведется работа по гармонизации национальных законодательств и созданию единых рынков на пространстве союза. Однако вместо создания благоприятных условий для ведения легальной деятельности на едином рынке мы сталкиваемся с некоторыми ограничениями", — подчеркнул глава Кыргызстана.
Он предложил финансовым регуляторам стран ЕАЭС вместе выработать механизм устранения существующих ограничений и перемещения нелегальных средств.
В завершение Сооронбай Жээнбеков сказал, что Кыргызстан очень заинтересован в интеграции, а Евразийский экономический союз имеет большой потенциал.</t>
  </si>
  <si>
    <t>https://ru.sputnik.kg/20191001/eaehs-sammit-sooronbaj-zhehehnbekov-erevan-1045852808.html</t>
  </si>
  <si>
    <t>https://president.kg/ru/news/21/10723</t>
  </si>
  <si>
    <t>«Эффективность ЕАЭС зависит от способности создавать равные конкурентные условия как между его членами, так и с третьими странами», — подчеркнул Президент Кыргызской Республики Сооронбай Жээнбеков сегодня, 29 мая, на юбилейном заседании Высшего Евразийского экономического совета в расширенном составе в городе Нур-Султан, Республики Казахстан.
Глава государства поздравил участников заседания с пятилетним юбилеем евразийской интеграции и выразил благодарность всем, кто работает во благо полноценного функционирования Союза.
«Подводя итоги пятилетнего периода, мы сегодня должны справедливо оценить труд этих людей. Мы подпишем решение о награждении медалью „За вклад в развитие Евразийского экономического союза“, — подчеркнул Сооронбай Жээнбеков.   
Президент отметил особую роль первого Президента Казахстана Нурсултана Назарбаева в создании ЕАЭС.
»Об евразийстве мечтали многие великие люди. Впервые об этом в 1921 году заявил князь Николай Сергеевич Трубецкой. Позднее, Лев Николаевич Гумилев развил идею сочетания этносов и ландшафтов. И только уважаемому Нурсултану Абишевичу Назарбаеву удалось воплотить в реальность мечту Трубецкого и Гумилева. Двадцать пять лет назад, уважаемый Нурсултан Абишевич озвучил идею и создал фундамент формирования евразийской интеграции. В 2014 году наш мудрый Аксакал, приложив немалые усилия, совместно с президентами России и Беларуси создал Евразийский экономический союз«, — подчеркнул Сооронбай Жээнбеков.
Президент добавил, что присоединение Армении и Кыргызстана к ЕАЭС расширило границы Союза и повысило привлекательность для других стран.
Глава государства отметил, что несмотря на воздействие глобальных экономических вызовов формирование Союза продолжается. Сегодня ЕАЭС позиционируется как быстро растущее интеграционное объединение. Важно сохранить тенденцию роста. Для этих целей необходимо и далее продвигать приоритетные направления Союза.
Одним из направлений Президент назвал реализацию цифровой повестки.
»Мы уже имеем некоторые результаты. Необходимо и далее создавать общие цифровые процессы для бизнеса и государственного сектора. Мы приветствуем совместные усилия государства и бизнеса с целью реализации цифровой повестки Союза до 2025 года. В рамках данного вектора развития, текущий год в Кыргызской Республике мною объявлен «Годом развития регионов и цифровизации страны», — сказал Сооронбай Жээнбеков.
Также Глава государства подчеркнул важность формирования единого рынка трудовых ресурсов.
«Убежден, что подписание Соглашения о пенсионном обеспечении станет большим шагом в достижении равноправия трудящихся Союза. Считаю необходимым продолжить работу по созданию благоприятных условий для трудящихся путем совершенствования правовой базы Союза и продолжения работ по созданию благоприятных условий для трудящихся путем совершенствования правовой базы ЕАЭС», — подчеркнул Президент.
Не менее важным направлением Глава государства назвал и вопрос устранения препятствий на внутреннем рынке ЕАЭС. Отметил, что эффективность Союза зависит от способности создавать равные конкурентные условия как между его членами, так и с третьими странами.
«Однако наблюдается рост количества барьеров и ограничений. В этом плане Кыргызская Республика выступает за системную работу по их устранению», — сказал Президент
Кроме того, Сооронбай Жээнбеков подчеркнул, что в последнее время участились случаи высказывания критики в адрес Кыргызстана в сокрытии таможенных платежей, в связи с чем выразил заинтересованность в прозрачности и объективности проведения таможенного контроля на внешних границах Союза.
«Предлагаю провести „тройной“ таможенный контроль с участием представителей заинтересованных сторон из числа стран-членов ЕАЭС и Евразийской экономической комиссии. Итоги и выводы совместного контроля должны быть открытыми для широкой общественности. Такая процедура могла бы снять претензии одной страны к другой стране», — сказал Глава государства.
Сооронбай Жээнбеков напомнил, что неоднократно отмечал необходимость улучшения институциональной системы ЕАЭС и повышения ее эффективности. В этой связи Президент выступил за усиление полномочий Евразийской экономической комиссии как действенного наднационального органа Союза.
«Хочу также обратить внимание на актуальный вопрос, связанный со значительным разрывом между экономиками государств-членов ЕАЭС. Тенденция сохранения разрыва между странами Союза может неблагоприятно повлиять на развитие Евразийской интеграции в целом. Нам необходимо найти консенсусное решение по вопросу укрепления экономик и обеспечения их гармоничного развития и сближения. Предлагаю поручить Комиссии провести анализ различных механизмов поддержки и развития стран с малыми экономиками. И подготовить конкретные предложения для внедрения подобного механизма в нашем Союзе», — подчеркнул Глава государства.
Также Сооронбай Жээнбеков предложил рассмотреть целесообразность создания органа по регулированию общего электроэнергетического рынка.
«Появление новых сфер регулирования требует эффективного управления, соответственно создание новых органов Союза. Учитывая свой электроэнергетический потенциал, Кыргызская Республика готова разместить у себя подобный орган», — подчеркнул Глава государства.</t>
  </si>
  <si>
    <t>https://www.president.kg/ru/news/21/9707</t>
  </si>
  <si>
    <t xml:space="preserve">«Именно сейчас в рамках ЕАЭС, мы должны объединить все усилия и вместе противостоять пандемии, а также ее негативным последствиям», — отметил Президент Кыргызской Республики Сооронбай Жээнбеков сегодня, 14 апреля, на рабочей встрече членов Высшего Евразийского экономического совета (ВЕЭС) в формате видеоконференции.
Глава государства предложил ряд мер в рамках ЕАЭС, направленных на консолидацию совместных усилий в условиях распространения коронавирусной инфекции.
Подчеркнул, что в условиях всеобщей изоляции и вынужденного закрытия границ между странами необходима организация «зелёных коридоров» с соответствующим алгоритмом, которые позволят бесперебойно доставлять гуманитарные грузы, продовольственные товары первой необходимости и продукцию медицинского назначения. Предложил определить перечень товаров, которые будут беспрепятственно перемещаться между странами.
Также подчеркнул необходимость принятия комплекса совместных мер, направленных на бюджетное и налоговое стимулирование бизнеса.
«Особое значение для экономики наших стран должно отводится Евразийскому банку развития и Евразийскому фонду стабилизации и развития. В нынешних условиях нужно переориентировать работу данных структур. Считаю, что пришло время пересмотреть некоторые принципы работы Фонда. Необходимо сократить сроки рассмотрения кредитов на бюджетную поддержку в кризисных ситуациях. Нужно увеличить долю финансирования на грантовой основе», — отметил Сооронбай Жээнбеков.
Глава государства добавил, что важную роль может играть Евразийский банк развития в создании новых механизмов поддержки малого и среднего бизнеса.
Подчеркнул, что в первую очередь Банк должен оперативно профинансировать предприятия по изготовлению медицинской и продовольственной продукции первой необходимости. В качестве взаимной поддержки, выразил готовность направить ресурсы указанных финансовых институтов для обеспечения стран Союза сельскохозяйственной продукцией.
Кроме того, он отметил важность поддержки потенциала национальных банков и финансового сектора для предоставления необходимых ресурсов экономикам стран Союза, в том числе по льготному кредитованию малого и среднего бизнеса, выработки соответствующих механизмов финансирования и начала их реализации.
Вместе с этим Сооронбай Жээнбеков предложил организовать совместную работу медицинских служб Союза для оперативного реагирования на ситуацию.
«Считаем необходимым принятие мер Евразийской экономической комиссией по обнулению ввозных таможенных пошлин на медицинские изделия. Также было бы своевременным и целесообразным сделать то же самое и для социально значимых товаров, предназначенных на обеспечение продовольственной безопасности стран Союза», — подчеркнул Президент.
Сооронбай Жээнбеков отметил, что большое количество граждан стран ЕАЭС проживают и работают во всех странах Союза и в условиях пандемии оказались в сложной ситуации. Он предложил принять единый механизм социальной и медицинской поддержки для всех граждан ЕАЭС в это непростое время.
Глава государства добавил, что в Кыргызстане предпринимаются все необходимые меры по недопущению дальнейшего распространения болезни. Наряду с этим, приходится решать также проблемы по минимизации экономических рисков.
«Ныне мы сталкиваемся с трудностями в социальной, торгово-экономической и миграционной сферах. Принятые в других странах меры по закрытию границ повлияли на внешнюю торговлю и соответственно на бюджетные поступления. В первом квартале 2020 года объем импорта товаров из третьих стран в Кыргызстан сократился на 39%. Мы понимаем, что отрицательная тенденция будет продолжаться. По сравнению с прошлым годом, таможенные поступления в бюджет страны снизились почти на 40%. К сожалению, уменьшение активности малого и среднего бизнеса, еще больше снизит поступления в бюджет страны. В итоге, по нашим прогнозам, к концу текущего года сокращение поступлений в бюджет государства составит около 25%», — отметил Глава государства.
Сооронбай Жээнбеков особо подчеркнул, что договорно-правовая база ЕАЭС позволяет принимать меры по минимизации негативных последствий пандемии на экономику государств-членов, а также на здоровье и жизнь граждан.
«Ограничительные меры не должны превратиться в „экономическую изоляцию“ внутри нашего Союза. Единый рынок ЕАЭС должен функционировать без барьеров, ограничений и изъятий. Введение ограничений на экспорт или импорт товаров — оправданы только по отношению к третьим странам. У нас в Союзе имеются все возможности для обеспечения населения наших стран основными продовольственными товарами. Внутри ЕАЭС не должны быть ограничения во взаимной торговле социально значимыми товарами», — отметил Президент.
Глава государства выразил благодарность Президентам Российской Федерации и Республики Казахстан за оказываемую миграционную поддержку и содействие в возвращении граждан Кыргызстана на родину, также Российской Федерации за предоставление медицинских тест-систем и решение выделить в рамках Евразийского фонда финансовую помощь отечественной системе здравоохранения.
«Нынешняя ситуация является испытанием для всего нашего Союза. Убеждён, что совместными усилиями наших стран мы сможем принять совместные меры для преодоления пандемии», — заключил Президент Сооронбай Жээнбеков.
</t>
  </si>
  <si>
    <t>https://www.president.kg/ru/news/21/11123</t>
  </si>
  <si>
    <t xml:space="preserve">В своем выступлении Глава государства отметил, что в нынешних условиях свободное передвижение товаров внутри ЕАЭС стало актуальным для обеспечения продовольственной безопасности.
Также он обратил внимание на вопрос устранения барьеров на внутренней таможенной территории Союза. Подчеркнул, что существующий механизм устранения барьеров неэффективен ввиду отсутствия достаточных полномочий у Коллегии Евразийской экономической комиссии.
Касаясь вопроса тарифообразования на транспортировку газа, Президент отметил, что при разработке проекта международного договора необходимо предусмотреть не дискриминационные подходы в установлении тарифов на транспортировку газа вне зависимости от страны происхождения.
Сооронбай Жээнбеков также предложил усилить работу по принятию совместных мер поддержки экономик и бизнеса государств-членов ЕАЭС с учетом посткризисного развития и немаловажным вопросом в это непростое время, назвал поддержку граждан, находящихся в других странах Союза.
Глава государства выступил за доработку проекта «Стратегических направлений развития евразийской интеграции до 2025 года», с учетом актуализации и внесения корректив от ожидаемых негативных тенденций в посткризисный период.
Президент также выступил за усиление роли Евразийской экономической комиссии, подчеркнув, что для эффективного выполнения поставленных задач по устранению барьеров на внутреннем рынке полномочия Комиссии и Суда ЕАЭС должны быть усилены.
Важным аспектом сотрудничества Президент Сооронбай Жээнбеков назвал Цифровую повестку ЕАЭС, реализация которой идет очень медленными темпами. Обратил внимание на то, что прорабатываемые инициативы по цифровизации промышленного сотрудничества, созданию цифровой прослеживаемости товаров, электронной биржи труда, а также развитию цифровых транспортных коридоров все еще не реализованы.
 </t>
  </si>
  <si>
    <t>и.о. Мамытов</t>
  </si>
  <si>
    <t xml:space="preserve"> онлайн</t>
  </si>
  <si>
    <t>«Участие в ЕАЭС является приоритетным направлением внешней политики Кыргызстана. Мы всегда выступаем за открытый и конструктивный диалог по всему спектру вопросов в рамках Союза», — отметил исполняющий обязанности Президента Кыргызской Республики, Торага Жогорку Кенеша Талант Мамытов сегодня, 11 декабря, на заседании Высшего Евразийского экономического совета (ВЕЭС) в формате видеоконференции.
И.о. Президента отметил главный вопрос сегодняшнего заседания — принятие документа по стратегическому направлению развития евразийской экономической интеграции, который составит повестку развития Союза и определит основные направления работы на ближайшие 5 лет.
«В Стратегию включена инициатива Кыргызской Республики по внедрению механизмов и программ целевого финансирования в рамках действующих институтов развития. Она предусматривает дополнение новыми подходами уже имеющихся способов финансирования нашими региональными институтами развития. Выражаю уверенность, что данная инициатива сыграет ключевую роль в сокращении разрывов уровня развития наших национальных экономик и интеграции в целом.
Сегодня наиболее актуальным для кыргызской стороны также является вопрос формирования общего рынка газа. Данный вопрос является одним из важнейших приоритетов нашего сотрудничества и одной из существенных составляющих в обеспечении энергетической безопасности наших стран. Учитывая особенности поставок газа в Кыргызскую Республику, считаю, что в данном вопросе нам необходимо предусмотреть недискриминационный подход по доступу к инфраструктуре для транспортировки газа вне зависимости от страны происхождения в целях обеспечения внутренней потребности государств-членов Союза», — заявил и. о. Главы государства.
Талант Мамытов с удовлетворением отметил, что члены организации достигли позитивных результатов в осуществлении единой внешнеторговой политики Союза, основой которой является таможенно-тарифное и нетарифное регулирование, а также меры защиты внутреннего рынка.
«В целях защиты производителей Евразийского экономического союза от недобросовестного импорта из третьих стран все принятые наши меры должны благоприятно влиять не только на производителей, но и учитывать условия конкуренции на внутренних рынках наших стран. При этом подходы должны быть регламентированы и направленны на недопущение правовой неопределенности. Хотелось бы также отметить, что различные ограничения, связанные с распространением коронавирусной инфекции и вынужденным закрытием границ, как нам всем хорошо известно, стали основной причиной снижения экономической активности наших стран. В таких условиях крайне важно усилить промышленную и агропромышленную кооперацию в наших странах, что позволит обеспечить эффективное посткризисное развитие экономики Союза и раскрыть высокий интеграционный потенциал ЕАЭС», — сказал и. о. Президента.
В данном контексте Талант Мамытов подчеркнул особую роль региональных финансовых институтов по стабилизации экономических шоков и поддержки экономики Союза в целом.
Также он отметил один из основных принципов Союза — свобода передвижения рабочей силы, которая в настоящее время является не только социальной задачей в рамках ЕАЭС, но и вызовом для всего человечества.
«За время участия Кыргызской Республики в Союзе было сделано многое для улучшения прав трудящихся. Кыргызской стороной инициированы вопросы социальной защиты и обеспечения трудящихся в государствах-членах Союза, равно как и их семей. Наиболее остро вопросы социальной защиты проявились в период пандемии. В связи с чем нам крайне важно вернуться к вопросу распространения действия обязательного медицинского страхования на членов семей трудящихся. Сегодня ситуация с распространением коронавируса привела к дефициту рабочей силы в странах нашего Союза, в том числе, в силу имеющихся ограничений по перемещению. Кыргызская Республика готова к обсуждению и созданию дополнительных механизмов доступа к рынку труда ЕАЭС с учетом необходимых эпидемиологических требований», — заверил он.
Талант Мамытов также добавил, что цифровизация экономик стран-участников Союза, внедрение современных цифровых технологий также становится приоритетной задачей сегодняшнего дня.
«Все наши совместные инициативы по автоматизации налоговых и таможенных процедур, по переводу разрешительных и сопроводительных документов на цифровые носители, а также по внедрению системы маркировки и прослеживаемости товаров должны быть ускорены. Внедрение данных систем позволит противодействовать теневой экономике и обеспечит значительное поступление финансовых средств в бюджет. В этой связи хотел бы отметить недавно подписанное Соглашение с Российской Федерацией по развитию системы налогового администрирования в Кыргызской Республике, в рамках которого в скором времени мы ожидаем начало практических работ», — отметил и. о. Президента.
Талант Мамытов выразил благодарность Президенту Российской Федерации Владимиру Путину за личную поддержку в данном вопросе.
«Уходящий 2020 год стал непростым периодом для экономики наших стран. Вместе с тем он выявил одну закономерность — наша молодая организация готова противостоять любым вызовам и угрозам современности. Наша общая цель — это стабильное развитие экономик государств-членов в интересах наших народов», — заключил и. о. Президента Талант Мамытов.</t>
  </si>
  <si>
    <t>https://www.president.kg/ru/news/21/12033</t>
  </si>
  <si>
    <t xml:space="preserve">Жапаров </t>
  </si>
  <si>
    <t>«Мы их интеграции в новых конкурентных преимуществ каждого государства-члена Еаэс на повышение потенциала и определяет целесообразность применения нужно Единство», — сказал Садыр Жапаров подчеркнул, что Президент Кыргызской Республики сегодня, 21 апреля, в формате видеоконференции, проводимой Высшего евразийского экономического совета (ЖЕЭК) на очередном заседании.
В своей речи глава государства Евразийского экономического союза (ЕАЭС) в рамках интеграции Кыргызской Республики и подчеркнул, что приоритетным направлением для предоставления несомненно, станет.
«Мы взаимовыгодного сотрудничества в рамках Союза, обеспечения соблюдения принципов рыночной экономики, основанной на принципах активной и плодотворной деятельности с учетом национальных интересов сторон намерений и в дальнейшем продолжить наши постараемся изменить мир. Рассматриваемый сегодня „ЕврАзЭБдин к 2020 году реализации основных направлений международной деятельности“ и „о Торгово-экономического сотрудничества в развитии отношений“, сообщил документы уверен, что свой вклад в реализации мер в этом направлении», — отметил Жапаров Садыр.
Особое внимание Президент Союза евразийского пространства в качестве центра восприятия в крупных идей.
Потенциал регионального союза не только географического расположения, ни по размеру, что особенно Восточной его с мировой-Западной и Северо-Южного моста на направлениях, позволяющих города.
В связи с этим в целях сотрудничества в направлениях международной деятельности в соответствии с Садыр Жапаров страны на пути экономического Союза и считает, что необходимо ставить упор. В перспективе также создание торговой системы, снижение транспортных расходов без проведения мид товаров, инфраструктуры, ресурсов, сбыта и рынков производства в районе является обеспечение связи между вспомогательных объединить с континентибиздин.
«Мы в прошлом году в первой половине этого года и последующие трудности, которые подверглись укрепления мировой указывает на необходимость совместных действий, направленных на ликвидацию последствий кризиса. В результате внешних условий-ситуации, способствующей адаптации и оперативного ответа на любые изменения в охрану торгово-экономических связей путем внедрения новых механизмов обеспечения темпов устойчивого развития Союза должно быть», — подчеркнул Президент Садыр Жапаров.</t>
  </si>
  <si>
    <t>https://www.president.kg/ru/news/21/23707</t>
  </si>
  <si>
    <t>«Уважаемый Касым-Жоомарт Кемелевич,
Уважаемые участники Высшего совета!
Сердечно приветствую вас на очередном заседании Высшего Евразийского экономического совета.
Рад видеть всех вас в добром здравии!
Выражаю признательность белорусской стороне, лично Президенту Республики Беларусь, уважаемому Александру Григорьевичу Лукашенко, а также Председателю Коллегии Евразийской экономической комиссии, уважаемому Михаилу Владимировичу Мясниковичу, и его команде за высокую техническую и содержательную организацию сегодняшней встречи.
Евразийский экономический союз является важнейшим региональным интеграционным объединением для Кыргызской Республики с нарастающим потенциалом сближения государств-членов и обеспечения устойчивого развития.
За время функционирования Союза произошли важные положительные экономические изменения и совместными усилиями преодолеваются препятствия на внутреннем рынке ЕАЭС.
Фаза становления Союза пройдена, но надо признать, что реальные темпы евразийской экономической интеграции могли бы быть выше.
В этой связи считаю важным обращать внимание не только на перспективные направления развития интеграции, но и одновременно работать над укреплением и наращиванием уже достигнутых успехов Союза.
И в этом направлении у нас накопилось достаточно вопросов – это свобода перемещения товаров и проблемы по устранению препятствий. 
В связи с этим, в целях реализации поставленной в нашей Стратегии задачи по устранению препятствий необходимо выработать действенный механизм автоматической отмены барьера при его выявлении и невозможности его повторного применения.
Особое внимание должно быть сфокусировано на качестве выполнения и сроках реализации договоренностей, исполнения права Союза, а также соблюдении сроков реализации запланированных мероприятий.
В особенности это касается реализации наших Стратегических направлений развития экономической интеграции до 2025 года.
Сегодня перед нами стоит задача не только вернуться к допандемийным темпам роста, но и обеспечить дальнейшее интенсивное развитие.
Последовательные интеграционные шаги будут требовать от нас больших усилий, решительности, политической воли, в особенности в нынешних реалиях.
Могу с уверенностью сказать, что Кыргызская Республика, придавая исключительно важное значение всестороннему сотрудничеству между нашими государствами, продолжит вносить свой вклад в дальнейшее развитие интеграционных процессов на пространстве Союза.
Уважаемые коллеги,
Скорость глобальных процессов, рост природных катаклизмов и потрясений, динамика изменения мировой экономики показывают, что в среднесрочной перспективе мы столкнемся с новыми реалиями изменения экономики, климата и общественного устройства.
Происходящие в последние годы процессы доказывают, что экономика – это уже не классическое понимание хозяйственных и производственных отношений, это новые отношения человека к окружающей среде и обществу.
Встраивание в нашу экономическую интеграцию новых направлений и взаимоотношений в рамках Союза укрепит наши позиции на международной арене в краткосрочной и долгосрочной перспективе.
Очевидно, что глобальные изменения на пути к низкоуглеродному производству будут существенно влиять на конкурентоспособность наших экономик.
И в данном ключе внешнеторговая, промышленная, налоговая политики наших стран должны быть своевременно адаптированы к предстоящим трансформациям.
Необходима выработка консолидированной позиции Союза в вопросах стремления к достижению низкоуглеродного развития наших экономик.
Со своей стороны, выражаем готовность предоставить площадку для обсуждения климатической повестки как в рамках Союза, так и во взаимодействии с другими региональными и универсальными международными организациями.
Уважаемые участники встречи, 
Важным на сегодняшний день вопросом дальнейшей интеграции остается формирование общих рынков газа, нефти и нефтепродуктов
Несомненно, данные вопросы напрямую влияют на обеспечение энергетической безопасности наших стран.
И одной из ключевых целей формирования общего рынка газа Союза является обеспечение потребностей газа государств-членов.
В связи с этим мы должны обеспечить своевременное начало функционирования общего рынка газа, и Кыргызская Республика выступает за принятие согласованного всеми странами проекта международного договора по газу в реальные сроки.
Уважаемые коллеги, 
Договором предусмотрено укрепление экономик государств-членов и обеспечение их гармоничного развития и сближения. В этой связи нам необходимо проработать реальные инструменты, направленные на создание сбалансированных условий развития.
Как вам известно, экономический кризис, связанный с распространением пандемии коронавируса, и принятие ограничительных мер оказали сильное влияние на экономику всего Союза.
Последствиями этого явились рост уровня бедности из-за падения доходов, безработица, а также, к большому сожалению, наблюдается еще более значительный разрыв между экономиками государств-членов Союза.
Для решения данной проблемы нам необходима системная и содержательная проработка механизмов и целевых программ по развитию догоняющих экономик государств-членов, направленных на сближение доходов населения и выравнивание наших экономик.
Кроме того, необходимо внедрять действенные механизмы создания устойчивых кооперационных проектов и локализации производства в целях решения вопросов импортозамещения исходя из специфики экономик государств-членов.
Считаю весьма важным усилить работу в данном направлении.
Уважаемые участники встречи, 
В последнее время мы постоянно сталкиваемся то с избытком, то с дефицитом продовольствия в наших странах. К сожалению, мы не имеем действенных механизмов и рычагов влияния на эти явления.
Сегодня каждая страна Союза устанавливает свои механизмы обеспечения продовольственной безопасности, что ведет к самостоятельному решению потенциальных угроз. Вместе с тем не учитываются возможности и потенциал ЕАЭС.
В этой связи предлагаю сконцентрировать внимание на решении задачи сбалансированного и предсказуемого поведения участников рынка для исключения манипуляций и скачков цен на чувствительные и базовые продовольственные товары.
В перспективе нужно принимать совместные практические меры гармонизации нормативной базы по вопросам защиты внутреннего рынка и импортозамещения для предотвращения возможного возникновения дефицита продовольственных товаров и обеспечения взаимодополняемости.
Это будет серьезным шагом к созданию условий для формирования согласованной, а в перспективе – к единой агропромышленной политики.
Уважаемые друзья! 
Достраивание Евразийского экономического союза – это «живой» сложный процесс, включающий различные сценарии и темпы движения в соответствии с национальными интересами государств – членов.
С момента создания наш Союз функционирует на фоне перемен в глобальной экономике и системе принятия глобальных решений, а также оказываемых мер экономического давления третьими странами на государства-члены Союза.
Масштаб экономических эффектов для государств Союза напрямую зависит от степени и глубины интеграционных процессов, тогда как недостаточная интеграция может создавать риски и спорные ситуации.
Наш Союз должен двигаться в направлении укрепления и углубления нашей интеграции!
Важно продолжать прилагать все усилия для сохранения стабильности и укрепления экономик наших стран. 
Благодарю за внимание!»</t>
  </si>
  <si>
    <t>https://www.president.kg/ru/news/21/13282</t>
  </si>
  <si>
    <t xml:space="preserve"> «Уважаемый Касым-Жоомарт Кемелевич!
Уважаемые участники заседания,
Позвольте приветствовать всех на завершающем в этом году заседании Высшего совета. 
Рад приветствовать сегодня нашего уважаемого Почетного Председателя ЕАЭС, Первого Президента Республики Казахстан Нурсултана Абишевича Назарбаева.
В сегодняшнем заседании также принимают участие главы государств-наблюдателей при Союзе, Республики Узбекистан и Республики Куба. Приветствую вас уважаемый Шавкат Миромонович и уважаемый Мигель Диас-Канель Бермудес.
В уходящем 2021 году, несмотря на имеющиеся ограничения и преграды, Союз уверенно шел вперед и показал активные темпы реализации стоящих перед нами задач.
В первую очередь хочу поблагодарить казахстанскую сторону за проведенный плодотворный год председательства, высокий уровень организации нашей работы и конструктивного взаимодействия в течение 2021 года.
Пользуясь случаем, позвольте от имени кыргызского народа и от себя лично от всей души поздравить уважаемого Касым-Жомарта Кемелевича и уважаемого Нурсултана Абишевича, с наступающей юбилейной датой — тридцатилетием Независимости Республики Казахстан, и пожелать процветания братскому народу Казахстана.
Уважаемые главы государств!
Совместными усилиями мы наращиваем темпы вакцинации против коронавируса, принимаем комплексные меры по борьбе с этим недугом. Очень надеюсь, что в следующем году сможем улучшить эпидемиологическую ситуацию и чаще проводить наши встречи в очном формате.
Между тем, возникающие новые штаммы коронавируса, такие как „Омикрон“, могут привести к новым угрозам и вызовам, включая риск возврата к прошлогоднему сценарию.
И это, конечно же, не может нас не беспокоить.
Уже сейчас мы получаем сигналы о возможном прекращении или ограничении сообщений между некоторыми странами, а в перспективе это вновь может привести к негативному положению дел как для людей, так и для экономик наших стран.
В данном контексте хочу подчеркнуть уже имеющийся у нас определенный опыт совместного реагирования и реализации мер противодействия санитарно-эпидемиологическим угрозам.
Тому доказательством является постепенная, но уверенная траектория восстановления экономической ситуации в наших странах.
К примеру, по итогам 9 месяцев текущего года наблюдается рост общесоюзного валового внутреннего продукта на 4,5 процентов, а также взаимной торговли на 32 процента. Однако это вовсе не означает, что все наши страны выйдут на допандемийный уровень.
Кыргызская Республика после прошлогоднего сокращения экономики на 8,9% ожидает ее увеличения к концу года всего на 3,2%. Вместе с тем уровень дефицита бюджета ожидается на уровне 1,3% от ВВП, а внешний долг будет оставаться высоким.
В связи с чем, в целях выхода на показатели допандемийного периода Комиссией совместно со странами Союза разработаны меры, направленные на обеспечение долговой устойчивости Кыргызстана, которые мы сегодня планируем утвердить.
Текущий кризис и его пагубное влияние на экономику всего Союза, включая повышение уровня бедности, сокращение рабочих мест и нарастание разрыва в развитии, безусловно, требуют особого внимания к вопросу устойчивого развития экономики нашего интеграционного объединения.
В этих целях нам необходимо совместными усилиями внедрять действенные механизмы поддержки реализации кооперационных проектов.
Создавать логистическую инфраструктуру и товаропроводящие системы, которые окажут положительное воздействие на увеличение объемов экспорта товаров и развитие наших экономик в целом.
Такие системы должны сопровождаться современными цифровыми сервисами в области торговли, транспорта, санитарного, ветеринарного и фитосанитарного регулирования, а также таможенного контроля.
При этом одним из обстоятельств, усиливающих влияние кризиса на экономики государств-членов, продолжает оставаться использование иностранной валюты во взаиморасчетах.
В условиях роста влияния внешних инфляционных факторов и в целях повышения конкурентоспособности наших экономик необходимо активнее использовать в расчетах национальные валюты.
В связи с этим Комиссии необходимо совместно с правительствами наших стран подготовить конкретные предложения по данному вопросу.
Уважаемые коллеги,
На повестке сегодняшнего заседания традиционно рассматриваются вопросы, которые придадут новый импульс развитию нашей интеграции.
Позвольте остановиться на некоторых из них.
Первое, рассматриваемый нами сегодня вопрос о реализации Стратегических направлений развития евразийской экономической интеграции дает понимание того, что есть необходимость ускорить процесс исполнения заложенных в Стратегию мероприятий.
К 2025 году необходимо выйти не только с количественным, а главное с качественным исполнением всего документа. Важно сконцентрироваться на тех мероприятиях, которые дадут максимальный мультипликативный интеграционный эффект.
К слову, хотелось бы акцентировать ваше внимание на представленных Комиссией цифрах в части реализации Стратегии-2025.
Из 84 мероприятий, запланированных на 2021 год реализовано 32, что составляет всего 38 процентов. Необходимо проанализировать причины такого пассивного выполнения намеченных планов.
В этой связи считаю важным обратить внимание Комиссии на необходимость усиления работы по своевременному выполнению Стратегии-2025.
Второе, проводимая нами работа по совершенствованию правовых основ Союза критически важна и должна учитывать не только реалии текущего положения дел, но и ориентироваться на перспективу.
Принимаемые сегодня Протокол о внесении изменений в Договор, Соглашение об осуществлении аудиторской деятельности это позитивный сигнал того, что Союз двигается вперед, открывая новые возможности и новые рынки.
Вместе с тем было бы хорошо также подумать и о повышении интенсивности нашей работы по заполнению правовых пробелов в праве Союза, особенно в сфере услуг.
Уважаемые коллеги, как вы знаете в Договоре расставлены четкие и понятные нормы о том, что государства-члены не будут вводить новые дискриминационные меры в отношении торговли услугами, учреждения и деятельности лиц других государств-членов по сравнению с режимом, действовавшим на дату вступления в силу Договора о Союзе.
Считаем, что этот базовый принцип, заложенный в основу функционирования свободного внутреннего рынка услуг, должен четко соблюдаться и контролироваться Комиссией.
Третье, необходимо усилить работу по созданию благоприятных условий для бизнеса Союза в части ведения внешнеэкономической деятельности, включая упрощение торговых процедур.
Подписываемые нами Соглашение об особенностях применения обеспечения исполнения обязанности по уплате пошлин при таможенном транзите и Соглашение о применении навигационных пломб — давно назревшие документы, которого ждут предприниматели всех государств Союза.
Рассчитываю, что внедрение таких инструментов снимет остроту проблематики перемещения товаров как на внутреннем рынке, так и внешней торговле Союза, подстегнув тем самым рост товарооборота, сократив существенным образом барьерную повестку.
Четвертое, немаловажной составляющей евразийской интеграции является единый рынок труда.
Важно продолжить работу по созданию условий для пребывания трудящихся на территории стран Союза.
Особенно в условиях текущей эпидемиологической ситуации наши трудящиеся граждане и члены их семей должны иметь полную гарантию социальной защиты на территории любого из государств-членов.
В частности, нам необходимо обеспечить им доступ как к системе обязательного медицинского страхования, так и к вакцинации, проводимой в наших странах.
Уважаемые друзья,
В следующем году исполнится 10 лет с начала работы Евразийской экономической комиссии.
Это знаковое событие необходимо использовать для достижения максимального эффекта от распространения идей Союза и его популяризации в обществе.
Предлагаем проводить масштабные информационные кампании и целевые мероприятия во всех государствах-членах.
На сегодняшнем заседании Высшего совета, после которого председательство в органах Союза перейдет Кыргызской Республике, хотел бы еще раз выразить особую признательность Касым-Жомарту Кемелевичу за плодотворную работу и настойчивость в решении многих краеугольных вопросов.
Перенимая эстафету председательства, Кыргызская Республика приложит максимум усилий не только в реализации текущей повестки Союза, но и расширении деятельности в новых направлениях.
Следующий год важно посвятить укреплению инвестиционного и кооперационного сотрудничества, развитию транспортных коридоров, расширению торгово-экономических связей с выходом на новые перспективные рынки.
Необходимо обратить особое внимание на климатическую повестку, внедрение зеленых технологий, реализацию проектов в сфере электронной коммерции, а также начать проработку совместных высокотехнологичных проектов, которые станут символами ЕАЭС.
В заключение хочу поздравить всех вас с наступающими новогодними праздниками и пожелать каждому из вас крепкого здоровья, благополучия и мира, а нашей евразийской интеграции новых достижений!».
</t>
  </si>
  <si>
    <t>https://president.kg/ru/news/all/13475</t>
  </si>
  <si>
    <t>«Препятствия на внутреннем рынке ЕАЭС остаются одной из наиболее актуальных тем встреч за последние 7 лет», - отметил Президент Кыргызской Республики Садыр Жапаров, председатель Высшего Евразийского экономического совета сегодня, 27 мая, на заседании ВЕЭС в формате видеоконференции.
 В своем выступлении Глава государства отметил:
«Уважаемые члены Высшего совета,
Уважаемые участники заседания,
 Позвольте вас приветствовать на первом в этом году заседании Высшего совета. 
Буквально недавно у нас состоялась встреча в очном формате на полях саммита ОДКБ в Москве (16 мая т.г.), в ходе которой обсудили актуальные вопросы региональной безопасности и в целом складывающуюся ситуацию мире.
Сегодня нам представляется возможность обсудить вопросы торгово-экономической повестки нашего интеграционного объединения.
Уважаемые главы государств,
В сегодняшнем заседании также принимает участие глава государства-наблюдателя при Союзе, Республики Узбекистан Шавкат Миромонович Мирзиёев.
Приветствую вас уважаемый Шавкат Миромонович.
Также выступит с видеообращением Президент Республики Куба - Мигель Марио Диас-Канель Бермудес.
В первую очередь, хочу отметить успешное проведение первого Евразийского Экономического Форума, который прошел у нас в Бишкеке накануне нашего заседания. В связи с этим хочу поблагодарить Михаила Владимировича Мясниковича, а также его команду за проведение этого мероприятия на высоком уровне.
Отдельные слова благодарности хочу выразить делегациям государств-членов ЕАЭС и других стран за активное участие в работе форума.
Позвольте также поздравить всех вас, уважаемые главы государств, Председателя Коллегии ЕЭК, уважаемого Михаила Владимировича Мясниковича, а также коллектив ЕЭК со знаменательной датой – 10-летием Евразийской экономической комиссии и пожелать больших успехов и дальнейшего плодотворного сотрудничества.
Уважаемые главы государств,
По итогам 2021 года приятно отметить в целом положительную динамику экономического развития нашего Союза.
Так по итогам 2021 года суммарный ВВП Союза вырос на 4,6%. Объем внешней торговли товарами Евразийского экономического союза со странами вне Союза за 2021 год составил 844,2 млрд долларов США. По сравнению с 2020 годом оборот увеличился на 35,1%. Внешнеторговый оборот доковидного 2019 года превышен на 14,7%, или на 108,4 млрд. долларов США.
Объем ВВП Кыргызстана превысил прогнозные показатели и по итогам 2021 года вырос на 3,6% в сравнении с 2020 годом. Объем внешнеторговых операций также вырос на 40,1% в сравнении с аналогичным периодом 2020 года.
Вселяют оптимизм на дальнейшее экономическое развитие показатели за 4 месяца 2022 года, по итогам которых рост ВВП составил 5,4%, экспортные операции со странами ЕАЭС в первом квартале 2022 года выросли на 23%, а импортные на 20,7% в сравнении с первым кварталом 2021 года.
Происходящие положительные изменения во взаимной торговле между нашими странами, наметившееся восстановление экономической активности и рост производства валового внутреннего продукта – все это говорит об эффективности тех мер, которые мы принимали в период пандемии.
Это касается обеспечения свободного перемещения товаров и взаимной поддержки, достижение этими мерами нивелирования последствий негативного влияния пандемии на экономику нашей интеграции. Союз показал свою устойчивость и способность преодолевать мировые кризисные явления.
Уважаемые коллеги,
Следует отметить, что сегодня мы столкнулись с новыми вызовами для нашего Союза. Нам необходимо доказать самим и всему миру о том, что наша интеграция, несмотря на искусственные преграды, может продолжать свое устойчивое поступательное развитие.
Кыргызстан как член Евразийского экономического союза осознает, что взаимоотношения в рамках Союза, развитие как всего интеграционного объединения, так и его отдельных членов, носит взаимодополняющий характер.
В условиях нынешних глобальных и региональных вызовов, имеющих негативные последствия для социально-экономического развития стран, все наши действия должны быть направлены на поддержку и помощь друг другу в таких ситуациях.
Наше развитие происходит в эпоху меняющейся геополитической и геоэкономической парадигмы. В условиях мировой экономической трансформации и влияния внешних негативных факторов нам необходимо консолидировать совместные усилия для обеспечения экономической и финансовой стабильности Союза.
Нам нужно изыскать внутренние резервы для устойчивого роста.
И, по-моему, они очевидны. Нам необходимо:
во-первых, обеспечить безбарьерное функционирование внутреннего рынка,
во-вторых, усилить работу по либерализации рынка услуг,
в-третьих, ускорить работу по завершению формирования общего финансового рынка,
в-четвертых, необходимо в кратчайшие сроки приступить к локализации производств, реализации кооперационных проектов на наших территориях в целях снижения зависимости от импортной продукции во всех отраслях экономики,
в-пятых, нам необходимо совместно развивать нашу транспортно-логистическую инфраструктуру.
Всецело поддерживаем выводы и рекомендации, сделанные в Основных направлениях макроэкономической политики государств-членов Евразийского экономического союза на 2022-2023 годы.
Хочу отметить, что эти рекомендации по формированию благоприятных условий для наращивания инвестиций в реальный сектор экономики, обеспечения поддержания макроэкономической и финансовой стабильности и устойчивости к внешним вызовам и рискам, развития научно-технического и производственного потенциала, а также продвижения товаров на экспорт в третьи страны в нынешних непростых внешних условиях не могут быть достигнуты исключительно нормативным правовым регулированием и применением инструментов фискальной поддержки и стимулирования.
Для этой цели важно обратить внимание на реализацию разделов 6 и 7 Стратегических направлений развития евразийской экономической интеграции до 2025 года для реального развития кооперации через ее финансовое стимулирование, изменение принципов функционирования существующих финансовых институтов, внедрения в них элементов институтов развития, запуск структур по проектированию развития и поддержки экономик.
Считаем, что такой подход позволит перейти к эффективной реализации тех решений, которые мы принимаем.
Уважаемые главы государств,
Сегодня мы обсудим ход реализации нашей Стратегии развития интеграции до 2025 года. Очевидно, что в целом, и государствами-членами, и Комиссией ведется определенная и по отдельным направлениям достаточно интенсивная и успешная работа.
Вместе с этим важно увидеть не только статистику, но и проблематику в реализации развития интеграции, почувствовать реальные возможности приближения к тем целям, которые мы все вместе заложили в будущую интеграцию.
Хотел бы предложить, чтобы проблемные вопросы реализации и требующие более оперативного решения Стратегических направлений отражались отдельным блоком в представленном важном документе.
Кроме того, нам нужно подумать об актуализации нашей Стратегии исходя, прежде всего, из новых реалий состояния мировой экономики, санкционных войн и нарушений в международной транспортно-логистической системе.
Уважаемые члены Высшего совета,
Развитие Евразийской интеграции непосредственно связано с продвижением экспорта товаров, техники и технологий Союза в третьи страны и выстраиванием отношений с новыми торговыми партнерами. А также, учитывая тенденцию многополярности мировой экономики, смещение центров экономической активности в Азиатский регион, нам необходимо, как было отмечено в моем обращении в связи с председательством Кыргызской Республики в органах ЕАЭС, активнее развивать международное торгово-экономическое сотрудничество со странами Юго-Восточной Азии, Ближнего Востока и Индо-Тихоокеанского региона, Северной Африки, а также Латиноамериканского континента.
В этой связи Кыргызская Республика всецело поддерживает выстраивание новой архитектуры международной торговли, в том числе в рамках Евразийского экономического союза.
Мы выступаем за создание зоны свободой торговли с Республикой Индонезия и продление срока действия зоны свободной торговли с Исламской Республикой Иран, расширение сотрудничества с другими государствами, которые определены в Основных направлениях международного сотрудничества.
Значительно важным аспектом финансовой стабильности государств-членов Евразийского экономического союза является переход на более предсказуемые и стабильные алгоритмы и формы расчетов в национальных валютах. Особенно это важно в условиях нынешних реалий ухудшения геополитической обстановки.
В этой связи использование национальных валют во взаимных расчетах за товары как один из факторов снижения давления импортируемой инфляции на национальную экономику, нивелирования рисков, связанных с волатильностью курсов иностранных валют.
Уважаемые главы государств,
Сегодня мы заслушаем информацию о результатах устранения препятствий на внутреннем рынке Союза в 2021 году профильного министра.
Препятствия на внутреннем рынке остаются одной из наиболее актуальных тем наших встреч за последние 7 лет. Зачастую барьеры вносят раскол в наши отношения и создают негативный имидж Союза. Считаю это недопустимым.
Для наглядности, уважаемые коллеги, хочу поделиться всего одним примером: итогами исследования по скорости доставки сельхозпродукции в Российскую Федерацию, проведенного Министерством экономики и коммерции Кыргызской Республики совместно с партнерами по развитию в 2021 году.
Данное исследование показало, что скорость доставки грузов из третьих стран в Российскую Федерацию, которые проходят несколько таможенных постов, существенно быстрее и дешевле, чем доставка грузов из Кыргызстана.
При этом, как вам известно, таможенный контроль на внутренних границах ЕАЭС был отменен.
Очевидно, что наличие барьеров не позволяет нашим странам в полной мере реализовать все цели и задачи интеграции, а также эффективно развиваться. Здесь у нас есть скрытые громадные ресурсы и резервы для развития наших экономик, как я отметил выше, и которые нам необходимо реализовать во имя наших стран и народов.
Уважаемые коллеги,
Хочу обратить внимание на вопросы продвижения идей Евразийства. Вчера этот вопрос обсуждался на нашем форуме в Бишкеке. Ни для кого не секрет, что идеи должны, в первую очередь, впитываться в молодое поколение, которое будет продолжать их продвигать. К сожалению, зачастую молодежь восприимчива к иным ценностям нехарактерным для наших народов.
Нам необходимо предоставить молодому поколению площадку для обсуждения и продвижения идей Евразийства и эффективности нашей интеграции.
Как вы знаете, сейчас в Комиссии обсуждается проведение Евразийского молодежного форума, который станет площадкой для взаимодействия и обмена опытом молодых экономистов, бизнесменов, ученых, финансистов, юристов и специалистов в других отраслях для обсуждения и продвижения идей Евразийства и эффективности нашей интеграции. Надеюсь, что такое решение будет принято в ближайшее время.
Уважаемые друзья!
Пользуясь случаем позвольте еще раз поздравить всех вас с десятилетием создания Евразийской экономической комиссии и наступающим Днем ЕАЭС, который мы сегодня планируем учредить, приуроченным к дате подписания Договора о ЕАЭС 29 мая 2014 года.
Желаю всем плодотворной и эффективной работы для сохранения стабильности и укрепления экономик наших стран!».</t>
  </si>
  <si>
    <t>https://eccis.org/news/23378/itogi_zasedanija_vysshego_evrazijskogo_ekonomicheskogo_soveta#1</t>
  </si>
  <si>
    <t xml:space="preserve">9 декабря </t>
  </si>
  <si>
    <t>«Уважаемые члены Высшего Евразийского экономического совета,
Уважаемый Абдулла Нигматович,
Уважаемый Сергей Николаевич,
Уважаемые участники заседания,
От имени кыргызского народа и себя лично приветствую вас на гостеприимной кыргызской земле. Мы очень рады видеть лидеров братских стран на родине небесных гор Ала-Тоо.
Добро пожаловать в Кыргызскую Республику!
Дорогие друзья,
Прежде всего хочу выразить вам слова благодарности за личное участие в заседании Высшего Совета и многогранную поддержку, которую мы получаем с начал текущего года в рамках кыргызского председательства в органах Союза.
Сегодня мы очередной раз собрались для обсуждения актуальных вопросов на евразийском пространстве. Мне вдвойне приятно, что наша встреча проходит в очном формате на кыргызской земле.
В ходе сегодняшнего заключительного заседания Высшего Евразийского экономического совета мы подводим итоги уходящего года, обсуждаем стратегически важные для дальнейшего развития нашего Союза вопросы.
Ситуация в государствах-членах ЕАЭС характеризуется относительной макроэкономической устойчивостью.
Достижение макроэкономической стабильности стало возможным благодаря принятию совместных мер по обеспечению экономической устойчивости.
Нам необходимо продолжить эту совместную работу по обеспечению нашего экономического процветания, определить новые меры и механизмы для выхода на опережающее развитие.
Уважаемые коллеги,
В результате совместных скоординированных мер по обеспечению продовольственной безопасности стран Союза, весной этого года нам удалось избежать дефицита продовольствия.
Важным шагом, предпринятым нами для удержания общей финансовой устойчивости, стали совместные меры по увеличению расчетов в национальных валютах при осуществлении взаимной торговли между нашими странами.
Так, рост взаимной торговли Кыргызской Республики со странами Союза увеличился за три квартала текущего года на тридцать процентов, а экспорт в страны Союза вырос более чем на сорок процентов.
Поступательное движение в этом направлении позволило перевести более чем семьдесят пять процентов взаимных расчетов на национальные валюты, а также обеспечить выход на валютные торговые площадки России.
Считаем, что в перспективе это позволит не только диверсифицировать наши валютные портфели, но и сократить давление импортируемой инфляции.
Кроме того, в обозримом будущем нам необходимо разработать институциональный механизм для квалифицированной разработки приоритетных кооперационных проектов и их равномерного нанесения на карту всей территории Союза.
Весомым вкладом в развитие этого направления сотрудничества и интеграции стало решение о создании Евразийской перестраховочной организации.
Думаю не ошибусь, если скажу, что старта практической деятельности данной структуры бизнесмены наших стран ждут с нетерпением.
В условиях торгово-экономической и финансовой волатильности в году нами были приняты более пятидесяти мер и решений, направленных на поддержку бизнеса в сферах таможенно-тарифного регулирования, внутреннего рынка и кооперации, финансовых и валютных рынков, международного экономического сотрудничества, обеспечение устойчивости экономик государств-членов и обеспечение продовольственной безопасности.
Также были подготовлены предложения и рекомендации, которые будут способствовать формированию благоприятной конкурентной среды для развития предпринимательства, раскрытия потенциала малого и среднего бизнеса, общего биржевого рынка товаров в рамках Союза, созданию в государствах-членах системы референтных лабораторий, применению «регулятивных песочниц» при реализации цифровых проектов Союза, активизации развития межрегионального торгово-экономического сотрудничества и развитию экспорта.
Уважаемые коллеги,
Текущий год для нашего Союза был весьма насыщенным на мероприятия международного характера.
В мае этого года мы успешно провели Первый Евразийский экономический форум, в работе которого приняли участие более двух тысяч человек - представителей международных институтов развития, международных организаций, бизнеса из более чем двадцати пяти государств-партнеров.
В августе текущего года на берегу озера Иссык-Куль мы провели Первый Молодежный форум СНГ и ЕАЭС «Келечек - Будущее».
Форум объединил более двухсот делегатов из числа молодых предпринимателей, государственных служащих, дипломатов и студентов из стран Евразийского экономического союза, Содружества Независимых Государств и более 15 государств-партнеров.
Проведение Молодежного форума заложило хорошую основу для распространения идеологии евразийской интеграции, концептуального донесения целей Союза в умы молодого поколения, которое в перспективе выступит локомотивом продвижения интеграционных процессов на евразийском пространстве.
Убежден, что ЕАЭС может многое сделать в укреплении гуманитарных связей между нашими странами. Наши народы тесно связаны общей историей, культурой, ценностями.
Думаю, что настало время для раскрытия потенциала в этой важной сфере.
Уважаемые главы государств,
В этом году мы продолжили активно развивать международный трек Евразийского экономического союза и расширять торговые отношения с нашими давними партнерами.
Вступил в силу Протокол, ведущий к образованию зоны свободной торговли с Исламской Республикой Иран.
Начат процесс переговоров с Республикой Индонезия о заключении соглашения о зоне свободной торговли.
Поддержана инициатива о начале переговоров с Объединенными Арабскими Эмиратами о создании зоны свободной торговли.
Меня очень радует, что география интереса к деятельности нашего Союза расширяется. Расцениваю это в качестве наглядного показателя признания ЕАЭС, как динамично развивающейся организации в мировой экономической архитектуре.
В условиях смещения глобального полюса финансово-экономической концентрации в Азию, нам следует продолжить уделять приоритетное внимание именно этому региону.
Отрадно, что сегодня мы утвердим основные направления международной деятельности на 2023 год, в котором отражены ключевые векторы и практические приоритеты международной деятельности Союза в будущем году.
Уважаемые коллеги,
Повестка нашего Союза обширна и в полной мере отвечает реалиям современного времени.
В октябре этого года принят Первый пакет мероприятий по сотрудничеству государств-членов в рамках климатической повестки. В рамках реализации этой Дорожной карты планируется формирование Банка климатических технологий и цифровых инициатив, а также разработка национальных, межгосударственных стандартов в сфере низкоуглеродных технологий.
Кроме того, принято решение о запуске пилотного проекта по внедрению механизма прослеживаемости товаров, ввезенных на таможенную территорию Союза.
В настоящее время завершается тестирование проекта и планируется начать проведение пилота по использованию навигационных пломб не только в отношении импортируемых товаров из третьих стран, но и в отношении товаров, перемещаемых во взаимной торговле.
Уверен, что использование таких инструментов и механизмов снимет озабоченности государственных органов стран Союза по вопросам нелегального товарооборота при осуществлении взаимной и внешней торговли.
Хочу отметить большую работу по либерализации рынка услуг.
При работе над либерализацией рынка услуг необходимо проработать сокращение необоснованных лицензионных и разрешительных требований для нашего бизнеса.
Уважаемые члены Высшего совета,
Хочу отдельно отметить высокий уровень отдачи и работы всех органов Союза, в том числе по реализации Стратегических направлений развития евразийской экономической интеграции до две тысячи двадцать пятого года.
Многие из приоритетов и инициатив, обозначенных в моем обращении в рамках председательства в начале этого года, получили хороший старт к развитию и, я надеюсь, будут успешно продолжены в будущем.
Уверен, что при нашей твердой приверженности Евразийской интеграции, едином стремлении облегчить жизнь наших граждан, мы достигнем новых горизонтов в деле обеспечения беспрепятственного перемещения товаров, услуг, капитала и людей.
Хочу поблагодарить Комиссию и правительства государств-членов за слаженную и целенаправленную работу по широкому спектру повестки Союза.
В завершение года председательства Кыргызской Республики в органах Евразийского экономического союза, хочу пожелать Российской Федерации, перенимающей эстафету председательства успехов в ответственной миссии по развитию интеграции, продвижению Евразийского экономического союза в мировой экономике.
Пользуясь случаем хочу пожелать братской российской стороне успешного председательства в органах Союза в будущем году и выразить готовность кыргызской стороны оказывать всестороннее содействие для этой ответственной деятельности.
Благодарю за внимание!».</t>
  </si>
  <si>
    <t>https://kyrtag.kg/ru/news/vystuplenie-prezident-sadyr-zhaparov-na-zasedanii-vees-v-rasshirennom-formate</t>
  </si>
  <si>
    <t xml:space="preserve"> Уважаемые главы государств! Уважаемые участники заседания!
Позвольте вас всех поприветствовать в Москве и поблагодарить уважаемого Владимира Владимировича за тёплый приём и высокий уровень организации нашей работы.
Буквально недавно мы встречались в Москве по случаю священного праздника – Дня Великой Победы, сегодня мы встречаемся по случаю первого в этом году заседания Высшего Евразийского экономического совета и второго Евразийского экономического форума.
Старт Евразийскому экономическому форуму как новой диалоговой площадке для обсуждения актуальных вопросов евразийской интеграции и перспектив её развития был дан ровно год назад в Бишкеке. Тогда я выразил надежду, что этот формат станет успешным и займёт своё достойное место на международной арене.
Вчера мы стали свидетелями расширения географии участников форума, конструктивного обмена мнениями, живого диалога. Убеждён, что мы движемся в правильном направлении. Не сомневаюсь, что результатом работы форума станут новые совместные подходы к дальнейшему развитию евразийской интеграции.
Уважаемые коллеги!
Современная политическая и экономическая турбулентность рождает новые вызовы и испытывает на прочность не только страны, но и интеграционные объединения, и наш Союз в этом смысле не является исключением. Тем не менее в условиях негативного влияния внешних факторов нам удаётся совместными усилиями поддерживать достаточную экономическую активность.
Так, по итогам первого квартала текущего года объём продукции сельского хозяйства в Союзе вырос почти на три процента, объём выполнения строительных работ увеличился на девять процентов, а инвестиции в основной капитал выросли на 4,3 процента. В январе – апреле текущего года объём валового внутреннего продукта Киргизской Республики увеличился на 4,4 процента, а объём промышленного производства – на 4,6 процента. Внешняя торговля Кыргызстана за январь – март 2023 года выросла на 25,4 процента.
Благодаря слаженной работе и взаимодействию наших стран нам удаётся успешно продвигать интеграционную повестку в рамках нашего Союза. Проделана огромная аналитическая и прикладная работа для реализации стратегических направлений евразийской экономической интеграции до 2025 года. Считаю необходимым перевести имеющиеся наработки и выводы аналитических докладов в практическую плоскость. Некоторые из них должны найти своё отражение в новой стратегии интеграционного взаимодействия на период до 2030-го и 2045 годов.
Уважаемые главы государств!
Сегодня мы закладываем прочную основу для развития промышленной кооперации и импортозамещения. Подписание Протокола о внесении изменений в Союзный договор в части оказания финансового содействия совместным кооперационным проектам в отраслях промышленности позволит увеличить объёмы совместного производства, стимулировать рост инвестиций и создать дополнительные рабочие места. Мы должны и далее расширять создаваемый механизм финансового содействия с использованием стабильных источников финансирования, в том числе за счёт поступлений от ввозных таможенных пошлин.
Данный инструмент может быть использован для поддержки в реализации кооперационных проектов и в других сферах экономики, например в агропромышленности, транспортной и логистической инфраструктуре, инновациях и энергетике.
В сфере транспортно-логистической инфраструктуры хочу акцентировать внимание на необходимости развития новой инфраструктуры транспортных коридоров, в частности по направлениям Север – Юг и Восток – Запад.
В прошлом году был утверждён перечень приоритетных инфраструктурных интеграционных проектов в сфере транспорта. Необходимо активизировать работу по расширению данного перечня с учётом долгосрочных перспектив, а также создавать условия для их успешной реализации, в том числе в части их финансирования.
При этом предлагаю обратить особое внимание на обеспечение доступа к транспортным коридорам для стран ЕАЭС, не имеющих выхода к морю.
В то же время для увеличения скорости доставки товаров считаю важным создание экосистемы мультимодальных перевозок с оцифровкой всех товаротранспортных сопроводительных документов.
Уважаемые коллеги!
Текущий геоэкономический миропорядок требует от нас внедрения эффективных решений для поддержания и увеличения объёмов взаимной и внешней торговли. Одним из таких решений является минимизация контрольных мероприятий на внутренних границах ЕАЭС и повышение прозрачности регулирования.
В этих целях подписано и вступило в силу Соглашение о применении навигационных пломб в Союзе, которое также позволит исключить риски незаконного перемещения товаров и повысить транзитную привлекательность государств – членов ЕАЭС.
Успех реализации данного соглашения будет измеряться по мере достижения заложенных в нём целей, включая создание благоприятных условий для добросовестного бизнеса, исключение излишних барьеров и бюрократии при проведении контрольных мероприятий. Выражаю надежду, что правительства нашей «пятёрки» приложат максимальные усилия для достижения указанной цели.
Уважаемые главы государств!
Мы переживаем непростое время и неопределённую внешнеэкономическую конъюнктуру. Это время не только перемен, но и взаимоподдержки и взаимодополнения, а не создания секторальных препятствий, тем более барьеров.
Прошлый год показал, насколько мы сможем сплотиться в сложной ситуации для достижения общих целей. Доказательством этому служат принятые нами совместные меры для сохранения макроэкономической стабильности. Как говорят, легче предупредить, чем лечить. Легко закрываться друг от друга, потом сложно открываться.
Считаю необходимым усилить взаимодействие государственных органов наших стран путём обмена опытом и необходимой информацией. В то же время Комиссия должна содействовать госорганам в выявлении и профилактике препятствий в тех сферах, где применяется единое регулирование, а также проведении работы по усилению потенциала национальных служб и органов. Полагаю, что такой подход снизит уровень барьерного накала.
Важнейшим направлением на пути создания благоприятных условий в рамках обеспечения четырёх свобод в Союзе является сфера миграции. Считаю, что трудящиеся граждане наших стран должны иметь облегчённые условия для реализации своих трудовых прав на территории любого из государств – членов Союза.
Современные технологии позволяют значительно упростить прохождение нашими гражданами требуемые административные процедуры в государстве трудоустройства. Необходимо предоставить возможность гражданам выполнять действия, требуемые при трудоустройстве в другой стране, в электронном формате, в том числе и находясь в стране своей гражданской принадлежности.
В качестве первого шага предлагается проработать возможность признания результатов медосмотра трудящегося, который пройден в стране выезда, для пребывания в Российской Федерации по аналогии с приложением «Путешествую без COVID-19». Можно расширить его функционал и использовать для новых потребностей.
Уважаемые участники заседания, завершая своё выступление, хочу поблагодарить всех вас за конструктивную работу и пожелать российской стороне и лично Владимиру Владимировичу успешного проведения года российского председательства в органах Союза.
В преддверии дня Евразийского экономического союза, который мы будем отмечать 29 мая, хочу отметить, что Евразийский экономический союз продолжает демонстрировать свою эффективность и умение находить компромиссные решения. Нам, как главам государств Союза, остаётся развивать и укреплять наше объединение во благо наших государств и народов.
Благодарю за внимание!</t>
  </si>
  <si>
    <t xml:space="preserve">«Уважаемые Главы государств,
Уважаемые участники заседания,
Позвольте сердечно приветствовать всех участников заседания Высшего Евразийского экономического совета. 
Выражаю искреннюю признательность российской стороне и лично уважаемому Президенту России Владимиру Путину за высокую организацию сегодняшней встречи и возможность обменяться мнениями по весьма актуальным и важным вопросам функционирования и развития нашего Союза.
Уважаемые коллеги, 
Несмотря на значительное усиление негативного влияния глобальных геоэкономических вызовов, меняющихся условий мировой торговли, в уходящем году нам удалось обеспечить дальнейшую интеграцию Союза практически по всем направлениям нашей деятельности.
Благодаря совместным усилиям мы обеспечили макроэкономическую стабильность и устойчивость финансовых систем. Экономика Союза успешно адаптировалась к новым условиям и вышла на устойчивую траекторию роста. 
Продолжается совместная работа по укреплению продовольственной безопасности Союза и развитию собственного производственного потенциала. 
Активизируется кооперационное сотрудничество между производителями государств – членов ЕАЭС. Удельный вес кооперационных товаров в общем объеме взаимной торговли вырос до 38% в 2022 году.
Поэтапно увеличивается доля национальных валют во взаимной торговле.
Активными темпами развивается электронная торговля, так общий объём рынков электронной торговли государств – членов Союза за 2022 год составил около 80 млрд долларов США. При этом доля электронной торговли в общем объеме розницы варьируется от 2% до 12,5% в зависимости от страны.
Вместе с тем, прогнозы по экономическому развитию в мире не очень оптимистичны. Ожидается резкое снижение темпов роста и рецессии и в последующих годах. На фоне жесткой мировой финансовой конъюнктуры и пониженного уровня внешнего спроса будет усиливаться инфляционное давление. 
Уважаемые Главы государств, 
Несмотря на достигнутые результаты нам необходимо продолжить совместную работу по углублению интеграционных процессов в нашем Союзе. 
Стремительно изменяющиеся глобальные тренды и вызовы диктуют необходимость скорейшей подготовки и принятия стратегического документа долгосрочного развития Союза. 
Сегодня в узком составе нашего заседания помимо обсуждения актуальных вопросов сотрудничества мы с вами рассмотрели проект Декларации «О дальнейшем развитии экономических процессов в рамках ЕАЭС до 2030 года и на период до 2045 года». 
При разработке дорожной карты по реализации данной Декларации, считаю важным тщательно подойти к вопросам обеспечения основополагающих принципов функционирования ЕАЭС, а именно в части обеспечения свободы передвижения товаров, рабочей силы, услуг и капитала. 
В этом направлении необходимо рассмотреть возможность разработки и внедрения механизмов однозначного толкования и реализации принципа свободы перемещения товаров в рамках взаимной торговли внутри Союза. 
Контролирующие органы должны четко понимать, что самый ценный ресурс у бизнеса — это время. В связи с чем, мы должны исключить на уровне основополагающих документов все нормативные пробелы и возможность применения скрытых видов контроля, не предусмотренных правом Союза. 
В целях исключения необоснованных контрольно-досмотровых мероприятий и ускорения прохождения грузов на границе при взаимной торговле ратифицировано и уже вступило в силу Соглашение о применении навигационных пломб в ЕАЭС. В связи с чем, считаю необходимым ускорить практическую реализацию норм Соглашения и перейти к полноценному применению навигационных пломб согласно этапам внедрения.     
Параллельно с этим нам нужно полноценно запустить систему прослеживаемости и маркировки товаров Союза, чтобы минимизировать излишнее вмешательство контролирующих органов в деятельность участников ВЭД при перемещении товаров внутри Союза.
Уважаемые друзья,
Мировая экономика проходит этап масштабной трансформации. Под воздействием ограничительных мер и возросшим уровнем развития и потребления в восточных странах меняется география торговых потоков.  
В этих условиях серьезно растет роль автомобильных перевозок. Самым быстрым и гибким инструментом освоения новых транспортных коридоров остается автомобильный транспорт. 
Вместе с тем, следует отметить, что по некоторым направлениям транспортных потоков увеличивается время прохождения контрольных мероприятий на границе. Существующая инфраструктура отдельных пунктов пропуска не позволяет обработать возросший объём грузовых перевозок.
Для разрешения проблем «бутылочных горлышек» нам необходимо расширять пропускную способность пунктов пропуска не только на внешней границе Союза, но и на внутренних границах.
Видится целесообразным также принятие совместных мер по развитию транспортной инфраструктуры и логистики внутри Союза. 
Предлагаю внедрить количественные и качественные индикаторы эффективности работы пунктов пропуска на внутреннем периметре, включая совместное рассмотрение вопросов развития и увеличения пропускной способности пунктов пропуска на основных транспортных коридорах, проходящих через наши внутренние границы.
В частности, предлагаю рассмотреть вопрос реконструкции и увеличения пропускной способности внутренних пунктов пропуска между государствами членами ЕАЭС.
Уважаемые коллеги,
Важным видится активизация сотрудничества в сфере реализации цифровых проектов в фискальной сфере. 
В данном направлении в целях повышения прозрачности и подотчетности налоговых и таможенных органов в Кыргызской Республике проведен ряд реформ по цифровизации фискальных процедур. 
Внедрены контрольно-кассовые аппараты, работающие в онлайн режиме, внедрены электронные счета фактуры и товарно-транспортная накладная в электронном виде. 
Начата обработка больших данных, аккумулируемых в государственных реестрах и в базах данных. 
Вместе с тем, ввиду разного уровня цифровизации в государствах – членах актуальным остаётся вопрос перехода к единым форматам и структурам электронных товарно-сопроводительных документов. 
В этой связи, в рамках реализации «Цифровой повестки ЕАЭС» предлагается наладить передачу накопленного опыта, готовых решений и технологий между государствами - членами для выравнивания цифрового разрыва между странами.
В интересах обеспечения должного уровня доверия при информационном взаимодействии полагали бы необходимым оперативно ввести в эксплуатацию все элементы трансграничного пространства доверия, обеспечить работу интегрированной информационной системы на новой запущенной в этом году защищенной сети передачи данных и ввести в действие общие процессы с применением электронной цифровой подписи.
Уважаемые друзья, 
Мы сделали большой шаг в развитии инструментов финансирования совместных кооперационных проектов. 
В рамках пилотного проекта планируется апробировать процедуру отбора, структурирования и финансирования инвестиционных проектов со стороны Комиссии и институтов развития.
Вместе с тем, необходимо отметить, что на сегодняшний день сохраняется крен в сторону промышленно развитых стран в части имеющегося потенциала и наработанного опыта в реализации кооперационных проектов. 
В связи с чем, параллельно с финансовыми механизмами поддержки кооперационных проектов, целесообразно предусмотреть эффективные механизмы по повышению потенциала институтов развития стран с малой экономикой в части подготовки и отбора проектов. 
Предлагаем рассмотреть возможность выработки дополнительных критериев, увеличивающих перспективы участия стран с малой экономикой в ключевых кооперационных проектах, создающих цепочку добавленной стоимости и локализации производств с высокой потребностью в квалифицированной рабочей силе.  
Уважаемые коллеги, 
Отдельного внимания требует вопрос дальнейшего развития единого рынка труда. Достичь высоких темпов экономического роста, развития высокотехнологичных производств невозможно без укрепления и развития трудового потенциала наших стран. 
В настоящее время на рынке труда происходят существенные изменения, которые требуют от нас оперативности в адаптации к новым условиям. 
Развитие технологий приводит к появлению новых гибких форм занятости, таких как самозанятость, платформенная и дистанционная работа. 
Эти формы занятости приобретают все большую популярность и развиваются быстрее, чем нормативная база Союза, что может создать препятствия для работников и работодателей. 
Заложенное в Договоре о ЕАЭС определение «трудящегося» как работника, имеющего трудовой или гражданско-правовой договор на выполнение работ, уже не отвечает современным реалиям. 
В этой связи предлагаем расширить понятие «трудящегося» включив в него и другие категории лиц, осуществляющих трудовую деятельность на территории государств ЕАЭС, таких как самозанятые, дистанционные и платформенные работники.
Уважаемые друзья, 
Как вы знаете, с мая 2022 года в Евразийском экономическом союзе функционирует Евразийский сетевой университет, который создан по инициативе кыргызской стороны и ВУЗов государств – членов ЕАЭС в форме консорциума. 
За короткое время им удалось существенно продвинуться. Консорциумом Евразийского сетевого университета были разработаны модельная магистерская программа, а также программа дополнительной профессиональной подготовки, по которым пройдут обучения граждане наших стран. 
Настало время уделить достаточное внимание развитию среднего профессионального образования в ЕАЭС. 
Именно образование и подготовка кадров по среднетехническим специальностям сейчас как никогда востребована на рынке труда нашего Союза. 
Предлагаю Евразийской экономической комиссии всячески содействовать работе этих организаций и по возможности оказать посильную организационно-протокольную поддержку в продвижении их инициатив.
Уважаемые коллеги, 
В заключение, хочу поблагодарить уважаемого Михаила Мясниковича за эффективную деятельность и большой профессионализм за период работы на должности Председателя Коллегии Комиссии, а также поздравить Бакытжана Сагинтаева в связи с выдвижением на эту ответственную должность и пожелать всяческих успехов.
Также поздравляю и желаю успешной работы новому составу Коллегии Комиссии и Суда ЕАЭС.
Позвольте поздравить российскую сторону и лично Президента Российской Федерации Владимира Путина с успешным проведением года российского председательства в органах Союза.
Также хотел бы поблагодарить всех глав государств и участников заседания за конструктивную работу.
С учетом приближающегося Нового года примите, уважаемые друзья, также сердечные поздравления с этим светлым праздником и искренние пожелания доброго здоровья и благополучия, мира и стабильности, удачи и успехов всем вам в 2024 году!
Благодарю за внимание».
</t>
  </si>
  <si>
    <t>https://www.president.kg/ru/news/21/25045</t>
  </si>
  <si>
    <t>https://president.kg/ru/news/21/26340</t>
  </si>
  <si>
    <t>Уважаемый Никол Воваевич! Уважаемые главы государств! Дорогие участники заседания!
Позвольте сердечно поприветствовать всех участников заседания Высшего Евразийского экономического совета, который проходит в канун нашего общего праздника – 79-й годовщины Победы в Великой Отечественной войне.
В этой связи хочу поздравить наших граждан с праздником Победы, которую нам дали наши отцы и деды, отважно воевавшие на фронте, наши матери, самоотверженно трудившиеся в тылу и воевавшие на фронте наравне с мужчинами. Их героические подвиги во имя мирной и счастливой жизни мы свято храним в наших сердцах.
Пользуясь приятной возможностью, уважаемый Владимир Владимирович, хочу от имени народа Кыргызстана и от себя лично сердечно поздравить Вас с официальным вступлением в должность Президента Российской Федерации. Ваша убедительная победа на прошедших президентских выборах является ярким свидетельством высокого признания и поддержки российским народом Вашей мудрой политики и самоотверженного труда по укреплению государственного суверенитета, по улучшению благосостояния населения, проведению самостоятельной, независимой и открытой внешней политики Российского государства.
Также выражаю искреннюю признательность нашим российским друзьям за традиционное гостеприимство и высокую организацию сегодняшней встречи.
Пользуясь случаем, хочу пожелать уважаемому Николу Воваевичу, Премьер-министру Республики Армения, успешного проведения года председательства и поздравить всех моих коллег с 10-летием подписания Договора о Евразийском экономическом союзе от 29 марта 2014 года.
Уважаемые коллеги!
За 10 лет своего существования Евразийский экономический союз состоялся как одно из ключевых региональных объединений, способных поддерживать и развивать экономическую интеграцию во имя стабильности экономик государств-членов и роста благосостояния их граждан. Многие согласятся со мной: находясь в одном союзе, мы смогли сохранить макроэкономическую стабильность, обеспечить продовольственную и энергетическую безопасность в регионе, снизить уровень безработицы, поддерживать устойчивый рост производства и выходить на новые рынки сбыта. Это подтверждается статистическими данными.
Экономика союза в прошлом году показала уверенный рост. По итогам 2023 года рост внутреннего валового продукта составил 3,8 процента, при этом промышленное производство выросло на 3,7 процента. Были выполнены строительные работы с ростом на 8,6 процента, оборот розничной торговли вырос на 6,6 процента, инвестиции в основной капитал в наших странах выросли на 10,3 процента.
ВВП Киргизской Республики по итогам прошлого года вырос на 6,2 процента, преодолел исторический рубеж, составив почти 1,3 триллиона сомов, а по итогам первого квартала текущего года рост ВВП составил 8,8 процента.
Президент Киргизии Садыр Жапаров на заседании Высшего Евразийского экономического совета в расширенном составе.
Президент Киргизии Садыр Жапаров на заседании Высшего Евразийского экономического совета в расширенном составе.
Киргизская Республика ощущает позитивный эффект от интеграции и увеличения внешней торговли. С момента вступления в союз и по 2023 год внешнеторговый оборот Киргизской Республики вырос с 5,6 миллиарда долларов до 15,7 миллиарда долларов, увеличившись в 2,8 раза. При этом объёмы экспорта выросли в 2,2 раза, а импорт увеличился в 2,9 раза.
Дальнейшее развитие евразийской экономической интеграции, в том числе создание единого рынка товаров, услуг без барьеров и изъятий, общих рынков энергоносителей, обеспечение свободы перемещения трудовых ресурсов, без сомнения, были и остаются приоритетными направлениями для Киргизской Республики. Мы намерены и дальше продолжать активную работу по укреплению равноправных, взаимовыгодных и дружественных отношений между государствами – членами союза.
Уважаемые коллеги!
Взаимная торговля между государствами-членами продолжает активно развиваться. За годы участия Киргизской Республики в союзе взаимная торговля с государствами-членами выросла на 76 процентов – с 2,5 миллиарда долларов до 4,4 миллиарда долларов. Экспорт Киргизской Республики в страны ЕАЭС увеличился в три раза – с 410 миллиарда долларов до 1,23 миллиарда долларов, а объём импорта вырос более чем на 50 процентов – с двух миллиардов долларов до трёх миллиардов долларов.
Хочу отметить, что весь бизнес настроен на дальнейшую интеграцию. Он не только адаптировался к новым условиям, но и вносит существенный вклад в интеграционную повестку, в развитие и поддержание экономической активности между нашими странами и во внешнем контуре.
Объёмы экспорта Киргизской Республики в страны ЕАЭС остаются высокими: без учёта экспорта золота 80 процентов нашего экспорта направляется в страны ЕАЭС. При этом в структуре экспорта Киргизской Республики растет объём товаров с более высокой добавленной стоимостью, таких как текстиль, одежда, обувь, изделия из пластмассы и камня. Наряду с этим хочу отметить, что взаимная торговля Киргизской Республики кооперационными товарами со странами ЕАЭС также имеет тенденцию роста и по итогам девяти месяцев 2023 года выросла на 34,8 процента. Считаю, что данные показатели являются зримым отражением поступательного развития сотрудничества и углубления интеграционных связей между нашими государствами.
Уважаемые друзья!
Ситуация на международной арене остаётся сложной, и мы продолжаем находиться в процессе масштабной трансформации, обусловленной внешними неблагоприятными факторами. На фоне серьёзных отклонений функционирования глобальной торговой системы происходит смещение экономической активности с запада на восток, с севера на юг. В этой связи возникает необходимость выстраивания необходимой финансовой, логистической и товаропроводящей инфраструктуры, отвечающей современным требованиям. Это, несомненно, требует значительных инвестиций и неординарных подходов, а главное, совместных и согласованных действий в поиске альтернативных цепочек поставок. В этом смысле хотел бы подчеркнуть особую важность сопряжения ЕАЭС и китайской инициативы «Один пояс, один путь». Киргизская Республика также прилагает большие усилия для повышения транспортной связанности государств-членов, с учётом в том числе развития транспортного коридора «Север–Юг».
В активной фазе находятся проектные работы по строительству железной дороги Китай – Кыргызстан – Узбекистан. Достигнуты договорённости по открытию новых и расширению пропускной способности действующих пунктов пропуска с Китайской Народной Республикой. Кроме этого полностью обеспечено обустройство и материально-техническое оснащение всех 14 пунктов пропуска Киргизской Республики на таможенной границе союза. Обязательства Киргизской Республики, взятые при вступлении в ЕАЭС, выполнены в полном объёме.
Пользуясь случаем, хочу выразить благодарность российской стороне и лично Президенту Российской Федерации, уважаемому Владимиру Владимировичу Путину, за оказанную материально-техническую помощь. Координация усилий глав государств-членов по совместному развитию транспортно-логистической и цифровой инфраструктуры на международных транспортных коридорах становится значимым ресурсом интеграции.
Нам необходимо усилить работу внутри союза и с третьими странами по снятию инфраструктурных ограничений, законодательных барьеров, синхронизации работы контролирующих органов, с тем чтобы обеспечить быстрые перевозки посредством цифровых платформ. В этом плане призываю стороны и Комиссию активно работать над внедрением электронных товаросопроводительных документов, в том числе при осуществлении мультимодальных перевозок. Современные цифровые решения должны стать основным локомотивом в обеспечении быстрого и эффективного таможенного и налогового администрирования. При этом предлагаем проработать механизмы передачи готовых платформенных решений между странами ЕАЭС в рамках реализации цифровой повестки или на основе двусторонних договорённостей между странами.
Уважаемые коллеги, хотел бы подчеркнуть необходимость максимального использования потенциала союза и принятия совместных мер по повышению уровня взаимного сотрудничества между нашими странами. Нам необходимо создать пространство доверия не на бумаге, а на деле. Усилия по созданию благоприятных условий и сокращению административных издержек на пути передвижения товаров должны носить постоянный и неустанный характер.
Наряду с этим ещё одним из ограничивающих факторов в развитии взаимной и внешней торговли ЕАЭС стали всё чаще проявляющиеся сложности в осуществлении расчётов, возникающие вследствие оказания давления извне на финансовые системы наших стран. Нам нужно работать над укреплением финансовой инфраструктуры, которая могла бы обеспечивать и поддерживать потребности участников рынка ЕАЭС при осуществлении торгово-экономического взаимодействия.
Уважаемые главы государств!
2024 год является решающим годом выработки стратегических направлений развития Евразийской экономической интеграции до 2025 года. Обозначенные нами приоритеты в рамках Стратегии-2025 не должны сводиться к подготовке и принятию докладов и рекомендаций. Если есть приоритетные задачи, то по ним должны быть приняты конкретные решения.
В прошлом году нами принято решение о финансировании кооперационных проектов. Считаю, что практический запуск данного механизма должен оправдать наши ожидания в части наращивания инвестиционного сотрудничества, поддержки и стимулирования наукоёмких производств и промышленных мощностей, а также для трансфера технологий. Данный механизм должен содействовать повышению конкурентоспособности кооперационных товаров союза и их дальнейшему выходу на внешние рынки. Параллельно предлагаю вести работу по совершенствованию механизма финансирования и на другие приоритетные сектора экономики.
Хотел бы отметить несколько моментов в части развития торговли и экспорта.
Первое – в конце 2023 года запущена работа Евразийской перестраховочной компании, которая посредством перестрахования рисков должна оказывать поддержку в развитии взаимной и внешней торговли союза. Компания должна ускорить работу по налаживанию взаимодействия с национальными системами торгового страхования, с тем чтобы они скорее начали использовать дополнительную страховую ёмкость.
Второе, что касается внешнего контура, – хотел бы отметить необходимость продолжения работы по формированию преференциальных торговых режимов с заинтересованными странами на взаимовыгодных для всех сторон условиях.
Сегодня мы рассмотрели вопрос о начале переговоров с Монголией о заключении временного торгового соглашения. Прошу Комиссию обратить особое внимание на ключевые положения будущего соглашения преференциального характера и отраслевого сотрудничества. Важно в переговорном процессе учитывать интересы государств – членов ЕАЭС, в которых превалируют средние и малые экспортёры товаров и услуг.
Третье – в свете динамично растущего потребительского спроса на азиатских рынках считаю, что потенциал торговли продовольственными товарами с Китаем остаётся далеко не раскрытым. С учётом сложных процедур допуска сельскохозяйственной продукции на рынки Китая Евразийской экономической комиссии необходимо усилить работу в этом направлении.
Уважаемые коллеги!
Традиционно сфера услуг занимает значительную долю в экономике наших стран. Считаю, что пришло время подумать над расширением рынка услуг ЕАЭС, в первую очередь услуг, связанных с торговлей финансовыми, информационными услугами, креативными видами деятельности, туризма, образования и медицины. Предприниматели наших стран должны на деле ощутить стимулы и нашу поддержку в этих сферах. Предлагаю Комиссии провести анализ существующих возможностей в данном направлении.
Глобальный рынок труда испытывает дефицит квалифицированных трудовых ресурсов. Не стал исключением единый рынок труда ЕАЭС. Экономикам стран ЕАЭС требуются квалифицированные работники, способные производить конкурентоспособные товары и оказывать качественные услуги.
Технологический прогресс, цифровизация экономики требуют от участников рынка труда новых знаний и компетенций, которые способствуют созданию добавленной стоимости и повышению производительности труда.
Считаю, что нашим странам нужно развивать активное сотрудничество в сфере подготовки кадров. Нам необходимо рассмотреть возможность создания совместных центров компетенций, на площадке которых мы можем объединить наши усилия по поиску новых знаний и их трансферов.
Мобильность трудовых ресурсов и привлекательность рынка труда во многом зависят от миграционной политики, проводимой странами, поэтому при разработке национальных законодательных актов, регулирующих трудовую миграцию в наших странах, необходим очень выверенный и взвешенный подход.
Для Кыргызской Республики вопросы мобильности трудящихся носят принципиально важный характер, в связи с чем призываем не допускать нарушения или ухудшения положений Договора о ЕАЭС. Нельзя допустить нанесения серьёзного урона имиджу нашего объединения. Нужно укреплять доверие наших граждан и продолжать работу по формированию единого рынка труда.
Уважаемые коллеги!
В завершение хочу пожелать армянской стороне и лично Премьер-министру Республики Армения, уважаемому Николу Воваевичу Пашиняну, успешного проведения года армянского председательства в органах союза.
Хочу поблагодарить всех глав государств и участников заседания за конструктивную работу.
Благодарю вас!</t>
  </si>
  <si>
    <t xml:space="preserve">
http://www.kremlin.ru/events/president/transcripts/73992</t>
  </si>
  <si>
    <t>https://president.kg/ru/news/21/39293</t>
  </si>
  <si>
    <t>Подводя итоги уходящего года, Садыр Жапаров подчеркнул, что совместными усилиями Союз прошел его устойчиво и организованно, отметив, что 2025 год был богат важными мероприятиями для социально-экономического развития стран Союза: удалось обеспечить экономическую устойчивость Союза, укрепить внутренний рынок и развить кооперационные связи.
«Экономическое сотрудничество в рамках нашего Союза не просто развивается — оно набирает силу. Взаимная торговля достигла почти 100 млрд. долларов США и это не просто цифры. Это показатель доверия, взаимной поддержки и реального интереса наших стран друг к другу», — сказал С.Жапаров, отметив имеющийся большой потенциал во взаимной торговле, который до конца еще не реализован.
Он также отметил, что для этого необходимо подготовить и реализовать действенные меры, направленные на увеличение доли взаимной торговли в общем торговом обороте.
Садыр Жапаров подчеркнул, что чем меньше барьеров и издержек, тем устойчивее Союз и выше его конкурентоспособность.
«Считаю важным, чтобы государства-члены при принятии решений на национальном уровне в полной мере учитывали необходимость обеспечения прозрачных, стабильных и предсказуемых условий торговли», — сказал президент.
Говоря о показателях Кыргызстана в этом году, Садыр Жапаров акцентировал, что стране удалось сохранить положительную динамику. По итогам 11 месяцев ВВП вырос на 10,2% — рост зафиксирован в промышленности, строительстве, сфере услуг и сельском хозяйстве.
Он подтвердил приоритет продовольственной и энергетической безопасности, как взаимосвязанных элементов экономической стабильности стран.
Садыр Жапаров предложил договориться о конкретных мерах, которые позволили бы укрепить агропродовольственный сектор, обеспечить население безопасными и доступными продуктами, поддержать фермеров и производителей, привлекать инвестиции в современные технологии производства.
Говоря об основных направлениях международной деятельности ЕАЭС на 2026 год, президент КР отметил, что этот документ направлен на стимулирование экономического роста, развитие взаимной торговли, инфраструктуры и инноваций.
«Мы последовательно поддерживаем курс на расширение географии партнерства и заключение соглашений о свободной торговле, рассматривая их как действенный инструмент повышения конкурентоспособности экономик государств-членов ЕАЭС», — сказал Садыр Жапаров и выразил уверенность, что бизнес стран Союза в полной мере воспользуется возможностями, которые открывают соглашения с Монголией, Объединенными Арабскими Эмиратами, Ираном и Индонезией, подписанные в этом году.</t>
  </si>
  <si>
    <t>https://kyrtag.kg/ru/news/vystuplenie-sadyra-zhaparova-na-zasedanii-vysshego-evraziyskogo-ekonomicheskogo-soveta-v-sankt-peter</t>
  </si>
  <si>
    <t>Сумма по Кыргызстану</t>
  </si>
  <si>
    <t>Сводная по странам, сюжетам, годам</t>
  </si>
  <si>
    <t>Сводная по годам</t>
  </si>
  <si>
    <t>Кол-во упоминаний (-евраз)</t>
  </si>
  <si>
    <t>Кыргызстан</t>
  </si>
  <si>
    <t>Итог</t>
  </si>
  <si>
    <t>Личность</t>
  </si>
  <si>
    <t xml:space="preserve">Текст речи </t>
  </si>
  <si>
    <t>Упоминание -евраз</t>
  </si>
  <si>
    <t>Генассамблея ООН</t>
  </si>
  <si>
    <t xml:space="preserve">В.Путин: Уважаемый господин Председатель! Уважаемый господин Генеральный секретарь! Уважаемые главы государств и правительств! Дамы и господа!
70-летний юбилей Организации Объединённых Наций – хороший повод обратиться и к истории, и поговорить о нашем общем будущем. В 1945 году страны, разгромившие нацизм, объединили усилия, чтобы заложить прочные основы послевоенного мироустройства.
Напомню, что ключевые решения о принципах взаимодействия государств, решения о создании ООН принимались в нашей стране на Ялтинской встрече лидеров антигитлеровской коалиции. Ялтинская система была действительно выстрадана, оплачена жизнью десятков миллионов людей, двумя мировыми войнами, которые прокатились по планете в XX веке, и, будем объективны, она помогла человечеству пройти через бурные, порой драматические события последних семи десятилетий, уберегла мир от масштабных потрясений.
Организация Объединённых Наций – структура, которой нет равных по легитимности, представительности и универсальности.
Организация Объединённых Наций – структура, которой нет равных по легитимности, представительности и универсальности. Да, в адрес ООН раздаётся в последнее время немало критики. Якобы она демонстрирует недостаточную эффективность, а принятие принципиальных решений упирается в непреодолимые противоречия, прежде всего между членами Совета Безопасности.
Однако хочу отметить, что разногласия в ООН были всегда, на протяжении всех 70 лет существования организации. И право вето применялось всегда: им пользовались и Соединённые Штаты Америки, и Великобритания, и Франция, и Китай, и Советский Союз, а позднее Россия. Это совершенно естественно для столь многоликой и представительной организации. При основании ООН и не предполагалось, что здесь будет царить единомыслие. Суть организации, собственно, и заключается в поиске и выработке компромиссов, а её сила – в учёте разных мнений и точек зрения.
Обсуждаемые на площадке ООН решения согласовываются в виде резолюций или не согласовываются, как говорят дипломаты: проходят или не проходят. И всякие действия любых государств в обход этого порядка нелегитимны и противоречат Уставу Организации Объединённых Наций, современному международному праву.
Выступление на пленарном заседании 70-й сессии Генеральной Ассамблеи ООН.
Выступление на пленарном заседании 70-й сессии Генеральной Ассамблеи ООН.
Мы все знаем, что после окончания «холодной войны» – все это знают – в мире возник единственный центр доминирования. И тогда у тех, кто оказался на вершине этой пирамиды, возник соблазн думать, что если они такие сильные и исключительные, то лучше всех знают что делать. А следовательно, не нужно считаться и с ООН, которая зачастую, вместо того чтобы автоматически санкционировать, узаконить нужное решение, только мешает, как у нас говорят, «путается под ногами». Пошли разговоры о том, что Организация в том виде, в котором она была создана, устарела, выполнила свою историческую миссию.
Конечно, мир меняется, и ООН должна соответствовать этой естественной трансформации. Россия на основе широкого консенсуса готова к этой работе по дальнейшему развитию ООН со всеми партнёрами, но считаем попытки расшатать авторитет и легитимность ООН крайне опасными. Это может привести к обрушению всей архитектуры международных отношений. Тогда у нас действительно не останется никаких правил, кроме права сильного.
Это будет мир, в котором вместо коллективной работы будет главенствовать эгоизм, мир, в котором будет всё больше диктата и всё меньше равноправия, меньше реальной демократии и свободы, мир, в котором вместо по‑настоящему независимых государств будет множиться число фактических протекторатов, управляемых извне территорий. Ведь что такое государственный суверенитет, о котором здесь уже коллеги говорили? Это прежде всего вопрос свободы, свободного выбора своей судьбы для каждого человека, для народа, для государства.
Кстати говоря, уважаемые коллеги, в этом же ряду и вопрос о так называемой легитимности государственной власти. Нельзя играть и манипулировать словами. В международном праве, в международных делах каждый термин должен быть понятен, прозрачен, должен иметь единообразное понимание и единообразно понимаемые критерии. Мы все разные, и к этому нужно относиться с уважением. Никто не обязан подстраиваться под одну модель развития, признанную кем‑то раз и навсегда единственно правильной.
70-я сессия Генеральной Ассамблеи ООН.
70-я сессия Генеральной Ассамблеи ООН.
Всем нам не стоит забывать опыт прошлого. Мы, например, помним и примеры из истории Советского Союза. Экспорт социальных экспериментов, попытки подстегнуть перемены в тех или иных странах, исходя из своих идеологических установок, часто приводили к трагическим последствиям, приводили не к прогрессу, а к деградации. Однако, похоже, никто не учится на чужих ошибках, а только повторяет их. И экспорт теперь уже так называемых «демократических» революций продолжается.
Достаточно посмотреть на ситуацию на Ближнем Востоке и в Северной Африке, о чём говорил предыдущий выступающий. Конечно, политические, социальные проблемы в этом регионе назревали давно, и люди там, конечно, хотели перемен. Но что получилось на деле? Агрессивное внешнее вмешательство привело к тому, что вместо реформ государственные институты да и сам уклад жизни были просто бесцеремонно разрушены. Вместо торжества демократии и прогресса – насилие, нищета, социальная катастрофа, а права человека, включая и право на жизнь, ни во что не ставятся.
Так и хочется спросить тех, кто создал такую ситуацию: «Вы хоть понимаете теперь, что вы натворили?». Но, боюсь, этот вопрос повиснет в воздухе, потому что от политики, в основе которой лежит самоуверенность, убеждённость в своей исключительности и безнаказанности, так и не отказались.
Уже очевидно, что возникший в ряде стран Ближнего Востока и Северной Африки вакуум власти привёл к образованию зон анархии, которые немедленно стали заполняться экстремистами и террористами. Под знамёнами так называемого «Исламского государства» уже воюют десятки тысяч боевиков. В их числе бывшие иракские военнослужащие, которые в результате вторжения в Ирак в 2003 году были выброшены на улицу. Поставщиком рекрутов является и Ливия, чья государственность была разрушена в результате грубого нарушения Резолюции № 1973 Совбеза ООН. А сейчас ряды радикалов пополняют и члены так называемой умеренной сирийской оппозиции, поддержанной Западом.
Возникший в ряде стран Ближнего Востока и Северной Африки вакуум власти привёл к образованию зон анархии, которые немедленно стали заполняться экстремистами и террористами.
Их сначала вооружают, обучают, а потом они переходят на сторону так называемого «Исламского государства». Да и само «Исламское государство» возникло не на пустом месте: его также поначалу пестовали как орудие против неугодных светских режимов. Создав плацдарм в Сирии и Ираке, «Исламское государство» активно расширяет экспансию на другие регионы, нацеливается на господство в исламском мире и не только там. Только этими планами явно не ограничивается. Положение дел более чем опасно.
В такой ситуации лицемерно и безответственно выступать с громогласными декларациями об угрозе международного терроризма и при этом закрывать глаза на каналы финансирования и поддержки террористов, в том числе и за счёт наркобизнеса, нелегальной торговли нефтью, оружием, либо пытаться манипулировать экстремистскими группировками, ставить их себе на службу для достижения собственных политических целей в надежде потом как‑нибудь разобраться с ними, а попросту говоря, ликвидировать.
Тем, кто действительно так поступает и так думает, хотел бы сказать: уважаемые господа, вы имеете дело, конечно, с очень жестокими людьми, но вовсе не с глупыми и не с примитивными, они не глупее вас, и ещё неизвестно, кто кого использует в своих целях. И последние данные о передаче оружия этой самой умеренной оппозицией террористам – лучшее тому подтверждение.
Считаем любые попытки заигрывать с террористами, а тем более вооружать их, не просто недальновидными, а пожароопасными.
Считаем любые попытки заигрывать с террористами, а тем более вооружать их, не просто недальновидными, а пожароопасными. В результате глобальная террористическая угроза может критически возрасти, охватить новые регионы планеты. Тем более что в лагерях «Исламского государства» проходят «обкатку» боевики из многих стран, в том числе из европейских.
К сожалению, должен сказать об этом прямо, уважаемые коллеги, и Россия не является здесь исключением. Нельзя допустить, чтобы эти головорезы, которые уже почувствовали запах крови, потом вернулись к себе домой и там продолжили свое чёрное дело. Мы этого не хотим. Ведь этого никто не хочет, не так ли? Россия всегда твёрдо и последовательно выступала против терроризма во всех его формах.
Сегодня мы оказываем военно-техническую помощь и Ираку, и Сирии, другим странам региона, которые ведут борьбу с террористическими группировками. Считаем огромной ошибкой отказ от сотрудничества с сирийскими властями, правительственной армией, с теми, кто мужественно, лицом к лицу сражается с террором. Надо наконец признать, что кроме правительственных войск Президента Асада, а также курдского ополчения в Сирии с «Исламским государством» и другими террористическими организациями реально никто не борется. Мы знаем все проблемы региона, все противоречия, но нужно всё‑таки исходить из реалий.
Мы предлагаем объединить усилия для решения стоящих перед нами новых проблем и создать по‑настоящему широкую международную антитеррористическую коалицию.
Уважаемые коллеги! Вынужден заметить, что в последнее время наш такой честный и прямой подход используется как предлог, чтобы обвинить Россию в растущих амбициях. Как будто у тех, кто говорит об этом, нет вообще никаких амбиций. Но суть не в амбициях России, уважаемые коллеги, а в том, что терпеть складывающееся в мире положение уже невозможно.
В действительности же мы предлагаем руководствоваться не амбициями, а общими ценностями и общими интересами на основе международного права, объединить усилия для решения стоящих перед нами новых проблем и создать по‑настоящему широкую международную антитеррористическую коалицию. Как и антигитлеровская коалиция, она могла бы сплотить в своих рядах самые разные силы, готовые решительно противостоять тем, кто, как и нацисты, сеет зло и человеконенавистничество.
И, конечно, ключевыми участниками такой коалиции должны стать мусульманские страны. Ведь «Исламское государство» не только несёт им прямую угрозу, но и своими кровавыми преступлениями оскверняет величайшую мировую религию – ислам. Идеологи боевиков издеваются над исламом, извращают его истинные гуманистические ценности.
Хотел бы обратиться к мусульманским духовным лидерам: сейчас очень важны и ваш авторитет, и ваше наставническое слово. Необходимо уберечь людей, которых пытаются вербовать боевики, от необдуманных шагов, а тем, кто был обманут и в силу разных обстоятельств оказался в рядах террористов, нужно помочь найти дорогу к нормальной жизни, сложить оружие, прекратить братоубийственную войну.
Выступление на пленарном заседании 70-й сессии Генеральной Ассамблеи ООН.
Выступление на пленарном заседании 70-й сессии Генеральной Ассамблеи ООН.
Уже в ближайшие дни Россия, как председатель Совета Безопасности, созывает министерское заседание для комплексного анализа угроз на пространстве Ближнего Востока. Прежде всего предлагаем обсудить возможность согласования резолюции о координации действий всех сил, которые противостоят «Исламскому государству» и другим террористическим группировкам. Повторю, такая координация должна основываться на принципах Устава ООН.
Рассчитываем, что международное сообщество сможет выработать всеобъемлющую стратегию политической стабилизации и социально-экономического восстановления Ближнего Востока. Тогда, уважаемые друзья, и лагеря для беженцев строить не придётся. Поток людей, вынужденных покинуть родную землю, буквально захлестнул сначала соседние страны, а потом и Европу. Здесь счёт идёт на сотни тысяч, а может пойти и на миллионы людей. Это, по сути, новое великое горькое переселение народов и тяжёлый урок для всех нас, в том числе и для Европы.
Считаю крайне важным помочь восстановить государственные структуры в Ливии, поддержать новое правительство Ирака, оказать всестороннюю помощь законному правительству Сирии.
Хотел бы подчеркнуть: беженцы, безусловно, нуждаются в сострадании и поддержке. Однако кардинально решить эту проблему можно только путём восстановления государственности там, где она была уничтожена, путём укрепления институтов власти там, где они ещё сохранились или воссоздаются, путём оказания всесторонней помощи – военной, экономической, материальной – попавшим в трудное положение странам и, конечно, тем людям, которые, несмотря на все испытания, не покидают родных мест.
Разумеется, любая помощь суверенным государствам может и должна не навязываться, а предлагаться и исключительно в соответствии с Уставом ООН. Всё, что делается и будет делаться в этой сфере в соответствии с нормами международного права, должно быть поддержано нашей Организацией, а всё, что противоречит Уставу ООН, – отвергнуто.
Прежде всего считаю крайне важным помочь восстановить государственные структуры в Ливии, поддержать новое правительство Ирака, оказать всестороннюю помощь законному правительству Сирии.
Уважаемые коллеги, ключевой задачей международного сообщества во главе с ООН остаётся обеспечение мира, региональной и глобальной стабильности. На наш взгляд, речь должна идти о формировании пространства равной и неделимой безопасности, безопасности не для избранных, а для всех. Да, это сложная, трудная, длительная работа, но альтернативы этому нет.
Однако блоковое мышление времён «холодной войны» и стремление к освоению новых геополитических пространств у некоторых наших коллег всё ещё, к сожалению, доминируют. Сначала продолжена линия на расширение НАТО. Спрашивается: ради чего, если Варшавский блок прекратил своё существование, Советский Союз распался? А тем не менее НАТО не только остаётся, она ещё и расширяется, так же как её военные инфраструктуры.
Нужен реальный учёт интересов и прав людей на Донбассе, уважение к их выбору, согласование с ними, как это и предусмотрено Минскими договорённостями, ключевых элементов политического устройства государства.
Затем поставили постсоветские страны перед ложным выбором: быть им с Западом или с Востоком? Рано или поздно такая конфронтационная логика должна была обернуться серьёзным геополитическим кризисом. Это и произошло на Украине, где использовали недовольство значительной части населения действующей властью и извне спровоцировали вооруженный переворот. В итоге вспыхнула гражданская война.
Мы убеждены: остановить кровопролитие, найти выход из тупика можно только при полном добросовестном выполнении Минских соглашений от 12 февраля текущего года. Угрозами, силой оружия целостность Украины не обеспечить. А нужно это сделать. Нужен реальный учёт интересов и прав людей на Донбассе, уважение к их выбору, согласование с ними, как это и предусмотрено Минскими договорённостями, ключевых элементов политического устройства государства. В этом залог того, что Украина будет развиваться как цивилизованное государство, как важнейшее связующее звено в строительстве общего пространства безопасности и экономического сотрудничества как в Европе, так и в Евразии.
Дамы и господа, не случайно сказал сейчас об общем пространстве экономического сотрудничества. Ещё недавно казалось, что в экономике, где действуют объективные рыночные законы, мы научимся обходиться без разделительных линий, будем действовать на основе прозрачных, совместно выработанных правил, в том числе принципов ВТО, которые подразумевают свободу торговли, инвестиций, открытую конкуренцию. Однако сегодня чуть ли не нормой стали односторонние санкции в обход Устава ООН. Они не только преследуют политические цели, но и служат способом устранения конкурентов на рынке.
Отмечу ещё один симптом растущего экономического эгоизма. Ряд стран пошли по пути закрытых эксклюзивных экономических объединений, причём переговоры об их создании идут кулуарно, втайне и от собственных граждан, от собственных деловых кругов, общественности, и от других стран. Другие государства, чьи интересы могут быть затронуты, также ни о чём не информируются. Вероятно, всех нас хотят поставить перед фактом, что правила игры переписаны, и переписаны опять в угоду узкого круга избранных, причём без участия ВТО. Это чревато полной разбалансировкой торговой системы, раздроблением глобального экономического пространства.
70-я сессия Генеральной Ассамблеи ООН.
1 из 4
70-я сессия Генеральной Ассамблеи ООН.
Обозначенные проблемы затрагивают интересы всех государств, влияют на перспективы всей мировой экономики, поэтому предлагаем обсудить их в формате ООН, ВТО и «Группы двадцати». В противоположность политике эксклюзивности Россия предлагает гармонизацию региональных экономических проектов, так называемую интеграцию интеграций, основанную на универсальных прозрачных принципах международной торговли. В качестве примера приведу наши планы по сопряжению Евразийского экономического союза с китайской инициативой по созданию «Экономического пояса Шёлкового пути». И по‑прежнему большие перспективы видим в гармонизации интеграционных процессов в рамках Евразийского экономического союза и Евросоюза.
Дамы и господа, среди проблем, которые затрагивают будущее всего человечества, и такой вызов, как глобальное изменение климата. Мы заинтересованы в результативности климатической конференции ООН, которая состоится в декабре в Париже. В рамках своего национального вклада к 2030 году планируем ограничить выбросы парниковых газов до 70‒75 процентов от уровня 1990 года.
Однако предлагаю посмотреть на эту проблему шире. Да, устанавливая квоты на вредные выбросы, используя другие по своему характеру тактические меры, мы, может быть, на какой‑то срок и снимем остроту проблемы, но, безусловно, кардинально её не решим. Нам нужны качественно иные подходы. Речь должна идти о внедрении принципиально новых природоподобных технологий, которые не наносят урон окружающему миру, а существуют с ним в гармонии и позволят восстановить нарушенный человеком баланс между биосферой и техносферой. Это действительно вызов планетарного масштаба. Убеждён, чтобы ответить на него, у человечества есть интеллектуальный потенциал.
Предлагаем созвать под эгидой ООН специальный форум, на котором комплексно посмотреть на проблемы, связанные с исчерпанием природных ресурсов, разрушением среды обитания, изменением климата.
Нам необходимо объединить усилия и прежде всего тех государств, которые располагают мощной исследовательской базой, заделами фундаментальной науки. Предлагаем созвать под эгидой ООН специальный форум, на котором комплексно посмотреть на проблемы, связанные с исчерпанием природных ресурсов, разрушением среды обитания, изменением климата. Россия готова выступить одним из организаторов такого форума.
Уважаемые дамы и господа, коллеги, 10 января 1946 года в Лондоне начала работу первая сессия Генеральной Ассамблеи ООН. Открывая её, председатель подготовительной комиссии сессии, колумбийский дипломат Зулета Анхель, на мой взгляд, очень ёмко сформулировал принципы, на которых должна строить свою деятельность ООН. Это добрая воля, презрение к интригам и хитростям, дух сотрудничества.
Сегодня эти слова звучат как напутствие всем нам. Россия верит в громадный потенциал ООН, который должен помочь избежать новой глобальной конфронтации и перейти к стратегии кооперации. Вместе с другими странами будем последовательно работать ради укрепления центральной координирующей роли ООН.
Убеждён, действуя вместе, мы сделаем мир стабильным и безопасным, обеспечим условия для развития всех государств и народов.
Благодарю вас за внимание.
</t>
  </si>
  <si>
    <t>http://www.kremlin.ru/events/president/news/50385?utm_compaign=article</t>
  </si>
  <si>
    <t>Нью-Йорк</t>
  </si>
  <si>
    <t>Лавров</t>
  </si>
  <si>
    <t>Уважаемый господин Председатель,
Дамы и господа,
Год назад с этой же трибуны на юбилейной сессии Генеральной Ассамблеи ООН было высказано немало правильных оценок состояния дел на нынешнем переломном этапе мирового развития. Лейтмотивом было признание, что человечество, переходя от биполярного и монополярного миропорядка к объективно формирующейся полицентричной, демократической системе международных отношений, сталкивается с общими для всех вызовами и угрозами, преодолеть которые можно только совместными усилиями. Справедливо указывалось на необходимость изменения философии межгосударственного общения, исключив попытки вмешиваться во внутренние дела государств, навязывать модели развития странам и народам.
К сожалению, среди политических элит ряда западных стран глубоко укоренились идеи менторства, превосходства, исключительности, реализации своих интересов любыми средствами  в ущерб выстраиванию справедливого и равноправного взаимодействия.
К чему приводит чувство собственной непогрешимости в продавливании односторонних авантюрных решений сложнейших конфликтов и кризисов – мы видим на примере кровоточащего региона Ближнего Востока и Севера Африки. В результате  разрушается фундамент мировой стабильности.
Пора извлечь уроки и не допустить сползания к катастрофе в Сирии. Во многом благодаря российскому военному содействию законному сирийскому правительству в ответ на его просьбу удалось не допустить коллапса государственности и распада этой страны под натиском террористов. Наша вовлеченность стимулировала создание Международной группы поддержки Сирии (МГПС) в интересах налаживания полноценного политического процесса для определения будущего страны самими сирийцами через инклюзивный диалог всех этно-конфессиональных групп. Этот безальтернативный курс был закреплен в резолюциях Совета Безопасности ООН и нашел практическое воплощение в недавних договоренностях России и США как сопредседателей МГПС.
Главное сейчас – не допустить развала этих договоренностей, объективно и беспристрастно расследовать подрывающие их инциденты в Дейр эз-Зоре и Алеппо, тем более, что желающих саботировать согласованные уже подходы к сирийскому урегулированию немало. Принципиально важно выполнить требование СБ ООН об отмежевании т.н. умеренной оппозиции от террористов, и здесь особая ответственность лежит на членах возглавляемой США коалиции. Отказ или неспособность сделать это в нынешних условиях не может не укреплять подозрения, что «Джабхат ан-Нусру» хотят вывести из-под удара и что планы смены режима никуда не делись, а это - грубейшее нарушение резолюции СБ ООН. Разрешить сирийский кризис и выправить удручающую гуманитарную ситуацию не удастся без подавления ИГИЛ, «Джабхат ан-Нусры» и слившихся с ней экстремистских группировок. Это – ключ к укреплению режима прекращения боевых действий, к достижению общенационального перемирия. Недопустимо и медлить с началом межсирийских переговоров без каких-либо предварительных условий – как того и требует резолюция 2254 СБ ООН. Откровенный саботаж политического процесса отдельными представителями зарубежной оппозиции при попустительстве их покровителей негативно сказывается на репутации ООН и опять же наводит на мысль о том, что и здесь причина может корениться в стремлении создать предлог для попытки смены режима.
Жертвой любителей игр с нулевым результатом стала близкая нам Украина, чье развитие было подорвано антиконституционным переворотом, а сейчас разрушается в результате отказа Киева выполнять Минские договоренности от 12 февраля 2015 года. Бесперспективность расчетов использовать украинский кризис для достижения корыстных геополитических целей уже очевидна для всех. Рассчитываем, что сама жизнь заставит добиться реализации всех тех мер, под которыми в Минске подписалось украинское руководство. Последнее заседание Контактной группы даёт осторожное основание для некоторого оптимизма.
В более широком плане – только через честное выполнение всех договоренностей можно выйти на перспективу формирования в Евро-Атлантике пространства равной и неделимой безопасности и взаимовыгодного сотрудничества, как это было провозглашено в ОБСЕ почти 20 лет назад. Ни НАТО, ни ЕС не смогут заменить подлинно коллективного объединения усилий в общих интересах, без проигравших и победителей.
И уж совсем недопустимо делать заложником политических амбиций такие сферы, как спорт, всегда способствовавший сближению народов, укреплению дружбы и доверия. Желание узурпировать право предрешать исход спортивной борьбы не красит тех, кто так кичится приверженностью честной конкуренции, а на деле – попирает одобренные Генеральной Ассамблеей ООН принципы независимости и автономности спортивных состязаний, недопустимости дискриминации любого рода в спорте.
В сегодняшнем мире нельзя руководствоваться философией антигероев антиутопии Джорджа Оруэлла «Скотный двор» («Animal Farm»), когда все равны, но кто-то «более равный». В просвещенном двадцать первом веке просто неприлично поучать всех подряд, оставляя за собой право и на допинг, и на односторонние авантюры в обход ООН, и на геополитические эксперименты ценой в миллионы человеческих жизней, и на экстерриториальный шантаж всех, включая ближайших союзников, когда на кону - финансовая выгода «для своих». И даже - претендовать на то, чтобы устанавливать критерии величия той или иной страны. Считаю, это недостойно принципов свободы и равенства, на которых выросли великие нации, от чьего имени сегодня грозят всему миру их элиты.
В нынешнем году мы отмечаем 70-летие решений Нюрнбергского трибунала. Этот юбилей предостерегает от забвения уроков Второй мировой войны, напоминает о катастрофических последствиях попыток вершить судьбы мира за счет попрания законных интересов других государств и народов. Нельзя прикрываться заботой о свободе выражения мнения или мирных собраний, попустительствуя радикальным движениям, которые проповедуют нацистскую идеологию, выступают за героизацию фашистов и их пособников. Живучесть этих порочных инстинктов требует последовательных усилий, призванных поставить надежный заслон на пути неонацизма и реваншизма, укрепить межнациональное и межкультурное согласие, консолидировать молодое поколение вокруг идей справедливости и равенства. Приглашаем всех принять участие в XIX Всемирном фестивале молодежи и студентов в октябре 2017 года в Сочи.
Гегемонизму нет места в будущем, если мы хотим, чтобы оно было справедливым, позволяющим народам самим выбирать пути своего развития. Это предполагает необходимость научиться уважать партнера, уважать культурно-цивилизационное многообразие современного мира. Речь идет о возвращении к истокам: к нормам и принципам, закрепленным в Уставе ООН, других документах Всемирной организации. Наша приверженность такому подходу подтверждена в подписанной 25 июня 2016г. российско-китайской Декларации о повышении роли международного права. Соблюдение принципов суверенного равенства государств, невмешательства во внутренние дела должно стать мерилом порядочности и легитимности любого члена мирового сообщества.
Без отказа от философии исключительности и вседозволенности наивно рассчитывать на успех в решении таких глобальных задач, как борьба с международным терроризмом, распространением оружия массового уничтожения, другими угрозами трансграничного характера.
В борьбе с террором не должно быть места двойным стандартам. Здесь требуется поистине универсальное объединение усилий в интересах формирования широкого антитеррористического фронта, как было предложено Президентом В.В.Путиным с этой трибуны в этом зале год назад. Трагедии Ирака, Ливии, Йемена, Сирии убеждают в необходимости прекратить конъюнктурные попытки использовать экстремистов для продвижения геополитических замыслов. Пока не поздно, надо озаботиться противодействием распространению террористической и экстремистской идеологии, которая буквально берет в заложники молодежь в самых разных регионах мира. Мы готовим резолюцию СБ ООН, призванную мобилизовать усилия на борьбу с этой заразой, и рассчитываем на вашу поддержку. Искоренению питательной среды для радикальных настроений существенно помогло бы урегулирование палестино-израильcкого конфликта. Важно вывести этот процесс из глубокого тупика, на что нацелен доклад «квартета» ближневосточных посредников от 1 июля с.г. Призываем к выполнению содержащихся в нем рекомендаций.
Серьезно беспокоят тенденции в сфере нераспространения и контроля над вооружениями. Важнейшие задачи поддержания стратегической стабильности во всех ее компонентах пытаются подменить популистскими лозунгами «ядерного нуля». Не принимается в расчет и неучастие целого ряда стран-обладателей ядерных арсеналов в действующих договорах.
Испытаниям подвергается основополагающий Договор о нераспространении ядерного оружия, участникам которого становится все труднее находить общий язык, особенно в ситуации, когда некоторые ядерные державы торпедируют любые компромиссы о начале переговоров о создании на Ближнем Востоке зоны, свободной от оружия массового уничтожения и средств его доставки.
Россия последовательно выступает за освобождение человечества от угрозы ядерного оружия и других видов ОМУ. Но продвижение по пути ядерного разоружения должно осуществляться при полноценном учете всей совокупности факторов, оказывающих влияние на стратегическую стабильность, включая влияние односторонних глобальных систем ПРО, разработку стратегических ударных вооружений в неядерном оснащении, угрозу размещения оружия в космосе, неспособность обеспечить вступление в силу Договора о всеобъемлющем запрещении ядерных испытаний, растущий дисбаланс в обычных вооружениях в Европе.
Отмечаем расширяющуюся поддержку нашей инициативы о разработке международной конвенции по борьбе с актами химического и биологического терроризма. Начало серьезных переговоров по этой проблеме, как и по российско-китайскому проекту Договора о неразмещении оружия в космосе, помогло бы вывести из тупика ключевую структуру многостороннего разоруженческого механизма  – Конференцию по разоружению. Призываем также к предметному рассмотрению наших предложений о совершенствовании Конвенции о запрещении биологического и токсинного оружия.
Страны-члены НАТО завели в  тупик режим контроля над обычными вооружениями в Европе. Наши попытки спасти его натолкнулись на жесткое идеологизированное противодействие. Все идеи о том, чтобы вернуться к этой теме сейчас, могут иметь смысл исключительно в том случае, если Североатлантический альянс осознает абсолютную бесперспективность ультиматумов, нацеленных на получение односторонних преимуществ. По-прежнему открыты для равноправного, взаимоуважительного диалога с НАТО, в т.ч. по линии ОДКБ.
Над укреплением стабильности, обеспечением равной и неделимой безопасности необходимо работать и в других частях мира, а особенно – в Азиатско-Тихоокеанском регионе. Недавние действия КНДР, нарушающие резолюции Совета Безопасности ООН, должны быть прекращены. Призываем Пхеньян отказаться от ракетно-ядерных программ и вернуться в режим ДНЯО. Вместе с тем недопустимо использовать эту ситуацию как предлог для массированной милитаризации Северо-Восточной Азии, развертывания там очередного позиционного района глобальной ПРО США. Все стороны должны воздерживаться от дальнейшей эскалации напряженности, встать на путь политико-дипломатического урегулирования ядерной проблемы Корейского полуострова через возобновление переговоров.
Будем продолжать диалог в рамках Восточноазиатских саммитов по формированию в АТР региональной архитектуры безопасности и сотрудничества на внеблоковых началах. Целый ряд стран-участниц, включая Россию, Индию, Китай, Индонезию, представили свои соображения в этой связи. Приглашаем страны региона и к согласованию путей реализации инициативы Президента В.В.Путина по формированию Большого Евразийского партнерства с участием стран Евразийского экономического союза, других членов СНГ, а также участников ШОС, АСЕАН и прочих заинтересованных государств. Подчеркну: эта инициатива носит открытый характер, она вполне сочетается с обсуждавшимися ранее планами создания единого экономического  и гуманитарного пространства между Россией и ЕС. Она предполагает работу на основе норм и принципов ВТО – в отличие от прожектов закрытых торгово-инвестиционных блоков, грозящих подрывом единства глобальной торговой системы.
Будем и впредь продвигать объединительную повестку дня в различных международных форматах, прежде всего в ООН, БРИКС, ШОС, «Группе двадцати». Недавний саммит в Ханчжоу подтвердил статус «двадцатки» как ведущего глобального форума в области экономики и финансов. Благодарим китайское председательство за предпринятые усилия по эффективному использованию представительной площадки обмена мнениями по ключевым проблемам мировой экономики и политики для последующего продвижения договоренностей в универсальном формате ООН.
Большим событием в деятельности ООН стало подписание Парижского соглашения о противодействии изменению климата. Выполнение добровольно объявленных странами национальных вкладов должно обеспечить достижение зафиксированной в нем цели - не допустить повышения мировой температуры  более, чем на 2 градусов Цельсия. Чтобы добиться успеха, теперь необходимо выработать четкие правила и процедуры выполнения положений Парижского соглашения с учетом интересов всех стран-участниц процесса. Приоритетное значение в этом контексте приобретает запуск зафиксированных в шестой статье Соглашения рыночных и нерыночных механизмов сокращения выбросов парниковых газов. В конечном итоге это будет иметь важнейшее значение для предотвращения нарушения конкурентной среды и противодействия переносу грязных производств из одних стран в другие в ущерб достижению целей устойчивого развития.
ООН создавалась с целью «избавить грядущие поколения от бедствий войны» и развивать равноправное межгосударственное сотрудничество. Сегодня эта задача охватывает все сферы международной жизни и человеческого общения: от военно-политических аспектов безопасности до защиты климата, от урегулирования конфликтов и миротворчества до обеспечения прав и свобод человека, от устойчивого развития до справедливого регулирования в сфере информационных технологий, от борьбы с терроризмом и наркотрафиком до пресечения коррупции, от искоренения инфекционных заболеваний до утверждения социальной ответственности бизнеса и поощрения научно-технического прогресса. И конечно же, ООН призвана продвигать диалог цивилизаций, поддерживать плюрализм и равноправие культур и традиций, служить катализатором прогресса в науке и искусстве. По сути речь идет о сбережении человечества во всем его богатстве и многообразии. Именно эта цель должна лечь в основу наших коллективных усилий, стать императивом глобального развития, стимулом для совершенствования глобального управления и реальной демократизации международных отношений.
Хотел бы выразить признательность Его Превосходительству Пан Ги Муну, который приложил немало усилий на посту Генерального секретаря ООН для обновления Всемирной Организации в соответствии с требованиями времени. Рассчитываем, что свой вклад в решение этих задач внесет и новый Генеральный секретарь ООН.</t>
  </si>
  <si>
    <t>https://www.mid.ru/ru/press_service/video/vistupleniya_ministra/1534829/</t>
  </si>
  <si>
    <t>Уважаемый господин Председатель,
Уважаемые дамы и господа,
В декабре прошлого года Генеральная Ассамблея ООН приняла резолюцию о содействии установлению демократического и справедливого миропорядка, в которой четко заявлено о недопустимости вмешательства во внутренние дела суверенных государств, непризнании государственных переворотов как метода смены власти, необходимости исключить из международного общения попытки незаконного давления одних государств на другие, включая экстерриториальное применение национального законодательства.
За резолюцию проголосовало подавляющее большинство государств-членов ООН. В меньшинстве оказались прежде всего как раз те страны, которые вопреки целям и принципам Устава ООН пытаются доминировать в глобальных делах, навязывать модели развития и свои «ценности» государствам и народам, руководствуясь логикой однополярности, подрывающей международное право.
Но мир не стоит на месте. Отрадно, что Президент США Д.Трамп позавчера с этой трибуны однозначно заявил о важности соблюдения принципов суверенитета в международных делах. О том, что надо обеспечивать лидерство примером, не диктовать волю другим народам. О том, что страны с различными ценностями, культурным укладом и устремлениями могут не только сосуществовать, но и работать рука об руку на основе взаимоуважения. Думаю, под этими словами может подписаться каждый. Особенно, если внешняя политика США будет осуществляться именно на такой основе.
Суверенитет, отказ от вмешательства во внутренние дела, равенство народов, взаимоуважение – в международных делах Россия всегда придерживалась этих принципов. И продолжит их отстаивать. За последнюю четверть века наша страна, несмотря на испытания, честно прошла свою часть пути по ликвидации наследия «холодной войны», много делала для упрочения доверия и взаимопонимания в Евроатлантике, в мире в целом. Это, однако, не встретило взаимности со стороны наших западных партнеров, опьяненных иллюзией наступления «конца истории» и до сих пор пытающихся приспособить к сегодняшним реалиям рудиментарные институты эпохи блокового противостояния. НАТО стремится воссоздать климат «холодной войны», отказывается претворять в жизнь торжественно провозглашенный в 1990-е гг. прошлого века принцип равной и неделимой безопасности на пространстве ОБСЕ.
Запад выстраивал свою политику по принципу «кто не с нами, тот против нас», став на путь безоглядного расширения НАТО на Восток, провоцируя нестабильность на постсоветском пространстве и поощряя антироссийские настроения. Именно в такой политике – корни затянувшегося конфликта на Юго-Востоке Украины. Несмотря на предпринимаемые усилия в «нормандском формате» и в Контактной группе, киевские власти изобретают всё новые уловки, чтобы замотать выполнение своих обязательств по выполнению Минского «Комплекса мер» от 12 февраля 2015 г., одобренного СБ ООН.
Но и в этих условиях Россия нацелена на конструктивную работу, поиск общеприемлемых путей реализации Минских договоренностей. Откликаясь на высказываемые озабоченности положением дел в сфере безопасности, Президент Российской Федерации В.В.Путин выступил с инициативой об учреждении Миссии ООН по содействию охране наблюдателей ОБСЕ на Донбассе. Соответствующий проект резолюции представлен в Совет Безопасности ООН. Рассчитываем, что российское предложение будет способствовать урегулированию внутриукраинского кризиса, разразившегося в результате антиконституционного государственного переворота, совершенного ультра-радикалами. Надеемся на конструктивное, без игр с нулевым результатом, взаимодействие в этих вопросах с партнерами – как в Европе, так и в США.
Находясь здесь, в стенах ООН, мы не должны забывать об истоках Объединенных Наций. Решения Нюрнбергского трибунала стали предостережением от забвения уроков Второй мировой войны и катастрофических последствий попыток вершить судьбы мира за счет попрания законных интересов других государств и народов. Кощунственно прикрываться заботой о свободе выражения мнения, потакая радикальным движениям, которые проповедуют неонацистскую идеологию, выступают за героизацию фашистов и их пособников. Требуются последовательные усилия, призванные поставить надежный заслон на пути неонацизма и реваншизма, экстремизма и ксенофобии, укрепить межнациональное и межкультурное согласие.
Разжигая ненависть и нетерпимость, террористы, экстремисты, националисты разрушают и оскверняют объекты, представляющие историческую, религиозную, культурную ценность. В цивилизованной Европе допускают снос памятников освободителям континента, героям Второй мировой войны, победа в которой создала фундамент Объединенных Наций. Считаем необходимым безотлагательно уделить этой проблеме приоритетное внимание и на Генассамблее, и в ЮНЕСКО, чтобы обеспечить необходимые правовые рамки для пресечения подобных действий. Россия имеет в виду представить соответствующие предложения.
Недопустимо оставаться безучастными и к сохранению в Европе позорного явления безгражданства, равно как и к подавлению языков меньшинств в грубом нарушении Конвенций Совета Европы.
Веками мировой истории доказано, что прочное урегулирование разногласий возможно только через диалог, нахождение баланса коренных интересов конфликтующих сторон. К сожалению, в арсенале ряда западных государств все чаще преобладает не дипломатия, а грубое давление. Применение односторонних санкций – сверх тех, которые вводит СБ ООН – нелегитимно и подрывает коллективный характер международных усилий. Сегодня все с тревогой наблюдают, как вводимые США все новые односторонние рестрикции в отношении Ирана, да еще и экстерриториального характера, ставят под угрозу реализацию Совместного всеобъемлющего плана действий, ставшего одним из важнейших факторов региональной и международной стабильности.
Порочность односторонних санкционных подходов давно доказана на примере более чем полувековой американской блокады Кубы, за немедленную отмену которой многие десятилетия выступают практически все государства-члены ООН. Пора к ним прислушаться.
Опасно раскручивается конфронтационная спираль вокруг КНДР. Решительно осуждаем ракетно-ядерные авантюры Пхеньяна в нарушение резолюций СБ ООН. Но нагнетание военной истерии – не просто тупиковый, а губительный путь. Все резолюции СБ ООН надо выполнять, спору нет. Но все они, наряду с санкциями, содержат положения о необходимости возврата к переговорам. Призываем прекратить блокировать эти положения. Альтернативы политико-дипломатическим методам урегулирования ядерной проблемы Корейского полуострова (ЯПКП) на основе диалога между всеми заинтересованными сторонами не существует. Призываем ответственных членов мирового сообщества поддержать российско-китайскую «дорожную карту», изложенную в Совместном заявлении МИД России и КНР от 4 июля.
Недопустимы подстрекательства к беспорядкам и угрозы силового вмешательства в целях «демократизации» Венесуэлы, как и действия по подрыву легитимных властей в любой стране. В любых внутренних конфликтах международное сообщество должно поощрять стороны к национальному примирению и компромиссам.
Попытки игнорировать мнение других, прибегать к диктату и ультиматумам, применять силу в обход Устава ООН никогда не доводили до добра. Всплеск международного терроризма, многие миллионы беженцев, беспрецедентные волны нелегальной миграции во многом произрастают из предпринятых за последние годы авантюр по смене «неугодных режимов», включая вооруженные интервенции, посеявшие хаос и разрушения на Ближнем Востоке и Севере Африки и открывшие путь террористам в те части земного шара, где их никогда не было.
Несмотря на то, что ИГИЛ отступает в Сирии и Ираке, требуется немало дополнительных усилий для стабилизации региона. Напомню о необходимости борьбы не только с ИГИЛ, но и с «Нусрой», которую почему-то щадят участники американской коалиции.
Развитие ситуации в Сирии дает основания для осторожного оптимизма. На прошедшей 14-15 сентября шестой Международной встрече по Сирии в Астане завершено оформление четырех зон деэскалации, договоренности о создании которых достигнуты с участием России, Ирана, Турции, США, Иордании и ООН при поддержке многих других стран.
Эти договоренности создают условия для дальнейшего продвижения к выполнению резолюции 2254 на основе прямого диалога между правительством и оппозицией, объединения их усилий в интересах скорейшей ликвидации террористического очага и установления мира на всей территории страны, восстановления ее единства, решения острых гуманитарных проблем.
Самыми срочными задачами являются увеличение поставок гуманитарной помощи и разминирование освобожденных территорий. Убеждены, что к этим процессам – при лидирующей роли ООН и без каких-либо предварительных условий – должны подключиться все те, кто искренне желает мира Сирии и ее народу.
Отдельная тема – случаи применения химического оружия в регионе. Все они должны расследоваться честно и профессионально, без попыток манипулировать деятельностью Организации по запрещению химического оружия (ОЗХО) и Совместного механизма ОЗХО-ООН по расследованию случаев применения химоружия в Сирии (СМР).
Решение гуманитарных задач, замирение противоборствующих сторон – все это актуально и для других кризисов в регионе, включая ситуации в Ливии, Йемене, Ираке. В каждой из этих ситуаций, как и в любых других конфликтах, Россия проводит сбалансированную линию, работает со всеми сторонами.
Говоря о проблемах региона Ближнего Востока и Севера Африки, нельзя отодвигать на задний план, а тем более предавать забвению решения ООН по палестинской проблеме и Арабскую мирную инициативу. Придаем важное значение восстановлению палестинского единства и приветствуем усилия Египта на этом направлении. Россия готова всячески содействовать возобновлению прямых переговоров между Израилем и Палестиной, сотрудничать в этих целях с партнерами по «квартету» и ЛАГ. На неурегулированности палестинской проблемы продолжают спекулировать экстремисты, вербуя в свои ряды все новых сторонников.
Непрекращающиеся кровавые теракты по всему миру свидетельствуют об иллюзорности попыток создать «отдельные островки безопасности».
С экстремизмом и терроризмом нужно бороться только сообща, без двойных стандартов и скрытых повесток дня, с опорой на главную ответственность государств – как и предусмотрено в Глобальной контртеррористической стратегии ООН.
Приветствуем инициированную Генеральным секретарем реформу антитеррористической деятельности системы ООН, которая была одобрена Генассамблеей. Назначение российского представителя во главе образованного Управления ООН по контртерроризму расцениваем как признание роли России в борьбе с этим злом. Благодарим всех за поддержку.
Россия привержена целям достижения мира, свободного от ядерного оружия. Согласно действующим договорным режимам в сфере контроля над вооружениями и нераспространения, его полная ликвидация должна стать конечным результатом процесса всеобщего и полного разоружения при обеспечении равной и неделимой безопасности. Попытки поставить ядерное оружие «вне закона» – без учета реалий современного мира и закрывая глаза на всю совокупность факторов, влияющих сегодня на стратегическую стабильность – лишь отдаляют эту общую цель, подрывают консенсусные режимы Договора о нераспространении ядерного оружия (ДНЯО) и Договора о всеобъемлющем запрещении ядерных испытаний (ДВЗЯИ).
Призываем сказать «нет» милитаризации информационного пространства. Нельзя допустить его превращения в арену военно-политического противоборства, использования информационно-коммуникационных технологий (ИКТ) как инструмента давления, нанесения экономического ущерба, пропаганды идей террористической и экстремистской идеологии.
Важно нацелить усилия ООН на выработку отвечающих интересам безопасности всех государств правил ответственного поведения в цифровой сфере.
Россия подготовила проект универсальной конвенции о противодействии киберпреступности, включая хакерство. Предлагаем начать дискуссию уже в ходе нынешней сессии.
Очевидно, что в перспективе мир продолжит сталкиваться с целым рядом новых проблем долгосрочного, поистине общецивилизационного характера. Мы не имеем права размениваться, тратить силы и время на геополитические игры. Востребованы не односторонние, а коллективные подходы.
Процесс формирования полицентричного мироустройства – объективная тенденция, отражающая перераспределение глобального баланса сил, усиление фактора культурно-цивилизационной идентичности народов. К этой тенденции придется адаптироваться всем, включая тех, кто привык вести дела в мире по-хозяйски. В наших общих интересах – не пытаться сдерживать естественный процесс. Надо сделать так, чтобы миропорядок стал справедливым и демократическим, каким его и видели отцы-основатели ООН. Глобализация должна не антагонизировать, а играть объединительную роль, учитывать интересы всех без исключения государств, способствуя обеспечению стабильного и безопасного будущего всего человечества.
Без взаимного доверия невозможно рассчитывать на эффективную реализацию амбициозных Целей устойчивого развития и Парижского соглашения по климату, решение глобальных задач продовольственной безопасности, народонаселения, здравоохранения – столь важных для развивающихся стран.
В числе основополагающих принципов международных отношений должно быть признание политического плюрализма, свободы выбора и верховенства права. Необходимо отказаться от ставки на военные союзы, оказывать поддержку и предоставлять гарантии безопасности государствам, сделавшим выбор в пользу нейтралитета. В экономической области – добиваться снижения барьеров на пути торговли и инвестиций, перестать политизировать экономические связи. Вне политики должно оставаться международное олимпийское и в целом спортивное движение. Необходимо воспитывать, прежде всего, у молодежи – уважение культурно-цивилизационного многообразия современного мира. Приглашаем всех на XIX Всемирный фестиваль молодежи и студентов, который меньше чем через месяц наша страна будет принимать в Сочи. В те же сроки в России пройдет еще одно важное мероприятие – 137-я Ассамблея Межпарламентского союза в Санкт-Петербурге, главной темой которой будет укрепление мира и безопасности через культурный и межрелигиозный диалог. Давайте поощрять диалог между различными культурами и религиями, перестанем использовать исторические события для разжигания ненависти и фобий.
Философия сосуществования, сопряжения, гармонизации интересов разных стран лежит в основе выдвинутой Президентом Российской Федерации В.В.Путиным концепции Большого Евразийского партнерства, открытого для всех государств Азии и Европы и нацеленного на формирование общего экономического и гуманитарного пространства с опорой на принцип неделимости безопасности. Излишне говорить, что обеспечение равных прав для всех – и граждан, и государств – востребовано в универсальном масштабе, как того, собственно, требует Устав ООН.
Именно эти справедливые принципы лежат в основе деятельности объединений, в которых активно участвует Россия: СНГ, ОДКБ, Евразийский экономический союз (ЕАЭС), ШОС, БРИКС. В этом же ключе мы выстраиваем отношения с АСЕАН, Африканским союзом, СЕЛАК, другими объединениями стран Азии, Африки и Латинской Америки. Совместно мы добиваемся более сбалансированных подходов в работе таких структур, как «Группа 20», АТЭС, МВФ, МБРР.
Мы верим в жизнеспособность ООН, хотим видеть активную роль Генерального секретаря в содействии полной реализации потенциала Всемирной Организации с опорой на цели и принципы Устава и при уважении прерогатив межправительственных органов. Особо выверенного подхода требуют идеи о реформе миротворчества, где не должно быть резких движений и забвения накапливавшегося десятилетиями бесценного опыта.
Два тысячелетия назад римский философ Сенека писал: «Мы рождены, чтобы жить совместно». Ближе всех к осознанию этой данности подошли отцы-основатели ООН. Они были убеждены (и записали это в Уставе), что само дарованное всем нам Богом сосуществование на одной планете должно заставить нас объединиться, чтобы не допустить ужасов новых войн. Сегодня для этого остро необходимо возрождение культуры дипломатии, диалога, поиска баланса интересов в противовес инстинктам быстрых решений и желанию «наказывать непокорных». По сути речь идет о сбережении человечества во всем его богатстве и многообразии.
Россия всегда была и остается открыта к совместной работе со всеми, кто проявляет встречную готовность к равноправному, взаимоуважительному сотрудничеству. Мы будем и далее отстаивать эти подходы к деятельности ООН в интересах совершенствования глобального управления и реальной демократизации международных отношений.
Благодарю вас за внимание.</t>
  </si>
  <si>
    <t>https://www.mid.ru/ru/press_service/video/vistupleniya_ministra/1553392/</t>
  </si>
  <si>
    <t>Уважаемая госпожа Председатель,
Дамы и господа,
Выступления в ходе общей дискуссии на нынешней сессии ГА ООН подтверждают, что международные отношения проходят через весьма сложный и противоречивый исторический этап.
Сегодня все мы – свидетели коллизии двух разнонаправленных тенденций. С одной стороны, это укрепление полицентричных начал мироустройства, уверенное становление новых центров экономического роста, стремление народов сберечь суверенитет, выбирать те модели развития, которые отвечают их национальной, культурной, конфессиональной идентичности. С другой – желание ряда западных государств сохранить за собой самопровозглашенный статус «мировых лидеров», затормозить необратимость объективного процесса формирования многополярности. Ради этого в ход идет всё, включая политический шантаж, экономическое давление и грубую силу.
В результате таких незаконных действий девальвируется международное право, на котором зиждется послевоенное мироустройство. Мы слышим громогласные заявления, которые не только ставят под вопрос юридическую силу международных договоров, но и декларируют приоритет узкокорыстных односторонних подходов над принятыми в рамках ООН решениями.
Мы наблюдаем наступление воинственного ревизионизма на современную международно-правовую систему. Атакам подвергаются базовые принципы ближневосточного урегулирования, Совместный всеобъемлющий план действий по иранской ядерной программе, обязательства в рамках Всемирной торговой организации, многостороннее соглашение по климату и многое другое.
При этом верховенство права в мировых делах наши западные коллеги пытаются подменить неким «порядком, основанным на правилах». Сами же эти правила изобретаются в зависимости от политической целесообразности и являют собой образец двойных стандартов. Голословные обвинения во вмешательстве во внутренние дела тех или иных стран выдвигаются одновременно с открытым курсом на расшатывание и свержение демократически избранных правительств. Пытаются втягивать одни страны в построенные под себя военные союзы вопреки воле народов, тогда как другим государствам грозят наказанием за свободный выбор своих партнеров и союзников.
Показательно, что агрессивные наскоки на международные институты сопровождаются попытками «приватизировать» их секретариатские структуры, наделить их правами межправительственных органов в расчете на то, чтобы впоследствии ими манипулировать.
Сужение пространства конструктивного международного сотрудничества, нагнетание конфронтации, усиление общей непредсказуемости, существенное повышение риска возникновения спонтанных конфликтов – все это отражается на деятельности Всемирной Организации.
За корыстные амбиции узкой группы стран мировому сообществу приходится платить высокую цену. Пробуксовывают коллективные механизмы реагирования на общие для всех вызовы безопасности. На смену дипломатии, культуре переговоров и компромиссов ‒ приходит диктат, односторонние рестрикции, вводимые без согласия СБ ООН и носящие экстерриториальный характер. Подобные меры, охватывающие уже десятки стран, не только незаконны, но и неэффективны – как это подтверждает, в частности, более чем полувековая блокада Кубы со стороны США, осуждаемая всем мировым сообществом.
Но история опять ничему не учит. Желающих выносить приговоры без суда и следствия не убавляется. Сегодня некоторым западным коллегам для предъявления кому-либо вины достаточно утверждений в духе пресловутого «highly likely». Мы это уже проходили. Хорошо помним, сколько раз фальшивые предлоги использовались для оправдания интервенций и развязывания войн, как это было в Югославии в 1999 г., Ираке в 2003 г. и Ливии в 2011 году.
Те же методы практикуются сегодня в отношении Сирии, по территории которой 14 апреля под абсолютно сфальсифицированным предлогом были нанесены ракетные удары ‒ за несколько часов до того, как международные инспекторы должны были прибыть на место инсценированного инцидента. Предупреждаем о недопустимости новых провокаций террористов и их покровителей с применением химического оружия.
Конфликту в Сирии уже семь лет. Неудавшаяся попытка смены режима извне с опорой на экстремистов чуть было не привела к распаду страны и возникновению на ее месте террористического халифата. Энергичные действия России в ответ на просьбу правительства САР, подкрепленные дипломатическими шагами в рамках Астанинского процесса, помогли предотвратить этот губительный сценарий. Инициированный Россией, Ираном и Турцией Конгресс сирийского национального диалога в Сочи в январе этого года создал условия для политического урегулирования на основе резолюции 2254 СБ ООН. Именно на этой основе сейчас формируется межсирийский Конституционный комитет в Женеве. На повестке дня – восстановление разрушенной инфраструктуры в интересах скорейшего возвращения на родину миллионов беженцев. Приоритетом международных усилий и деятельности организаций системы ООН должна стать помощь в решении этих задач в интересах всех сирийцев, без каких-либо двойных стандартов.
При всей сложности ситуации в Сирии, Ираке, Йемене, Ливии недопустимо игнорировать застарелую палестинскую проблему. Ее справедливое решение крайне важно для оздоровления ситуации во всем ближневосточном регионе. Хотел бы предостеречь от односторонних подходов и попыток монополизации процесса урегулирования. Сегодня как никогда требуется консолидация усилий мирового сообщества в интересах возобновления переговоров на основе резолюций ООН и Арабской мирной инициативы. Продолжим всемерно этому способствовать, в том числе в формате ближневосточного «квартета» и в сотрудничестве с ЛАГ и ОИС. Взаимоприемлемые договоренности должны обеспечить мирное и безопасное сосуществование двух государств – Израиля и Палестины.
Здесь, в стенах ООН, созданной на уроках Второй мировой войны, мы все обязаны думать о будущем, в котором не должно быть места повторению ошибок прошлого. На нынешний год приходится 80-летие позорного Мюнхенского сговора, ставшего венцом преступной политики умиротворения Третьего Рейха, печальным примером того, к каким катастрофическим последствиям могут привести национальный эгоизм, пренебрежение международным правом, попытки решать проблемы за чужой счет.
К сожалению, сегодня в целом ряде государств не просто ослабла вакцина от заразы нацизма, но и ширится кампания переписывания истории, обеления военных преступников и их пособников. Считаем кощунственной развязанную в ряде стран борьбу с памятниками освободителям Европы. Призываем поддержать проект резолюции Генассамблеи о недопустимости героизации нацистов.
Рост радикал-национализма и неофашизма на Украине, где героями объявлены преступники, воевавшие под знаменами СС, – один из главных факторов затянувшегося внутриукраинского конфликта. Единственный путь его преодоления – полная, последовательная и добросовестная реализация Минского «Комплекса мер», единогласно одобренного в СБ ООН. Мы поддерживаем деятельность Миссии ОБСЕ на Украине, готовы придать её наблюдателям ооновскую охрану. Однако вместо выполнения Минских договоренностей, вместо диалога с Донецком и Луганском, Киев тешит себя иллюзиями о введении на Донбасс оккупационных сил при поддержке Запада и все чаще грозит силовыми сценариями. Те, кто опекают нынешние киевские власти, должны вразумить своих подопечных, заставить их прекратить блокаду Донбасса и дискриминацию национальных меньшинств на всей территории Украины.
В Косово – санкционированное Советом Безопасности ООН международное военное присутствие трансформируется в американскую базу. Создаются косовские вооруженные силы. Достигнутые при посредничестве ЕС договоренности между Белградом и Приштиной не выполняются. Россия призывает стороны к диалогу в соответствии с резолюцией 1244 СБ и поддержит такое решение, которое будет приемлемо для Сербии.
В целом выступаем за то, чтобы не делать Балканы в очередной раз ареной противоборства, не объявлять их чьей-либо вотчиной, не ставить народы балканских стран перед ложным выбором, избегать появления в регионе новых разделительных линий.
Формирование архитектуры равной и неделимой безопасности востребовано и в других частях мира, в том числе в Азиатско-Тихоокеанском регионе. Приветствуем положительную динамику развития ситуации вокруг Корейского полуострова, которая развивается в русле логики российско-китайской «дорожной карты». Важно поощрять этот процесс на основе дальнейших шагов сторон навстречу друг другу и через стимулирование по линии СБ ООН практической реализации важных договоренностей между Пхеньяном и Сеулом. Продолжим работать над скорейшим запуском многостороннего процесса, нацеленного на создание прочного механизма мира и безопасности в Северо-Восточной Азии.
Денуклеаризация Корейского полуострова является частью задач, стоящих перед мировым сообществом в ключевой сфере международной безопасности, имею в виду, обеспечение нераспространения ОМУ. К сожалению, на этом пути продолжают накапливаться серьезные препятствия. На отсутствие прогресса в ратификации ДВЗЯИ и создании на Ближнем Востоке ЗСОМУ наложился односторонний выход США из СВПД в нарушение резолюции 2231 – и это при том, что Иран полностью выполняет свои обязательства. Мы будем делать все, чтобы сохранить одобренную СБ ООН сделку.
Негативные тенденции нагнетаются в деятельности ОЗХО, Технический секретариат которой Запад пытается превратить в инструмент наказания неугодных правительств, что рискует подорвать независимый профессиональный статус этой структуры и универсальный характер КЗХО и исключительной прерогативы СБ ООН.
Об этих и других проблемах в сфере нераспространения подробно шла речь на заседании СБ ООН 26 сентября этого года, которое было весьма своевременно созвано американским председательством.
Убеждены, что любые проблемы и озабоченности, которые возникают в международных отношениях, должны регулироваться через предметный диалог. Если есть вопросы и претензии к кому бы то ни было – надо садиться и разговаривать, предъявлять факты, слышать встречные аргументы партнера, искать баланс интересов.
В последние пару лет резко обострилась полемика о злоупотреблениях в киберпространстве. Хотел бы привлечь внимание к тому, что еще двадцать лет назад Россия инициировала в ООН обсуждение вопросов обеспечения международной информационной безопасности. На фоне последних событий еще большую актуальность приобретает выработка под эгидой ООН глобальных правил ответственного поведения государств в информационном пространстве, включая принципы неприменения силы, невмешательства во внутренние дела, уважения государственного суверенитета. Проект такой резолюции мы намерены внести в Первом комитете Генассамблеи.
Считаем также важным начать разработку Конвенции по борьбе с киберпреступностью, предусмотрев соответствующие дискуссии в Третьем комитете.
Поиск общеприемлемых договоренностей, взаимный учет интересов как никогда востребованы в сфере мировой торговли и экономических связей, которые сегодня подвержены беспрецедентной политизации. Ценности свободной торговли становятся заложниками торговых войн, других форм недобросовестной конкуренции.
Россия последовательно продвигает философию неделимости экономического развития, которая заложена в выдвинутую Президентом Российской Федерации В.В.Путиным инициативу Большого евразийского партнерства. Этот масштабный проект открыт для всех государств Азии и Европы – как входящих, так и не входящих в различные интеграционные объединения. Его последовательная реализация могла бы способствовать формированию пространства широкой экономической кооперации в Евразии. А в перспективе – стать фундаментом для обновленной, отвечающей реалиям XXI века архитектуры континентальной безопасности.
Россия продолжит делать максимум для построения мира на принципах права, правды и справедливости. Мы не одиноки в этом стремлении. За демократизацию международной жизни во всех её проявлениях и в интересах всех без исключения государств вместе с нами выступают наши союзники и партнеры по ОДКБ, ЕАЭС, СНГ, БРИКС и ШОС, в целом подавляющее большинство других стран мира. К их голосу вынужден прислушиваться и Запад, что всё больше проявляется в деятельности «Группы 20».
В современных турбулентных условиях объективно повышается роль ООН – безальтернативной площадки для преодоления разногласий и координации действий мирового сообщества. В основание ООН изначально был заложен приоритет коллективной работы в интересах согласования общеприемлемых решений. Этот потенциал оказался нереализованным в результате биполярного противостояния времен «холодной войны». Нельзя допустить, чтобы и на нынешнем этапе все мы оказались не на уровне высоких целей и принципов Устава ООН и обязательств отцов-основателей перед грядущими поколениями.
Чтобы быть достойными их наследия, надо вспомнить искусство договариваться. Только на основе равноправия и взаимного уважения можно решать многочисленные проблемы современности. Диктат и принуждение, характерные  для  колониальной  эпохи,  следует  раз  и  навсегда  отправить  «в архив», а лучше ‒ «на свалку» истории.
Государственные деятели прошлого оставили нам в назидание немало напутствий, которые стали афоризмами. Приведу один – он принадлежит президенту Г.Трумэну: «Великие нации лидируют силой примера, а не доминированием».
Надеюсь, что культура взаимоуважительного диалога в конечном итоге возьмет верх. Россия будет этому всемерно способствовать.</t>
  </si>
  <si>
    <t>https://www.mid.ru/ru/press_service/video/vistupleniya_ministra/1576326/</t>
  </si>
  <si>
    <t>Уважаемый господин Председатель,
Ваше Превосходительство,
Дамы и господа,
Все ближе 75-летие Организации Объединенных Наций, создание которой стало результатом Победы во Второй мировой войне и осознания необходимости коллективного механизма поддержания международного мира и безопасности. К сожалению, события начавшейся вскоре «холодной войны» не позволили раскрыться этому колоссальному созидательному потенциалу.
Надежда появилась вновь, когда почти 30 лет назад рухнула Берлинская стена, символизировавшая противостояние двух непримиримых систем. Надежда на то, что можно будет, наконец, перелистнуть горестные страницы войн – не только горячих, но и холодных, и объединить усилия на благо всего человечества.
Однако приходится признать: несмотря на то, что удалось благодаря ООН предотвратить третью мировую войну, конфликтов и вражды на планете не убавилось. Появились и новые острейшие вызовы: международный терроризм, наркопреступность, изменение климата, нелегальная миграция, растущий разрыв между богатыми и бедными. Справляться с этими и многими другими вызовами год от года становится все сложнее. Разобщенность международного сообщества лишь нарастает.
На наш взгляд, причина нынешнего положения дел заключается, прежде всего, в нежелании стран, объявивших себя победителями в «холодной войне», считаться с законными интересами всех остальных государств, нежелании принять реалии объективного хода истории.
Западу трудно смириться с тем, что длившееся веками доминирование в мировых делах тает. Появились и укрепляются новые центры экономического роста и политического влияния. Без них не найти устойчивого решения глобальных проблем, совладать с которыми можно лишь на прочной почве Устава ООН – через баланс интересов всех государств.
Ведущие западные страны пытаются воспрепятствовать формированию полицентричного мира, вернуть себе привилегированные позиции, навязать другим стандарты поведения, основанные на узкой западной трактовке либерализма. Если коротко: «мы – либералы, нам можно все». В этих своих устремлениях Запад все реже вспоминает про международное право, все чаще и все навязчивее рассуждает о «порядке, основанном на правилах».
Цель концепции такого «порядка» для нас очевидна: ревизовать переставшие устраивать Запад нормы международного права, подменить их «правилами», приспособленными под свои корыстные схемы, которые формулируются в зависимости от политической целесообразности, а сам Запад, и только Запад, хотят объявить неоспоримым источником легитимности. Например, когда выгодно, право народов на самоопределение имеет значение, а когда нет – объявляется незаконным.
Для обоснования ревизионистских «правил» в ход идут манипулирование общественным сознанием, распространение ложных сведений, двойные стандарты в сфере прав человека, подавление неугодных СМИ, запреты на профессию журналистов. Причем у Запада появились «способные ученики» среди его подопечных на постсоветском пространстве.
Вместо равноправной коллективной работы создаются закрытые форматы вне легитимных многосторонних рамок, а келейно согласованные в узком кругу «избранных» подходы затем объявляются «многосторонними договоренностями». Это сопровождается попытками «приватизировать» секретариаты международных организаций, использовать их для проталкивания неконсенсусных идей в обход универсальных механизмов.
Атаки на международное право приобретают опасные масштабы. У всех на слуху выход США из Совместного всеобъемлющего плана действий по иранской ядерной программе (СВПД), который был одобрен резолюцией 2231 СБ ООН. Вашингтон не просто отказался от закрепленных в этой резолюции своих обязательств, но стал требовать от всех других играть по американским «правилам» и саботировать ее выполнение.
США взяли жесткую линию на развал резолюций ООН о международно-правовых основах ближневосточного урегулирования. Предлагают дождаться некой «сделки века», а тем временем приняли односторонние решения по Иерусалиму и Голанским высотам. Под угрозой двухгосударственное решение палестинской проблемы, которое имеет ключевое значение для удовлетворения законных чаяний палестинского народа и для обеспечения безопасности Израиля и всего региона.
Когда члены НАТО в откровенное нарушение резолюций СБ ООН бомбили Ливию, они тоже, видимо, руководствовались логикой своего «порядка, основанного на правилах». Результат – ливийская государственность разрушена, а губительные последствия натовской авантюры, прежде всего для стран африканского континента, мировое сообщество расхлебывает по сей день.
Сохраняются «скрытые повестки» в сфере антитеррора: несмотря на обязательные для всех решения Совета Безопасности ООН о «листировании» террористических организаций, для некоторых стран стало «правилом» выводить террористов из-под удара и даже налаживать с ними взаимодействие «на земле», как это происходит, например, в Афганистане, Ливии, Сирии. В США уже вслух заговорили о том, что «Хейат Тахрир Аш-Шам» – вполне «умеренная структура», с которой «можно иметь дело». К такой неприемлемой логике хотят склонить и членов СБ ООН, как показали недавние дискуссии по ситуации в сирийском Идлибе.
Свои «правила» у Запада и в отношении Балкан, где проводится открытый курс на подрыв решений СБ ООН по косовскому и боснийскому урегулированию.
Неотъемлемой частью международного права, наряду с резолюциями Совета Безопасности, являются универсальные конвенции. Запад и их хотел бы подменить своими «правилами», как это произошло в ОЗХО, чей Технический секретариат путем противоправных манипуляций и бесцеремонного давления незаконно получил т.н. атрибутивные функции в прямое нарушение Конвенции о запрещении химического оружия и исключительных прерогатив Совета Безопасности ООН.
Продолжаются игры вокруг конвенций, обязывающих все страны обеспечивать языковые, образовательные, религиозные и иные права национальных меньшинств. Наши западные коллеги и здесь руководствуются своими «правилами»: закрывают глаза на открытое лишение национальных меньшинств соответствующих прав, потворствуют сохранению в Европе позорного феномена безгражданства.
Курс на ревизию международного права все чаще проявляется и в настойчивой линии на переписывание итогов Второй мировой войны, оправдание множащихся проявлений неонацизма, вандализма в отношении памятников освободителям Европы и жертвам Холокоста.
Испытаниям на прочность подвергаются и такие ключевые принципы Устава ООН, как невмешательство во внутренние дела, недопустимость применения силы или угрозы силой.
К списку стран, чья государственность была разрушена на наших глазах путем агрессии или инспирированных из-за рубежа переворотов, сейчас пытаются добавить Венесуэлу. Россия, как и подавляющее большинство членов ООН, отвергает попытки вернуть в Латинскую Америку «правила» времён «доктрины Монро», попытки менять извне режимы в суверенных государствах, не гнушаясь методами военного шантажа, незаконного принуждения и блокады, как это происходит в отношении Кубы вопреки многочисленным резолюциям ООН.
В следующем году исполняется 60 лет Декларации о предоставлении независимости колониальным странам и народам, которая была принята по инициативе нашей страны. Однако до сих пор ряд западных государств цепляются за старые «правила», игнорируют эту Декларацию и другие, обращенные непосредственно к ним, решения Генеральной Ассамблеи ООН по вопросам деколонизации, продолжая удерживать под своим контролем бывшие заморские территории.
В ноябре нынешнего года грядет еще один юбилей – 20 лет с момента принятия на саммите ОБСЕ Хартии европейской безопасности и Платформы безопасности, основанной на сотрудничестве. В этих документах сформулированы принципы взаимодействия всех стран и региональных организаций в Евроатлантике. Главы государств и правительств торжественно провозгласили, что никто не должен обеспечивать собственную безопасность за счет безопасности других. К сожалению, достигнутый тогда на высшем уровне консенсус сегодня опять подменяется взятой за «правило» практикой НАТО, которая продолжает мыслить категориями поиска врага, продвигая свою военную инфраструктуру на восток к российским границам, наращивая военные бюджеты, хотя они и так более чем в 20 раз превышают российский. Призываем вернуться к договоренностям о выстраивании равной и неделимой безопасности на пространстве ОБСЕ. В последнее время в пользу этого высказываются и ответственные политики в Европе, как, в частности, показала августовская встреча Президента России В.В.Путина и Президента Франции Э.Макрона.
Надежная и открытая архитектура необходима и в Азиатско-Тихоокеанском регионе. Опасно поддаваться искушению разбить его на конфликтующие блоки. Такие попытки будут противоречить задаче объединения усилий всех стран региона для эффективного ответа на  сохраняющиеся здесь угрозы и вызовы, включая задачу урегулирования всего комплекса проблем Корейского полуострова исключительно мирным путем.
Огромный ущерб создававшейся на протяжении десятилетий глобальной системе стратегической стабильности нанесен в результате действий США, которые вслед за выходом из Договора об ограничении систем противоракетной обороны (ПРО) разрушили – при послушной поддержке всех членов НАТО – Договор о ликвидации ракет средней и меньшей дальности (ДРСМД). Теперь под вопросом судьба Договора о сокращении стратегических наступательных вооружений (ДСНВ). К тому же США отказываются ратифицировать Договор о всеобъемлющем запрещении ядерных испытаний (ДВЗЯИ), а в своих доктринальных документах понизили порог применения ядерного оружия. Берут курс на превращение киберпространства и космоса в арену военного противостояния.
В целях недопущения дальнейшего нагнетания напряженности Россия внесла ряд инициатив. Президент России В.В.Путин объявил о решении не размещать наземные РСМД в Европе или других регионах, если и пока от этого будут воздерживаться американцы. Призвали США и НАТО присоединиться к такому мораторию. Также неоднократно предлагали Вашингтону начать переговоры о продлении ДСНВ. Вместе с КНР выступаем за согласование юридически обязывающего документа о предотвращении гонки вооружений в космосе. Реакция на все эти предложения со стороны США и их союзников пока не обнадеживает.
Настораживает затянувшееся отсутствие ответа и на наше предложение, сделанное американским коллегам еще год назад – принять на высшем уровне российско-американское заявление о неприемлемости и недопустимости ядерной войны, в которой по определению не может быть победителей. Призываем всех членов ООН поддержать эту инициативу.
Сегодня хотел бы объявить: на текущей сессии Генеральной Ассамблеи ООН мы вносим проект резолюции «Укрепление и развитие системы договоренностей по контролю над вооружениями, разоружению и нераспространению». Приглашаем всех к конструктивным переговорам. Одобрение такой резолюции стало бы важным вкладом в создание условий для успешного проведения в будущем году обзорной конференции по выполнению Договора о нераспространении ядерного оружия (ДНЯО).
Россия продолжит настойчивую работу в пользу укрепления всеобщей безопасности. В этой сфере мы действуем с предельной ответственностью, проявляя сдержанность в сфере оборонного строительства – разумеется, без ущерба для надежного обеспечения национальной безопасности, в полном соответствии с международным правом.
Выступаем за консолидацию усилий в борьбе с международным терроризмом под эгидой ООН. В интересах мобилизации потенциала региональных организаций на подавление террористической угрозы Россия провела министерское заседание Совета Безопасности ООН с участием ОДКБ, ШОС и СНГ.
Среди важнейших задач мирового сообщества – выработка общеприемлемых подходов к регулированию цифровой сферы, осмысление процессов, связанных с созданием искусственного интеллекта. В прошлом году Генеральная Ассамблея ООН одобрила начало предметной работы по согласованию правил ответственного поведения государств в информационном пространстве. По инициативе России также принята резолюция о противодействии киберпреступности. Важно продвигаться к достижению юридически обязывающих договоренностей по всем аспектам международной информационной безопасности.
Необходимо также активизировать усилия по урегулированию многочисленных кризисов и конфликтов во всех регионах мира. Главное – добиваться от сторон соблюдения уже имеющихся договоренностей, не позволять им изобретать предлоги для отказа от выполнения уже взятых на себя обязательств. Это касается и конфликтов на постсоветском пространстве, включая необходимость строго следовать положениям Минского «Комплекса мер» по урегулированию кризиса на юго-востоке Украины.
В Сирии, где достигнуты серьезные успехи в борьбе с терроризмом, на первый план выходят вопросы дальнейшего продвижения политического процесса, ведомого сирийцами при содействии ООН. При решающем вкладе России, Турции и Ирана как гарантов Астанинского формата завершено формирование Конституционного комитета, о чем на днях объявил Генеральный секретарь ООН А.Гутерреш. На повестке дня – постконфликтное восстановление, создание условий для возвращения беженцев. Здесь гораздо более активную роль должна сыграть система ООН.
Однако в целом на Ближнем Востоке и Севере Африки проблем еще много. Мы видим, что происходит в Ливии, Йемене. На грани срыва перспективы решения палестинского вопроса и реализации Арабской мирной инициативы. Тревожат попытки разыгрывать взрывоопасную для многих стран «курдскую карту».
Искусственно нагнетается напряженность в Персидском заливе. Призываем к преодолению имеющихся разногласий через диалог, без голословных обвинений. Наш вклад – представленная летом этого года обновленная российская концепция коллективной безопасности в этом регионе.
Поддерживая усилия африканских государств по прекращению конфликтов на своем континенте, Россия организовала вчера заседание Совета Безопасности ООН по укреплению мира и безопасности в Африке. В конце октября в Сочи состоится первый в истории саммит Россия-Африка. Рассчитываем, что его результаты позволят повысить эффективность борьбы с современными вызовами и угрозами, эффективность работы по преодолению стоящих перед африканскими странами проблем развития.
Совершенствованию антикризисной, миротворческой деятельности ООН призвана способствовать реформа ее Совета Безопасности. Реалии многополярного мира делают главной задачей поиск такой формулы, которая устранила бы очевидный геополитический дисбаланс в его нынешнем составе и обеспечила бы расширение представленности в Совете стран Африки, Азии и Латинской Америки при максимально широком согласии государств-членов ООН.
Дамы и господа,
Разделительные линии губительны не только для мировой политики, но и для экономики. Ее инклюзивный рост сдерживается в результате того, что нормы ВТО подменяются другими «правилами»: методами недобросовестной конкуренции, протекционизма, торговых войн, односторонних санкций, откровенного злоупотребления статусом американского доллара. Все это ведет к фрагментации глобального экономического пространства, негативно влияет на жизни людей. Считаем необходимым вернуться к совместной конструктивной работе и в организациях системы ООН, и в «Группе двадцати». Будем содействовать созданию благоприятных для этого условий, в том числе через возможности БРИКС, где Россия заступает на пост председателя в 2020 году.
Вместе с единомышленниками выступаем за гармонизацию интеграционных процессов. Эта философия лежит в основе инициативы Президента России В.В.Путина о формировании Большого Евразийского партнерства из числа стран-участниц ЕАЭС, ШОС, АСЕАН и открытого для всех других государств Евразии, включая и членов Европейского союза. Движение в этом направлении уже началось через сопряжение планов развития ЕАЭС и китайского проекта «Один пояс – один путь». Последовательное осуществление этих начинаний позволит не только повысить динамику экономического роста, но и заложить добротный фундамент для построения пространства мира, стабильности и сотрудничества от Лиссабона до Джакарты.
Дамы и господа,
В преддверии очередного юбилея ООН хотел бы подчеркнуть: ооноцентричная система миропорядка, несмотря на все испытания, сохраняет устойчивость, обладает большим запасом прочности. Она – своего рода страховочная сетка, гарантирующая, если уважать Устав, мирное развитие человечества через нахождение баланса порой весьма противоречивых интересов различных стран.
Наверное, главный вывод по итогам этих 75 лет состоит в том, что по-прежнему востребован полученный в годы той жесточайшей войны опыт деидеологизированного сотрудничества государств перед лицом общей угрозы.
Сегодняшние угрозы и вызовы таят не меньшие опасности.
Лишь работая сообща, мы сможем эффективно на них реагировать. Полвека назад выдающийся российский ученый и общественный деятель, Лауреат Нобелевской премии А.Д.Сахаров написал такие слова: «Разобщенность человечества угрожает ему гибелью… Для человечества отойти от края пропасти – значит преодолеть разобщенность». Именно в единении видели основную задачу ООН ее отцы-основатели. Давайте будем достойны их наследия и их памяти.
Благодарю за внимание.</t>
  </si>
  <si>
    <t>https://www.mid.ru/ru/press_service/video/vistupleniya_ministra/1471144/</t>
  </si>
  <si>
    <t>В.Путин: Уважаемый господин Председатель! Уважаемый господин Генеральный секретарь! Уважаемые коллеги! Дамы и господа!
В этом году мировое сообщество отмечает два без преувеличения исторических юбилея – 75‑летие окончания Второй мировой войны и создания Организации Объединённых Наций.
Невозможно переоценить значимость этих навсегда связанных друг с другом событий. В 1945 году был разгромлен нацизм, сокрушена идеология агрессии и ненависти, а опыт и дух союзничества, понимание той громадной цены, которая была заплачена за мир и общую Победу, позволили построить послевоенный миропорядок. Его безусловным фундаментом стал Устав ООН, остающийся и по сей день главным источником международного права.
Убеждён, нынешний юбилей обязывает нас вспомнить о зафиксированных в Уставе ООН непреходящих принципах межгосударственного общения, а отцы‑основатели Всемирной Организации сформулировали их предельно чётко и недвусмысленно: это равенство суверенных государств, невмешательство в их внутренние дела, право народов самим определять свою судьбу, отказ от угрозы или применения силы, политическое урегулирование споров.
Оглядываясь на прошедшие десятилетия, можно сказать, что при всех сложностях периода «холодной войны», кардинальных геополитических сдвигах, при сегодняшних хитросплетениях мировой политики ООН достойно выполняет свою главную миссию – беречь мир, содействовать устойчивому развитию народов и континентов, помогать в преодолении локальных кризисов.
Этот колоссальный потенциал и опыт ООН востребован и служит хорошей основой для того, чтобы идти вперёд. Ведь, как и любая международная организация или региональная структура, ООН не должна костенеть, а должна отражать в своём развитии динамику XXI века, последовательно адаптироваться к реалиям современного мира, а он действительно становится всё более сложным, многополярным, многомерным.
Происходящие изменения, конечно же, оказывают своё влияние на главный орган ООН – Совет Безопасности, на дискуссию вокруг подходов к его реформированию. Наша логика в том, чтобы Совбез полнее учитывал интересы всех стран, всё многообразие их позиций, опирался на принцип самого широкого согласия государств, но при этом, как и прежде, служил ключевым звеном системы глобального управления, чего нельзя обеспечить без сохранения права вето постоянных членов Совбеза.
Такое право пяти ядерных держав – победительниц во Второй мировой войне и сегодня отражает реальный военно‑политический баланс. А главное, это тот абсолютно необходимый и уникальный инструмент, который не допускает односторонних действий, чреватых прямым военным столкновением крупнейших государств, даёт возможность искать компромисс или как минимум избегать решений, категорически неприемлемых для других, действовать в рамках международного права, а не в зыбкой, серой зоне произвола и нелегитимности.
И, как показывает дипломатическая практика, этот инструмент работает в отличие от печального опыта довоенной Лиги Наций с её бесконечными разговорами, декларациями без механизмов реальных действий, без права государств и народов, попавших в беду, на помощь и защиту.
Забвение уроков истории недальновидно и крайне безответственно – так же, как и политизированные, основанные не на фактах, а на домыслах попытки произвольно трактовать причины, ход и итоги Второй мировой войны, переиначивать решения конференций союзников и Нюрнбергского трибунала.
Это не просто низость и преступление перед памятью борцов с нацизмом. Это прямой, разрушительный удар по самим основам послевоенного мироустройства, что особенно опасно в условиях, когда глобальная стабильность подвергается серьёзным испытаниям, когда деградирует система контроля над вооружениями, не стихают региональные конфликты, обостряются угрозы, исходящие от терроризма, оргпреступности и наркотрафика.
Мы все столкнулись и с принципиально новым вызовом – пандемией коронавируса. Болезнь прямо затронула миллионы людей, унесла самое дорогое – сотни тысяч человеческих жизней. Карантины, закрытие границ, создание многочисленных тяжёлых проблем для граждан практически всех государств – всё это реалии сегодняшнего дня. Особенно это тяжело для людей старших поколений, которые из‑за вынужденных ограничений порой неделями, а то и месяцами не могли обнять своих близких, детей, внуков.
Экспертам ещё только предстоит в полной мере оценить и масштаб связанного с эпидемией социально‑экономического шока, все его отдалённые последствия. Но уже сейчас очевидно, что восстанавливать глобальную экономику предстоит долго, очень долго. Причём далеко не всегда будут работать прежде опробованные антикризисные меры. Потребуются новые, нестандартные решения.
Выработать их мы можем только вместе, и это важнейшая задача как для ООН, так и для государств «двадцатки» и, конечно, для других ведущих межгосударственных организаций и интеграционных объединений, которые из‑за последствий пандемии также переживают не лучшие времена и нуждаются в принципиально новых горизонтах и масштабах развития.
Именно эта идея качественного интеграционного роста, «интеграции интеграций» заложена в российскую инициативу по формированию Большого евразийского партнёрства с участием всех без исключения стран Азии и Европы. Она сугубо прагматична и сейчас становится ещё более актуальной.
Кроме того, хотел бы вновь привлечь внимание к российскому предложению о введении так называемых зелёных коридоров, свободных от торговых войн и санкций, прежде всего для товаров первой необходимости, продовольствия, лекарств, средств индивидуальной защиты, востребованных именно для борьбы с пандемией.
Да и в целом расчистка, освобождение мировой торговли от барьеров, запретов, ограничений, нелегитимных санкций могло бы стать хорошим подспорьем для восстановления глобального роста, сокращения безработицы. Так, по оценкам экспертов, полное или частичное сокращение занятости в мире во втором квартале этого года эквивалентно потере 400 миллионов рабочих мест, и нужно сделать всё, чтобы такая безработица не стала застойной, чтобы люди вернулись к работе, могли обеспечивать свои семьи, а не оказались в тисках бедности, без перспектив в жизни.
Это действительно острейшая глобальная социальная проблема, поэтому миссия политики сейчас – прокладывать дорогу торговле, совместным проектам и честной конкуренции, а не связывать руки бизнесу и деловой инициативе.
Пандемия заострила и целый ряд этических, технологических, гуманитарных тем. Так, передовые цифровые технологии позволили быстро перестроить систему образования, торговли, сферы услуг, наладить дистанционное обучение, онлайн‑курсы для людей разных возрастов. Искусственный интеллект помогал врачам более точно и быстро ставить диагнозы, подбирать оптимальные схемы лечения.
Но, как и любые другие инновации, цифровые технологии имеют тенденцию к неуправляемому распространению и так же, как и обычное оружие, могут попасть в руки к разного рода радикалам и экстремистам не только в зонах региональных конфликтов, но и во вполне благополучных странах, порождая огромные риски.
В этой связи вопросы кибербезопасности, применения передовых цифровых технологий также заслуживают самого серьёзного разговора на площадке ООН. Важно услышать, воспринять опасения людей – насколько в новую эпоху будут защищены их права: права на частную жизнь, собственность, безопасность.
Мы должны учиться использовать новые технологии во благо человечества, найти правильный баланс между стимулами к развитию искусственного интеллекта и оправданными ограничительными мерами, совместными усилиями прийти к согласию в сфере регулирования, которое исключило бы потенциальные угрозы, причём с точки зрения не только военной, технологической безопасности, но и традиций, права, морали человеческого общения.
Отмечу, что в период пандемии врачи, волонтёры, граждане разных стран показывали и показывают всем нам примеры взаимопомощи и поддержки, и такая солидарность не знает границ. Многие страны также бескорыстно и открыто помогали и помогают друг другу. Но были и случаи, когда проявлялся дефицит гуманизма и, если хотите, доброты в отношениях на межгосударственном, официальном уровне.
Полагаем, что авторитет ООН мог бы содействовать укреплению и повышению роли именно гуманитарной, человеческой составляющей в многосторонних и двусторонних отношениях, а это общественные и молодёжные обмены, культурные связи, социальные и образовательные программы, кооперация в сфере спорта, науки, технологий, охраны окружающей среды и здоровья людей.
Что касается здравоохранения, то здесь сейчас, как и в экономике, нужно максимально снимать преграды для партнёрства. Наша страна принимала и принимает активное участие в глобальных и региональных усилиях по борьбе с COVID‑19, оказывает помощь наиболее пострадавшим государствам как на двусторонней основе, так и по линии многосторонних форматов.
Делаем это прежде всего с учётом центральной координирующей роли входящей в структуру ООН Всемирной организации здравоохранения. Считаем, что потенциал ВОЗ необходимо качественно укреплять. Такая работа уже начинается, и Россия примет в ней самое заинтересованное участие.
Накопленный научный, производственный потенциал, клинический опыт российских врачей позволили оперативно разработать линейку тест‑систем и медицинских препаратов для выявления и лечения коронавируса, а затем и зарегистрировать первую в мире вакцину – «Спутник‑V».
Вновь повторю: мы абсолютно открыты и настроены на партнёрство. В этой связи выступаем с инициативой в ближайшее время провести онлайн‑конференцию высокого уровня с участием государств, заинтересованных в кооперации по созданию вакцин против коронавируса.
Готовы делиться нашим опытом и продолжать взаимодействовать со всеми государствами и международными структурами, в том числе это касается поставок в другие страны российской вакцины, доказавшей свою надёжность, безопасность и эффективность. Россия убеждена: сейчас надо использовать все мощности глобальной фарминдустрии, чтобы уже в обозримой перспективе обеспечить свободный доступ к вакцинации для граждан всех государств.
С опасным вирусом может столкнуться каждый. Коронавирус не обошёл стороной и персонал Организации Объединённых Наций, её штаб‑квартиры и региональные структуры. Россия готова оказать ооновцам всю необходимую квалифицированную помощь, в частности предлагаем бесплатно предоставить нашу вакцину для добровольной вакцинации сотрудников Организации и её подразделений. Такие обращения от коллег из ООН к нам поступают, и мы не останемся к ним безучастными.
Что ещё принципиально важно в сегодняшней повестке дня? В центре совместных усилий, конечно, должны оставаться и защита окружающей среды, и проблемы изменения климата.
Свою актуальность в полной мере доказали соответствующие многосторонние конвенции, договоры и протоколы в рамках ООН. Призываем все государства ответственно подходить к их соблюдению, особенно по достижению целей Парижского соглашения.
Уважаемые коллеги!
Хочу вновь подчеркнуть: Россия приложит все усилия к тому, чтобы содействовать мирному, политико‑дипломатическому урегулированию региональных кризисов и конфликтов, обеспечению стратегической стабильности.
Несмотря на все споры и разногласия, порой недопонимание и даже недоверие некоторых коллег, будем настойчиво предлагать конструктивные, объединяющие инициативы, прежде всего в сфере контроля над вооружениями, укрепления действующих здесь договорных режимов. Это в том числе касается запрета химического, биологического и токсинного оружия.
Первоочередной вопрос, который можно и нужно решить оперативно, – это, конечно, продление Договора России и США о стратегических наступательных вооружениях, истекающего в феврале 2021 года, совсем скоро. Мы ведём такие переговоры с американскими партнёрами.
Кроме того, рассчитываем на взаимную сдержанность в развёртывании новых ракетных систем. Добавлю, что с прошлого года – хочу это подчеркнуть – уже с прошлого года Россия уже объявила мораторий на размещение наземных ракет средней и меньшей дальности в Европе и других регионах мира до тех пор, пока от таких мер будут воздерживаться Соединённые Штаты Америки. Мы, к сожалению, пока не слышим реакции на наше предложение ни от американских партнёров, ни от их союзников.
Полагаю, что подобные встречные шаги по конкретным вопросам создали бы хорошую основу для начала серьёзного, глубокого разговора по всей совокупности факторов, влияющих на стратегическую стабильность. Его целью стал бы выход на комплексные договорённости, формирование прочной основы для архитектуры международной безопасности, учитывающей предыдущий опыт в этой сфере и в полной мере отвечающей не только современным, но и перспективным военно‑политическим и технологическим реалиям.
В частности, Россия выступает с инициативой о заключении юридически обязывающего соглашения с участием всех ведущих космических держав, которое предусматривало бы запрет на размещение оружия в космосе, на применение силы или угрозы силы в отношении космических объектов.
Хорошо понимаем, что и вопросы безопасности, и все другие проблемы, которые обсуждает юбилейная Генассамблея ООН, требуют консолидации усилий на основе тех ценностей, которые нас объединяют, нашей общей памяти об уроках истории, о духе союзничества, когда члены антигитлеровской коалиции во имя Победы и мира для всех народов планеты смогли стать выше разногласий и идеологических предпочтений.
В нынешних сложных условиях всем странам важно проявить политическую волю, мудрость и дальновидность. И конечно, ведущая роль здесь принадлежит постоянным членам Совета Безопасности ООН – державам, которые уже 75 лет несут особую ответственность за международный мир и безопасность, за сохранение основ международного права.
Именно осознавая эту ответственность, Россия предложила созвать саммит стран «большой пятёрки». Его цель – подтвердить ключевые принципы поведения в международных делах, выработать пути эффективного решения острейших проблем современности. Отрадно, что наши партнёры поддержали инициативу. Рассчитываем провести такую именно очную встречу в верхах сразу, как только позволит эпидемиологическая обстановка.
Вновь повторю: во взаимосвязанном, взаимозависимом мире, в водовороте международных событий необходимо действовать сообща и опираться при этом на зафиксированные в Уставе ООН принципы международного права. Только так мы будем способны выполнять высокую миссию нашей Организации и обеспечить достойную жизнь для нынешнего и будущих поколений.
Желаю всем народам планеты мира и благополучия.
Благодарю вас за внимание.</t>
  </si>
  <si>
    <t>http://www.kremlin.ru/events/president/transcripts/speeches/64074</t>
  </si>
  <si>
    <t>Нью-Йорк (онлайн)</t>
  </si>
  <si>
    <t xml:space="preserve">Ларов </t>
  </si>
  <si>
    <t>Уважаемый господин Председатель,
Уважаемый господин Генеральный секретарь,
Дамы и господа,                                                 
Рад возможности выступить с трибуны Генеральной Ассамблеи ООН. То, что мы вновь собрались в этом зале, символизирует коллективную решимость восстановить нормальное общение, прерванное после начала пандемии COVID-19.
По большому счету, у нас нет иного выбора: широкое сотрудничество Объединенных Наций особенно востребовано сейчас, когда число проблем на глобальной повестке дня продолжает расти. Расширяется спектр трансграничных угроз. Серьезный дестабилизирующий заряд несут многочисленные региональные очаги напряженности. Право сильного все чаще пытаются применять против силы права. Среди ведущих держав нет согласия относительно принципов мироустройства.
Для России очевидно, что эффективно противостоять вызовам и угрозам можно лишь солидарными усилиями в строгом соответствии с общепризнанными нормами международного права, прежде всего – целями и принципами Устава ООН. Всемирная организация должна играть в глобальной политике центральную координирующую роль, в полной мере раскрывая свой уникальный потенциал универсальной многосторонности и легитимности.
В последнее время наблюдаем настойчивые попытки принизить роль ООН в решении ключевых проблем современности, «задвинуть» ее на второй план или превратить в послушный инструмент для продвижения чьих-то эгоистичных интересов. Такие попытки отчетливо проявляются в концепции так называемого «порядка, основанного на правилах», которую Запад настойчиво внедряет в политический оборот в противовес международному праву.
Никто, разумеется, не выступает против правил как таковых. В конце концов Устав ООН – это именно свод правил. Но правил, одобренных всеми странами мира. Точно так же любые новые нормы, регулирующие межгосударственное общение, должны согласовываться на универсальных площадках, прежде всего здесь. Когда же они устанавливаются келейно, в обход Всемирной организации, то не могут обладать всеохватной легитимностью.
Переводя дискуссии по ключевым проблемам в удобные для себя форматы, Запад хотел бы исключить из процесса выработки глобальных решений тех, кто имеет свою собственную, иную точку зрения. Не так давно в этой логике Германия и Франция объявили о создании «альянса мультилатералистов», хотя казалось бы, какая еще структура может быть более многосторонней, чем ООН? Однако Берлин и Париж посчитали, что в ООН много «консерваторов», которые сдерживают усилия «передового авангарда». Идеалом «эффективного мультилатерализма» они провозгласили Евросоюз, всем другим предложено на него равняться.
Свежий пример – выдвинутая Администрацией США идея созыва «саммита демократий». Участников, разумеется, Вашингтон будет определять сам, присваивая себе право определять степень соответствия той или иной страны демократическим стандартам. По сути эта инициатива – вполне в духе «холодной войны» – провозглашает новый идеологический «крестовый поход» против всех несогласных. Причем эта линия осуществляется на фоне прозвучавших в выступлении Президента Дж.Байдена слов о том, что США не хотят разделения мира на противостоящие блоки. На деле же «саммит демократий» станет шагом в направлении раскола мирового сообщества на «своих» и «чужих».
Показательно также, что, декларируя приоритет демократии в своих отношениях с любыми партнерами, Вашингтон озабочен исключительно положением дел внутри соответствующих стран. Как только речь заходит об утверждении демократии в сфере международных отношений – США, да и все их союзники, теряют к разговору интерес: никто, дескать, не может посягать на авторитет НАТО и ЕС. Таковы правила.
Недавно Президент Дж.Байден заявил об отказе от использования военных методов, чтобы, как он выразился, «переделывать другие страны». Ожидаем что США сделают следующий шаг и откажутся не только от силовых, но и от любых других методов навязывания своей модели развития.
«Порядок, основанный на правилах» базируется на двойных стандартах. Когда это выгодно Западу – право народов на самоопределение возводится в абсолют. И тогда в нарушение резолюции Совета Безопасности и без всяких референдумов признают в качестве независимого государства искусственно созданное образование Косово, до этого силой отторгнутое от европейского государства – Сербии. Никого не смущает, что Мальвины находятся за 12 тыс. км от Великобритании, а под контролем Парижа и того же Лондона до сих пор, вопреки решениям ООН и Международного суда, остаются бывшие колониальные владения, которые никто не собирается освобождать. Когда же право на самоопределение противоречит геополитическим интересам Запада – как в случае свободного волеизъявления жителей Крыма на референдуме о воссоединении с Россией в 2014 году, – про него забывают, а за реализацию этого права вводят противозаконные санкции. Причина проста: крымчане ведь спасались от ультрарадикалов, совершивших госпереворот на Украине, который был поддержан Западом. То есть к власти в Киеве пришли «свои», а их – по западным правилам – надо брать под защиту и выгораживать.
В русле того же «порядка, основанного на правилах», США сохраняют архаичное торговое эмбарго в отношении Кубы, стремятся диктовать свою волю народам Венесуэлы и Никарагуа – в грубое нарушение уставного принципа невмешательства во внутренние дела суверенных государств. Применение односторонних рестриктивных мер подрывает прерогативы Совета Безопасности и идет вразрез с недавним призывом Генерального секретаря ООН к их приостановке хотя бы на период пандемии.
На размывание ооноцентричного мироустройства направлены и усилия ряда стран по переписыванию истории Второй мировой войны. Члены ЕС и НАТО отказываются поддерживать резолюции Генассамблеи о недопустимости героизации нацизма, отвергают предложения осудить практику разрушения памятников освободителям Европы от «коричневой чумы».
Насаждение «порядка, основанного на правилах» вместо безусловного соблюдения международного права чревато опасными рецидивами блоковой политики, созданием разделительных линий – между группой западных стран и остальными государствами. Впрочем, последние события показали, что волюнтаристские правила могут применяться и внутри западного лагеря, если кто-то там становится слишком самостоятельным. По крайней мере многие мировые СМИ расценили эпопею с поставками подводных лодок в Австралию как реакцию на разговоры о «стратегической автономии» Европы, которые активизировались после поспешного выхода США из Афганистана. Сложившаяся вокруг этого выхода ситуация хаоса тоже является иллюстрацией тех правил, на которых Запад хотел бы строить свой миропорядок.
Убеждены, что пора извлекать уроки из опасных последствий курса на подрыв ооноцентричной архитектуры, которая была сформирована по итогам Второй мировой войны и не раз служила надежной страховкой от катастрофических сценариев. Перед лицом глобальных вызовов мировому сообществу необходимо единение, а не новый раскол. Россия твердо выступает за отказ от любой конфронтации и стереотипов, за объединение усилий для решения ключевых задач развития и выживания человечества. Для этого у нас есть достаточно инструментов. Прежде всего – это ООН и ее Совет Безопасности, который необходимо адаптировать к реалиям полицентричного миропорядка, расширив его состав за счет стран Азии, Африки и Латинской Америки.
Стимулировать налаживание подлинно коллективных действий могут и должны постоянные члены Совета Безопасности ООН, несущие в соответствии с Уставом особую ответственность перед Организацией. Президент России В.В.Путин предложил созвать саммит «большой пятерки» для честного разговора по проблемам глобальной стабильности.
Большие ожидания связывают и с перспективами российско-американского диалога о будущем контроля над вооружениями, о начале которого договорились на российско-американском саммите в Женеве. При наличии доброй воли выход на взаимоприемлемые решения вполне реален. Весь мир был обнадежен согласием новой Администрации США с нашим предложением продлить Договор об ограничении СНВ без каких-либо условий. Огромное значение имело подтверждение в совместном заявлении президентов России и США приверженности принципу, согласно которому в ядерной войне не может быть победителей и она никогда не должна быть развязана.
Ответственный подход востребован и в других областях стратегической стабильности. После выхода Вашингтона из Договора РСМД Россия взяла на себя одностороннее обязательство не размещать такие ракеты наземного базирования – как в ядерном, так и неядерном оснащении – в регионах, где не будут развертываться аналогичные системы американского производства. По-прежнему ожидаем реакцию членов НАТО на наше предложение объявить аналогичный мораторий, подкрепленный – подчеркну это особо – взаимными мерами верификации.
Среди новых глобальных вызовов и угроз – намерение отдельных государств милитаризировать Интернет, развязать гонку кибервооружений. Россия выступает за согласование на площадке ООН путей обеспечения международной информационной безопасности. Здесь тоже критерием должны быть не чьи-то «специальные правила», а универсальные договоренности, позволяющие транспарентно, с опорой на факты, рассматривать любые озабоченности. На это нацелены наши инициативы о выработке единых норм ответственного поведения государств в сфере использования ИКТ и о подготовке универсальной конвенции по борьбе с киберпреступностью.
Наряду с цифровым пространством, некоторые страны рассматривают космос как сферу противоборства. Считаем это опасной тенденцией и предлагаем запретить размещение в космосе любых видов вооружений, равно как и применение там силы или угрозы силой. Российско-китайский проект соответствующего договора остается на столе переговоров Конференции по разоружению.
Россия последовательно выступает с инициативами и по другим проблемам, требующим солидарных действий.
Сегодня, через двадцать лет с момента чудовищных по своей жестокости терактов в Нью-Йорке, как никогда актуален призыв Президента  России В.В.Путина сформировать широкую антитеррористическую коалицию – без «двойных стандартов», на основе международного права. Ожидаем реакции и на российскую инициативу о выработке Конвенции по борьбе с актами химического и биологического терроризма.
Только на основе международного права, путем вовлечения всех заинтересованных сторон и учета их интересов можно добиться прогресса и в урегулировании региональных конфликтов. В Афганистане, Сирии, Ливии, Йемене, других «горячих точках» от всех внешних игроков требуется понимание культурно-цивилизационной специфики общества, отказ от политизации гуманитарной помощи, оказание содействия в формировании широкопредставительных органов власти, включающих все основные этноконфессиональные и политические силы соответствующих стран. Руководствуясь таким подходом, Россия конструктивно участвует в продвижении афганского урегулирования через «расширенную тройку» и «Московский формат», способствует стабилизации ситуации в Сирии в рамках «Астанинского процесса», работает со всеми ливийскими сторонами в целях реализации политических реформ.
Происходящие в ближневосточном регионе процессы не должны отодвигать на задний план задачу достижения устойчивого палестино-израильского урегулирования на общепризнанной международно-правовой базе, предполагающей создание независимого жизнеспособного палестинского государства, сосуществующего в мире с Израилем. Выступаем за перезапуск прямых переговоров между израильтянами и палестинцами, за активизацию роли «квартета» международных посредников в координации с Лигой арабских государств.
Россия продолжит вносить вклад в нормализацию отношений между Ираном и его арабскими соседями. Вместе с партнерами добиваемся скорейшего возобновления полноценной реализации Совместного всеобъемлющего плана действий по урегулированию ситуации вокруг иранской ядерной программы. Для долгосрочной стабилизации всего региона требуется комплексный подход. На это направлена обновленная российская Концепция обеспечения коллективной безопасности в зоне Персидского залива, недавно распространенная в качестве документа СБ и ГА ООН.
В контексте поиска путей преодоления региональных кризисов готовы делиться уникальным российским опытом мирного сосуществования различных цивилизаций, религий и культур. Ожидаем весомых практических результатов от Всемирной конференции по межкультурному и межконфессиональному диалогу, которая состоится в Санкт-Петербурге 16-18 мая 2022 года, её проведение поддержано Генеральным секретарем ООН А.Гутеррешем и руководством Межпарламентского союза.
Сегодня многократно возрастает значение гуманитарного социально-экономического и природоохранного измерений деятельности ООН. Важно избежать искушения делать и эти сферы предметом геополитических игр и недобросовестной конкуренции.
COVID-19 – наш общий враг. Поддерживаем взаимное признание вакцин, одобренных национальными надзорными органами, в интересах скорейшего снятия ограничений на международные поездки граждан.
Принципиально важно не ослаблять усилия по реализации Повестки дня в области устойчивого развития на период до 2030 года. Рассчитываем, что достижению ЦУР помогут решения состоявшегося на днях Саммита ООН по продовольственным системам.
Выступаем за укрепление центральной роли ООН в формировании природоохранной повестки дня на основе равноправия и уважения интересов друг друга, включая учет социально-экономических реалий. Иначе будет трудно мобилизовать все государства на достижение общемировых климатических целей.
На поиск баланса интересов следует настраивать работу всех структур, влияющих на эффективность глобального управления, по максимуму использовать потенциал такого инклюзивного объединения, как «Группа двадцати», куда входят и «старые», и «новые» динамично развивающиеся мировые центры – такие, как БРИКС и их единомышленники. С интересом восприняли Глобальную инициативу в области развития Председателя КНР Си Цзиньпина, созвучную нашим подходам.
Россия с союзниками и партнерами поддерживает укрепление взаимодополняющих сетевых альянсов через развитие интеграционных процессов в рамках СНГ, ЕАЭС, ОДКБ, ШОС. Существенный позитивный заряд несет в себе инициатива Президента России В.В.Путина о формировании Большого Евразийского партнерства с подключением АСЕАН, который играет центральную роль в определении норм поведения в Азиатско-Тихоокеанском регионе.
В целом региональный аспект развития мира становится все более определяющим. Многое зависит от того, сможем ли мы перевести в конструктивное русло нарастающее соперничество между регионами. Кто важнее: Европа или Азия? Тихий или Индийский океан? Будет ли создан «латиноамериканский Евросоюз»? Зачем делать Африку ареной противоборства?
В Уставе ООН есть глава VIII, посвященная отношениям с региональными организациями. На этой основе Генеральный секретарь ежегодно собирает такие организации для обмена мнениями о глобальной политике. Считаем полезным сделать в этом формате следующий шаг и использовать его для подготовки предложений о гармонизации региональных устремлений в целях максимально эффективного глобального ответа на вызовы времени.
Все мы – «в одной лодке». В наших общих интересах – чтобы она крепко держалась на волнах мировой политики. Мы разные, но это не должно мешать нам работать на благо наших народов и всего человечества. Только так сможем выполнить высокую миссию Организации Объединенных Наций – уберечь нынешнее и грядущее поколение от войн, болезней и голода, построить более мирное, стабильное и демократичное будущее для всех.</t>
  </si>
  <si>
    <t>https://www.mid.ru/ru/press_service/video/vistupleniya_ministra/1777106/</t>
  </si>
  <si>
    <t>Уважаемая госпожа Председатель,
Уважаемые коллеги,
Дамы и господа,
Мы встречаемся в непростой, драматический момент. Кризисные явления нарастают и положение в области международной безопасности стремительно деградирует.
Вместо честного диалога и поиска компромиссов приходится иметь дело с дезинформацией, грубыми инсценировками и провокациями. Линия Запада подрывает доверие к международным институтам как органам согласования интересов и к международному праву как гарантии справедливости и защиты слабых от произвола. Негативные тенденции в концентрированном виде мы наблюдаем в стенах ООН, которая появилась на обломках германского фашизма и японского милитаризма и была создана с целью содействия развитию дружественных отношений между ее членами и предотвращению конфликтов между ними.
Сегодня решается вопрос о будущем миропорядка – это ясно любому непредвзятому наблюдателю. Вопрос в том, будет ли это порядок с одним гегемоном, заставляющим всех жить по своим пресловутым «правилам», выгодным только ему. Или это будет демократичный, справедливый мир – без шантажа и запугивания неугодных, без неонацизма и неоколониализма. Россия твердо выбирает второй вариант. Мы вместе с союзниками, партнерами и единомышленниками призываем работать над его воплощением в жизнь.
В прошлое уходит однополярная модель мирового развития, которая обслуживала интересы «золотого миллиарда», чьё сверхпотребление столетиями обеспечивалось за счет ресурсов Азии, Африки и Латинской Америки. Сегодня становление суверенных государств, готовых отстаивать национальные интересы, ведет к формированию равноправной, социально ориентированной и устойчивой многополярной архитектуры. Однако объективные геополитические процессы воспринимаются Вашингтоном и полностью подчинившимися ему правящими элитами западных стран как угроза их доминирующему положению.
США и их союзники хотят остановить маховик истории. Когда-то, провозгласив победу в «холодной войне», Вашингтон возвёл себя чуть ли не в ранг посланника Господа Бога на Земле, у которого нет обязательств, а есть только «священные» права безнаказанно действовать – как и где угодно. Зоной таких действий может быть объявлено любое государство – особенно если оно чем-то не угодило самопровозглашенным «хозяевам мира». Мы все помним, как под надуманными предлогами были развязаны агрессивные войны против далеких от американских берегов Югославии, Ирака, Ливии, унесшие многие сотни тысяч жизней мирных граждан. Хоть в одной из этих стран разве были затронуты действительно законные интересы Запада? Разве там запрещали английский или языки других стран-членов НАТО, западные СМИ, культуру? Разве объявляли англосаксов «нелюдями», применяли против них тяжелые вооружения? Каковы результаты авантюр США на Ближнем Востоке? Улучшение ситуации с правами человека и верховенством права? Стабилизация социально-политической обстановки? Рост благосостояния населения? Назовите страну, в дела которой силой вмешался Вашингтон и где в результате жизнь стала лучше.
Пытаясь возродить однополярную модель под лозунгом «порядка, основанного на правилах», Запад повсюду насаждает «разделительные линии» в духе блоковой конфронтации: «либо с нами, либо против нас». Третьего не дано, никаких компромиссов. Продолжая бездумный курс на расширение НАТО на Восток, приближение военной инфраструктуры блока к границам России, теперь США поставили задачу подчинения азиатских пространств. На июньском саммите НАТО в Мадриде этот, как он сам себя называет, «оборонительный» альянс провозгласил «неделимость безопасности Евро-Атлантики и Индо-Тихоокеанского региона». Под лозунгом Индо-Тихоокеанских стратегий создаются закрытые форматы, подрывающие всю складывавшуюся десятилетиями вокруг АСЕАН открытую и инклюзивную региональную архитектуру. В дополнение ко всему затеяли «игру с огнем» вокруг Тайваня, обещая ему к тому же военную поддержку.
Очевидно, что пресловутая «доктрина Монро» обретает глобальный охват. Вашингтон пытается превратить весь земной шар в свой «задний двор». Инструмент принуждения несогласных – незаконные односторонние санкции, которые долгие годы принимаются в нарушение Устава ООН и задействуются как инструмент политического шантажа. Цинизм этой практики очевиден.  Рестрикции бьют по гражданскому населению, препятствуя получению доступа к товарам первой необходимости, в том числе медикаментам, вакцинам, продовольствию. Вопиющим примером является длящаяся более 60 лет американская блокада Кубы. Генассамблея ООН давно и настойчиво подавляющим большинством голосов требует ее немедленной отмены. Генеральный секретарь, в чьи обязанности входит содействие выполнению решений Генассамблеи, должен уделить особое внимание этой проблеме. Ему же принадлежит особая роль и в мобилизации усилий по преодолению продовольственного и энергетического кризисов, разразившихся из-за бесконтрольной денежной эмиссии в США и ЕС во время пандемии и безответственных непрофессиональных действий Евросоюза на рынках углеводородов. Вопреки элементарному здравому смыслу Вашингтон и Брюссель усугубили кризисную ситуацию, объявив экономическую войну против России. В результате - рост мировых цен на продовольствие, удобрения, нефть и газ. Приветствуем усилия Генсекретаря, способствовавшие заключению Стамбульских договорённостей 22 июля с.г. Однако эти договорённости надо выполнять. Пока же суда с украинским зерном в большинстве своем идут не в беднейшие страны, а созданные США и ЕС финансовые и логистические препоны на пути российского экспорта зерна и удобрений так до конца и не сняты. Мы уже не первую неделю напоминаем, что 300 тыс. тонн удобрений задержаны в европейских портах. Давно предлагаем бесплатно передать их нуждающимся странам Африки, но Евросоюз не реагирует.
Официальная русофобия приобрела на Западе беспрецедентные, гротескные масштабы. Там уже не стесняются открыто заявлять о намерении не только нанести нашей стране военное поражение, но и разрушить, расчленить Россию. Другими словами, добиться исчезновения с политической карты мира слишком самостоятельной геополитической величины.
В чем же в реальности действия России за последние десятилетия ущемляли интересы оппонентов? Может быть, нам не могут простить, что благодаря позиции нашей страны стала возможна военно-стратегическая «разрядка» 1980-1990 гг.? Что мы в свое время добровольно распустили Организацию Варшавского договора, лишив НАТО смысла ее существования? Поддержали воссоединение Германии без каких-либо условий и вопреки позиции Лондона и Парижа? Вывели вооруженные силы из Европы, Азии, Латинской Америки. Признали независимость бывших советских республик. Поверили обещаниям лидеров Запада не расширять НАТО «ни на дюйм» в восточном направлении, а когда процесс пошел, согласились его фактически легитимизировать посредством заключения Основополагающего акта Россия–НАТО? Может быть, мы нарушили интересы Запада, предупреждая его о неприемлемости приближения угрожающей военной инфраструктуры вплотную к нашим границам?
Аррогантность Запада, американская исключительность приобрели особенно деструктивный характер после завершения «холодной войны». Еще в 1991 г. заместитель главы Пентагона П.Вулфовиц в беседе с командующим объединенными силами НАТО в Европе У.Кларком откровенно признавался в том, что после окончания «холодной войны» они могут использовать  своих военных, не боясь наказания… И что у них есть пять, возможно десять лет для того, чтобы вычистить эти суррогатные советские режимы, такие как Ирак и Сирия, пока не появится новая сверхдержава, способная бросить им вызов. Уверен, что когда-нибудь мы узнаем их чьих-либо мемуаров, как выстраивалась американская стратегия и в отношении Украины. Впрочем, планы Вашингтона и так очевидны.
Возможно, нам никак не могут простить, что по просьбе США и ЕС мы поддержали договоренности тогдашнего президента Украины В.Ф.Януковича с оппозицией об урегулировании кризиса в феврале 2014 г.? Договоренности, которые были гарантированы Германией, Францией и Польшей, наутро были растоптаны главарями кровавого госпереворота, унизившими европейских посредников. Запад лишь развел руками и молча наблюдал, как путчисты стали бомбить восток Украины, где отказались признать результаты госпереворота, как его организаторы возвели в ранг национальных героев нацистских приспешников, причастных к зверским этническим чисткам русских, поляков, евреев в годы Второй мировой войны. Мы что, должны были мириться с курсом Киева на тотальный запрет русского языка, образования, российских СМИ и культуры с требованиями изгнать русских из Крыма, объявлением войны против Донбасса, жителей которого и тогдашние, и нынешние киевские власти провозгласили не людьми, а «существами» устами своего высшего руководства?
Может быть, Россия нарушила интересы Запада тем, что сыграла ключевую роль в прекращении развязанных киевскими неонацистами боевых действий на востоке Украины, а затем требовала выполнения Минского «Комплекса мер», который был единогласно одобрен Советом Безопасности ООН в феврале 2015 г., но похоронен Киевом при прямом участии США и ЕС?
Мы многократно на протяжении многих лет предлагали договориться о правилах сосуществования в Европе с опорой на принцип равной и неделимой безопасности, затвержденный на высшем уровне в документах ОБСЕ. В соответствии с этим принципом никто не укреплял бы свою безопасность в ущерб безопасности других. Последнее предложение о необходимости сделать эти договорённости юридически обязывающими мы внесли в декабре 2021 г., на что получили высокомерный отказ.
Недоговороспособность западных стран и продолжение киевским режимом войны против собственного народа не оставили нам иного выбора, как признать независимость Донецкой и Луганской народных республик и начать специальную военную операцию с целью защиты русских и других жителей Донбасса и устранения угроз нашей безопасности, которые НАТО последовательно создавала на территории Украины, по сути дела, на наших границах. Операция проводится во исполнение договоров о дружбе, сотрудничестве и взаимопомощи между Россией и этими республиками на основе статьи 51 Устава ООН. Уверен, что на нашем месте так поступило бы любое суверенное, уважающее себя государство, осознающее свою ответственность перед  собственным народом.
Сейчас Запад закатил истерику из-за проходящих в Луганской, Донецкой, Херсонской и Запорожской областях Украины референдумов, но проживающие там люди лишь реагируют на то, что им в одном из своих интервью в августе 2021 г. рекомендовал глава киевского режима В.А.Зеленский. Тогда он посоветовал всем, кто чувствует себя русскими, ради блага своих детей и внуков «уходить» в Россию. Жители упомянутых регионов сейчас так и поступают, забирая с собой при этом свои земли, на которых столетиями жили их предки.
Любому непредвзятому наблюдателю предельно ясно: для англосаксов, полностью подчинивших себе Европу, Украина лишь расходный материал в борьбе с Россией. НАТО объявила нашу страну непосредственной угрозой на пути к тотальному доминированию США, а в качестве долгосрочного стратегического вызова определила КНР. Одновременно «коллективный Запад» во главе с Вашингтоном посылает всем без исключения остальным странам устрашающий сигнал - следующим может быть любой, кто посмеет ослушаться.
Одним из последствий объявленного Западом «крестового похода» против неугодных становится прогрессирующий упадок многосторонних институтов, превращаемых США и их союзниками в инструменты реализации своих корыстных интересов. Эта линия насаждается в ООН, Совете по правам человека Организации, ЮНЕСКО и других многосторонних структурах. Фактически приватизирована ОЗХО. Предпринимаются яростные попытки по недопущению создания в рамках КБТО механизма обеспечения транспарентности сотен военно-биологических программ Пентагона по всему миру, в том числе по периметру российских границ и на всем пространстве Евразии. О том, что эти программы отнюдь не безобидны, свидетельствуют неумолимые факты, выявленные на территории Украины.
Видим напористую линию на приватизацию Секретариата ООН, внедрение в его работу неолиберального дискурса, игнорирующего культурно-цивилизационное многообразие современного мира. В этой связи  призываем уделить внимание, как того требует Устав ООН, обеспечению справедливого географического представительства государств-членов в структурах Секретариата, не допуская засилья одной группы стран.
Нетерпимая ситуация сложилась вокруг невыполнения Вашингтоном обязательств по Соглашению между Секретариатом и правительством США относительно обязательств «страны-хозяйки» центральных учреждений Объединенных Наций по обеспечению нормальных условий для участия всех стран-членов в работе ООН. Соответствующие обязанности этим соглашением возложены и на Генерального секретаря. Инертность здесь недопустима.
Не могут не беспокоить усилия отдельных стран, подрывающие прерогативы Совета Безопасности. Безусловно, и Совет, и в целом ООН должны быть адаптированы к современным реалиям. Видим перспективы демократизации работы СБ исключительно – хочу это особенно подчеркнуть – за счет расширения представленности стран Африки, Азии и Латинской Америки. Особо отмечаем Индию и Бразилию как ключевых международных игроков и достойных кандидатов на постоянное членство в Совете при обязательном одновременном повышении профиля Африки.
Сегодня как никогда важно, чтобы все государства-члены недвусмысленно, без оговорок подтвердили приверженность целям и принципам Устава ООН в качестве первого необходимого шага на пути к восстановлению коллективной ответственности за судьбы человечества.
Именно с такой целью в июле 2021 г. была создана Группа друзей в защиту Устава, соучредителем которой стала Россия и в которую уже входит около двух десятков стран. Группа ставит своей задачей обеспечить строгое следование универсальным нормам международного права в противовес пагубным односторонним подходам. Призываем всех, разделяющих такую позицию, присоединиться. В этом контексте существенным позитивным потенциалом обладают Движение неприсоединения, БРИКС, ШОС, АСЕАН.
Западные коллеги, агрессивно навязывая свое понимание демократии как модели организации жизни общества всем странам, категорически не хотят руководствоваться демократическими нормами в международных делах. Свежий пример - ситуация вокруг Украины. Россия в деталях обосновала свою позицию, причём делала это несколько лет). Запад провозгласил свое несогласие с ней. Казалось бы, пусть остальные члены мирового сообщества сами решают, какую позицию им занять: за одних, за других или позицию нейтралитета. Вроде бы так положено в демократиях, когда противостоящие друг другу политики отстаивают свою точку зрения и агитируют население, но США и их союзники  никому не дают свободу выбора. Они угрожают и выкручивают руки каждому, кто осмелится мыслить самостоятельно. Требуют угрозами присоединиться к антироссийским санкциям. У них это плохо получается, но очевидно, что подобного рода действия США и их сателлитов – это никакая не демократия, а чистой воды диктатура, по крайней мере, попытка насадить диктатуру. 
Создается устойчивое впечатление, что Вашингтон и покорившаяся ему Европа пытаются сохранить свою ускользающую гегемонию исключительно запрещенными приемами. Сплошь и рядом методы дипломатии подменяются незаконными санкциями против сильных конкурентов в экономике, спорте, информационном пространстве, культурных обменах и в целом в сфере контактов между людьми. Взять ту же проблему с визами для делегатов на международные мероприятия в Нью-Йорке, Женеве, Вене, Париже – это ведь тоже стремление устранить конкурентов, не допустить альтернативные точки зрения в многосторонних дискуссиях.
Уверен в необходимости защитить ООН, очистить Всемирную Организацию от всего конфронтационного и наносного, вернуть ей репутацию площадки для честных дискуссий по поиску баланса интересов всех государств-членов. Именно этим подходом руководствуемся при продвижении в ООН наших национальных инициатив.
Принципиально важно добиваться всеобъемлющего запрета на размещение оружия в космосе, на что нацелен российско-китайский проект международного договора, находящийся на рассмотрении Конференции ООН по разоружению.
Особого внимания требуют задачи защиты киберпространства, включая согласование в рамках Рабочей группы открытого состава Генеральной ассамблеи договоренностей о путях обеспечения международной информационной безопасности, а также разработку на площадке Спецкомитета универсальной конвенции о противодействии использованию информационно-коммуникационных технологий в преступных целях.
Продолжим оказывать поддержку Управлению по контртерроризму и другим антитеррористическим органам системы ООН.
Будем и далее содействовать динамичному развитию отношений ООН с ОДКБ, СНГ, ЕАЭС в целях сопряжения усилий на пространстве Большой Евразии.
Россия призывает активизировать работу по урегулированию региональных конфликтов. Считаем приоритетными задачи преодоления тупика в деле создания независимого Палестинского государства, восстановления разрушенной агрессией НАТО государственности Ирака и Ливии, нейтрализации угроз суверенитету Сирии, налаживанию устойчивого процесса нацпримирения в Йемене, преодоления тяжелейшего натовского наследия в Афганистане. Добиваемся возрождения в первоначальном виде Совместного всеобъемлющего плана действий по иранской ядерной программе, обеспечения справедливого комплексного урегулирования проблем Корейского полуострова. Многочисленные конфликтные ситуации в Африке требуют отказа от искушения сделать их предметом геополитических «игр с нулевой суммой» и консолидации внешних игроков в поддержку инициатив Афросоюза. Беспокойство вызывает обстановка в Косово, Боснии и Герцеговине, где США и ЕС упрямо ведут дело к разрушению международно-правовой базы, воплощенной в резолюции СБ ООН 1244 и Дейтонском мирном соглашении.
Госпожа Председатель,
В эпоху перемен человеку свойственно искать опору и утешение в мудрости предшественников, на чью долю выпали неменьшие испытания. По меткому выражению бывшего Генерального секретаря ООН Д.Хаммаршельда, помнившего ужасы Второй мировой войны: «ООН была создана не для того, чтобы привести человечество в рай, а чтобы спасти его от ада». Эти слова как никогда актуальны. Они взывают к тому, чтобы все мы осознали свою индивидуальную и коллективную ответственность за создание условий для безопасного и гармоничного развития будущих поколений. Для этого всем необходимо проявить политическую волю.
Готовы к такой честной работе и убеждены: устойчивость миропорядка может быть обеспечена исключительно через возвращение к истокам ооновской дипломатии с опорой на ключевой уставной принцип подлинной демократии – уважение суверенного равенства государств.</t>
  </si>
  <si>
    <t>https://www.mid.ru/ru/press_service/video/view/1831211/</t>
  </si>
  <si>
    <t>Уважаемый господин Председатель,
Уважаемые дамы и господа,
В речах многих выступивших до меня ораторов уже прозвучала мысль о том, что наша общая планета переживает необратимые перемены. На глазах рождается новый мировой порядок. Контуры будущего созидаются в борьбе. Между Мировым большинством, выступающим за более справедливое распределение глобальных благ и цивилизационное многообразие, и между теми немногими, кто применяет неоколониальные методы подчинения, чтобы удержать свое ускользающее доминирование.
Своего рода «визитной карточкой» «коллективного Запада» давно стало неприятие принципа равноправия и тотальная недоговороспособность. Привыкшие смотреть на остальной мир свысока, американцы и европейцы сплошь и рядом дают обещания, берут на себя обязательства, в том числе письменные и юридически обязывающие. Затем их попросту не выполняют. Как отметил Президент В.В.Путин, Запад являет собой самую настоящую «империю лжи».
Россия, как и многие другие страны, знает об этом не понаслышке. В 1945 г., когда мы с Вашингтоном и Лондоном вместе добивали врага на фронтах Второй мировой войны, наши союзники по антигитлеровской коалиции уже готовили планы военной операции «Немыслимое» против Советского Союза. А спустя четыре года, в 1949 г., американцы разработали операцию «Дропшот» по нанесению массированных ядерных ударов по СССР.
Эти безумные замыслы так и остались на бумаге. СССР создал свое оружие возмездия. Хотя понадобился Карибский кризис 1962 г. с балансированием на грани ядерной войны, чтобы идея ее развязывания и иллюзия победы в ней перестали быть основой военного планирования США.
В момент окончания «холодной войны» Советский Союз сыграл определяющую роль в объединении Германии и согласовании параметров новой архитектуры безопасности в Европе. При этом советскому, а затем – российскому руководству были даны конкретные политические заверения относительно нерасширения военного блока НАТО на Восток. Соответствующие записи переговоров есть в наших и западных архивах. Они в свободном доступе. Но эти заверения западных лидеров оказались обманом, они и не собирались их выполнять. При этом их никогда не смущало, что приближая НАТО к границам России, они грубо нарушали и взятые на высшем уровне официальные обязательства по линии ОБСЕ не укреплять собственную безопасность за счет безопасности других и не допускать военно-политического доминирования в Европе какой-либо страны, группы стран или организаций.
В 2021 г. были высокомерно отвергнуты наши предложения заключить договоры о взаимных гарантиях безопасности в Европе без изменения внеблокового статуса Украины. Запад продолжал планомерно осуществлять милитаризацию русофобского киевского режима, который был приведен к власти в результате кровавого госпереворота и использовался для подготовки развязывания гибридной войны против нашей страны.
Беспрецедентной со времен окончания «холодной войны» стала серия недавних совместных учений США и их европейских союзников по НАТО, в том числе с отработкой сценариев применения ядерного оружия по территории Российской Федерации. Продекларирована задача нанести России «стратегическое поражение». Эта одержимость окончательно застила глаза безответственным политикам, испытывающим чувство собственной безнаказанности, одновременно утратив элементарное чувство самосохранения.
Ведомые Вашингтоном страны НАТО не только наращивают и модернизируют свои наступательные потенциалы, но и пытаются перенести вооруженное противостояние в космическое и информационное пространство. Новым опасным проявлением натовского экспансионизма стали попытки распространить зону ответственности блока на всё Восточное полушарие под лукавым лозунгом «неделимости безопасности Евро-Атлантики и Индо-Тихоокеанского региона». Под эту задачу Вашингтон создает подконтрольные себе военно-политические мини-альянсы вроде AUKUS,  «тройки» США – Япония – Республика Корея, «четверки» Токио – Сеул – Канберра – Веллингтон, подтягивая их участников к практической кооперации с НАТО, которая внедряет свою инфраструктуру на тихоокеанском театре. Нескрываемая направленность таких усилий против России и Китая, на развал сложившейся вокруг АСЕАН инклюзивной региональной архитектуры порождает риски возникновения нового взрывоопасного очага геополитической напряженности – в дополнение к уже до предела разогретому европейскому.
Создается устойчивое впечатление, что США и полностью подчиненный им «западный коллектив» решили придать «доктрине Монро» глобальную проекцию. Замыслы столь иллюзорные, сколь и крайне опасные, но идеологов нового издания «Pax Americana» это не останавливает.
Мировое меньшинство всеми силами старается затормозить естественный ход вещей. В Вильнюсской декларации Североатлантического альянса «крепнущее партнерство между Россией и Китаем» характеризуется как «угроза НАТО». Выступая недавно перед своими послами за рубежом, Президент Э.Макрон высказал искреннюю озабоченность по поводу расширения БРИКС, расценив это событие как свидетельство «усложнения обстановки на международной арене, что грозит риском ослабления Запада и, в частности, Европы… Идет пересмотр мирового порядка, его принципов, разных форм его организации, где Запад занимал и занимает доминирующие позиции». Вот такие откровения: если кто-то где-то собирается без нас, дружит без нас или без нашего разрешения, то это рассматривается как угроза нашему доминированию. Продвижение НАТО в АТР – это «благо», а расширение БРИКС – опасно.
Однако логика исторического процесса неумолима. Основной тенденцией стало стремление государств мирового большинства укреплять суверенитет и отстаивать национальные интересы, традиции, культуру и образ жизни. Они больше не хотят жить под чью-либо диктовку, хотят дружить и торговать между собой, но и со всем миром – только на равных и к обоюдной выгоде. На подъеме такие объединения, как БРИКС и ШОС, предоставляющие странам Глобального Юга возможности совместного развития и отстаивания своего достойного места в объективно формирующейся многополярной архитектуре.
Пожалуй, впервые после 1945 г., когда была учреждена Организация Объединенных Наций, появился шанс на подлинную демократизацию в мировых делах. Это вселяет оптимизм во всех, кто верит в верховенство международного права и желает возрождения ООН в качестве центрального координирующего органа мировой политики. Где договариваются о том, как решать проблемы сообща, на основе честного баланса интересов.
Для России очевидно, что другого пути нет. Однако США и подчиненный им «западный коллектив» продолжают плодить конфликты, искусственно разделяющие человечество на враждебные блоки и препятствующие достижению общих целей. Они делают все, дабы предотвратить формирование подлинно многополярного, справедливого миропорядка. Стремятся заставить мир играть по своим печально известным и узкокорыстным «правилам».
Хотел бы призвать западных политиков и дипломатов еще раз внимательно перечитать Устав ООН. Краеугольным камнем миропорядка, созданного по итогам Второй мировой войны, является демократический принцип суверенного равенства государств – больших и малых, вне зависимости от формы правления, внутриполитического или социально-экономического устройства.
Запад по-прежнему считает себя выше остального человечества – в духе уже пресловутого высказывания главы дипломатии ЕС Ж.Борреля о том, что «Европа – цветущий сад, а всё вокруг – джунгли». Его не смущает, что в этом саду – разгул исламофобии и других форм нетерпимости к традиционным ценностям всех мировых религий. Акты сожжения Корана, оскорбления Торы, преследование православных священнослужителей и иные глумления над чувствами верующих буквально поставлены в Европе на поток.
Грубым нарушением принципа суверенного равенства государств является применение Западом односторонних принудительных мер. В странах, ставших жертвами незаконных санкций (а их все больше), хорошо знают, что рестрикции бьют в первую очередь по наиболее уязвимым слоям населения. Провоцируют кризисные явления на продовольственных и энергетических рынках.
Продолжаем настаивать на незамедлительном и полном прекращении беспрецедентной по своей антигуманности торгово-экономической и финансовой блокады Гаваны со стороны США и отмене абсурдного решения об объявлении Кубы страной – спонсором терроризма. Вашингтон должен без каких бы то ни было предварительных условий отказаться от политики экономического удушения Венесуэлы. Требуем снятия односторонних санкций США и Евросоюза с Сирийской Арабской Республики, которые откровенно подрывают право на развитие. Любым вводимым в обход СБ ООН принудительным мерам должен быть положен конец, равно как и взятой Западом на вооружение практике манипуляций санкционной политикой Совета для оказания давления на неугодных.
Откровенным проявлением эгоизма западного меньшинства стали навязчивые попытки «украинизировать» повестку дня всех международных дискуссий, отодвигая на задний план целый ряд неурегулированных региональных кризисов, многие из которых тянутся годы и даже долгие десятилетия.
Полноценной нормализации на Ближнем Востоке невозможно достичь без решения главного вопроса – урегулирования затяжного палестино-израильского конфликта на основе резолюций ООН и Арабской мирной инициативы, выдвинутой в своё время Саудовской Аравией. Палестинцы более 70 лет ждут торжественно обещанного им государства, однако монополизировавшие посреднический процесс американцы делают все, чтобы этого не допустить. Призываем объединить усилия всех ответственных стран с целью создания условий для возобновления прямых палестино-израильских переговоров.
Отрадно, что ЛАГ обретает второе дыхание, активизирует свою роль в делах региона. Приветствуем возвращение САР в арабскую семью, начавшийся процесс нормализации между Дамаском и Анкарой, которому мы стараемся помогать вместе с иранскими коллегами. Эти позитивные сдвиги подкрепляют усилия «Астанинского формата» по продвижению сирийского урегулирования на основе резолюции СБ ООН 2254 и восстановления суверенитета САР.
Надеемся, что при содействии ООН ливийцы смогут качественно подготовить всеобщие выборы в своей многострадальной стране, которая более десяти лет не может оправиться от последствий натовской агрессии, разрушившей ливийское государство и открывшей шлюзы для распространения терроризма в Сахаро-Сахельском регионе и для волн миллионов нелегальных мигрантов в Европу и другие части света. Аналитики отмечают: как только М.Каддафи отказался от военной ядерной программы – его тут же уничтожили. Тем самым Запад заложил опаснейшие риски для всего режима ядерного нераспространения.
Тревожит нагнетание Вашингтоном и его азиатскими союзниками военной истерии на Корейском полуострове, где накапливается стратегический потенциал США. Российско-китайские инициативы о рассмотрении в качестве приоритетных гуманитарных и политических задач отвергаются.
Трагическое развитие ситуации в Судане – не что иное, как очередное следствие провальных экспериментов Запада с экспортом либерально-демократических догм. Поддерживаем конструктивные инициативы, направленные на скорейшее урегулирование внутрисуданского конфликта, прежде всего путем оказания содействия прямому диалогу между противоборствующими сторонами.
Наблюдая за нервным отношением Запада к последним событиям в Африке, в частности в Нигере и Габоне, невозможно не вспомнить о том, как Вашингтон и Брюссель реагировали на кровавый госпереворот на Украине в феврале 2014 г. – через день после достижения соглашения об урегулировании под гарантии Евросоюза, которые оппозиция просто растоптала. США и их союзники его поддержали, приветствовав как «проявление демократии».
Не может не вызывать беспокойство продолжающаяся деградация обстановки в сербском крае Косово. Поставки оружия косоварам и содействие им в создании армии со стороны НАТО грубо нарушают основополагающую резолюцию 1244 СБ ООН. Весь мир видит, как на Балканах повторяется печальная история Минских соглашений по Украине. Они предусматривали специальный статус республик Донбасса. Киев их открыто саботировал при поддержке Запада. Так и сейчас Евросоюз не хочет заставить своих косовских протеже выполнить договоренности Белграда и Приштины 2013 г. о создании Сообщества сербских муниципалитетов Косово, обладающего специальными правами на свой язык и свои традиции. В обоих случаях ЕС выступал гарантом договоренностей, и, судя по всему, судьба у них одинакова. Каков «спонсор», таков и результат. Сейчас Брюссель навязывает свои «посреднические услуги» Азербайджану и Армении, привнося вместе с Вашингтоном дестабилизацию на Южный Кавказ. Теперь, когда руководители Еревана и Баку урегулировали между собой вопрос взаимного признания суверенитета двух стран, пришла пора для мирной жизни, её налаживания, укрепления доверия. Российский миротворческий контингент будет всяческим этому способствовать. 
Говоря о решениях международного сообщества, которые остаются на бумаге, призываем завершить наконец процесс деколонизации в соответствии с резолюциями Генассамблеи, добиться прекращения колониальных и неоколониальных практик.
Яркой иллюстрацией «правил», по которым Запад хочет заставить жить весь мир, является судьба взятых им еще в 2009 г. обязательств предоставлять развивающимся странам ежегодно по 100 млрд долл. на финансирование программ в области адаптации к изменению климата. Сравните судьбу этих не выполненных обещаний с теми суммами, которые США, НАТО и ЕС потратили на поддержку расистского режима в Киеве – по оценкам, до 170 млрд долл. за последние полтора года. Сравните и вы поймёте отношение к себе со стороны «просвещенных западных демократий» с их пресловутыми «ценностями».
В целом назрело скорейшее реформирование существующей архитектуры глобального управления. Она давно не отвечает требованиям эпохи. США и их союзники должны отказаться от искусственного сдерживания перераспределения голосующих квот в МВФ и Всемирном банке, признав реальный экономический и финансовый вес стран Глобального Юга. Следует также незамедлительно разблокировать работу Органа по урегулированию споров ВТО.
Все более востребованным становится и расширение Совета Безопасности – исключительно через устранение недопредставленности в его составе стран Мирового большинства – Азии, Африки и Латинской Америки. Важно, чтобы новые члены Совбеза – как постоянные, так и непостоянные – пользовались авторитетом и в своих регионах, и в таких организациях глобального охвата как Движение неприсоединения, «Группа 77», Организация исламского сотрудничества.
Пора рассмотреть и более справедливые методы формирования Секретариата ООН. Действующие долгие годы критерии не отражают реальный вес государств в мировых делах и искусственно обеспечивают запредельное доминирование граждан стран НАТО и ЕС. Эти диспропорции еще более углубляются в силу системы постоянных контрактов, привязывающих их обладателей к позиции стран-хозяек штаб-квартир международных организаций, подавляющее большинство которых расположены в столицах, проводящих политику Запада.
Подкрепить реформу ООН призваны объединения нового типа, где нет ведущих и ведомых, учителей и учеников, а все вопросы решаются на основе консенсуса и баланса интересов. Это, прежде всего, БРИКС, существенно нарастивший свой авторитет по итогам саммита в Йоханнесбурге и обретший поистине глобальное влияние.
На региональном уровне налицо ренессанс таких организаций, как Африканский Союз, СЕЛАК, ЛАГ, ССАГПЗ и другие структуры. В Евразии набирает обороты гармонизация интеграционных процессов в рамках ШОС, АСЕАН, ОДКБ, ЕАЭС, СНГ, китайского проекта «Один пояс, один путь». Происходит естественное формирование Большого Евразийского партнерства, открытого для участия всех без исключения объединений и стран нашего общего континента.
Позитивным тенденциям, к сожалению, противоречат все более агрессивные попытки Запада сохранить господство в мировой политике, экономике и финансах. В общих интересах – избежать фрагментации мира на изолированные торговые блоки и макрорегионы. Но если США и их союзники не хотят договариваться о придании процессам глобализации справедливого, равноправного характера, то остальным придется делать выводы и думать о шагах, которые помогут не ставить перспективы своего социально-экономического и технологического развития в зависимость от неоколониальных инстинктов бывших метрополий.
Основная проблема именно в Западе, ведь развивающиеся страны готовы договариваться, в том числе и на площадке «Группы двадцати», как показал недавний саммит объединения в Индии. Главный вывод по его итогам – «двадцатку» можно и нужно избавить от политизации, дать ей возможность заниматься тем, ради чего она создавалась: вырабатывать общеприемлемые меры управления мировой экономикой и финансами. Возможности для диалога и договоренностей есть. Важно не упустить момент.
Все эти тенденции должен в полной мере учитывать в своей работе и Секретариат ООН, уставная миссия которого – служение поиску согласия всех государств-членов под крышей ООН, а не где-то на стороне.
ООН была основана по итогам Второй мировой войны, и любые попытки ревизии этих итогов подрывают основы Всемирной организации. Как представитель страны, которая внесла решающий вклад в разгром фашизма и японского милитаризма, хотел бы привлечь внимание к такому вопиющему явлению, как реабилитация нацистов и коллаборационистов в ряде стран Европы, прежде всего на Украине и в Прибалтике. Особо настораживает, что в прошлом году против резолюции ГА ООН о недопустимости героизации нацизма впервые проголосовали Германия, Италия и Япония. Этот прискорбный факт ставит под сомнение искренность раскаяния указанных государств за массовые преступления против человечности в годы Второй мировой войны и противоречит условиям, на которых они были приняты в ООН в качестве полноправных членов. Настоятельно призываем обратить особое внимание на эти «метаморфозы», идущие вразрез с позицией Мирового большинства и принципами Устава ООН.
Господин Председатель,
Сегодня человечество вновь, как и много раз в прошлом, стоит на развилке. Только от нас зависит, как будет развиваться история. В общих интересах – не допустить скатывания к большой войне и окончательного развала созданных поколениями предшественников механизмов международного сотрудничества. Генсекретарь выступил с инициативой проведения в следующем году «Саммита будущего». Успех этого начинания может быть обеспечен исключительно через формирование честного и справедливого баланса интересов всех стран-членов при соблюдении межправительственного характера нашей Организации. На своей встрече 21 сентября с.г. члены «Группы друзей в защиту Устава ООН» договорились активно способствовать достижению такого результата.
Как сказал А.Гутерреш на пресс-конференции накануне нынешней сессии «если мы хотим мира и процветания, основанных на равенстве и солидарности, то на лидерах лежит особая ответственность за достижение компромисса при проектировании нашего общего будущего ради общего блага». Хороший ответ тем, кто пытается делить мир на «демократии» и «автократии» и диктовать всем только свои неоколониальные «правила».</t>
  </si>
  <si>
    <t>https://www.mid.ru/ru/press_service/minister_speeches/1905973/</t>
  </si>
  <si>
    <t>Уважаемый г-н Председатель,
Дамы и господа,
Несколько дней назад в стенах этого здания прошел форум под названием «саммит будущего». Россия с пониманием отнеслась к идее Генерального секретаря о его созыве, поскольку кризис нашей Организации углубляется и с этим надо что-то делать. Мы честно включились в подготовку саммита. Хотя, честно скажу, особых иллюзий не питали. В современной истории ООН было много амбициозных мероприятий, завершившихся громкими декларациями, вскоре забытыми.
«Саммит тысячелетия» в 2000 г. провозгласил задачу «освободить народы от бедствий войны». Спустя немногим более двух лет США во главе «коалиции желающих» под смехотворным предлогом вторглись без мандата СБ ООН в Ирак – страну, которая до сих пор не может оправиться от разрушительных последствий этой авантюры.
«Всемирный саммит» ООН в 2005 г. объявил о приверженности «установлению справедливого мира в соответствии с принципами и целями Устава ООН». Это «священное обязательство» отнюдь не помешало США и их союзникам натравить тогдашнего грузинского лидера М.Н.Саакашвили на развязывание в 2008 г. вооруженной агрессии против народа Южной Осетии и российских миротворцев. А еще через три года НАТО организовала военную интервенцию в Ливию, разрушив ее государственность и подорвав стабильность соседних стран.
В 2015 г. «саммит ООН по устойчивому развитию» принял грандиозные планы в сфере борьбы с бедностью и неравенством. По факту они оказались пустыми обещаниями на фоне нежелания стран Запада отказываться от неоколониальных практик перекачивания богатств всего мира в свою пользу. Посмотрите статистику выполнения обещаний по финансированию развития стран Глобального Юга и передаче природосберегающих технологий.
Как когда-то К.Аннан и Пан Ги Мун, нынешний Генеральный секретарь ООН А.Гутерреш выдвинул свою инициативу под лозунгом «перезагрузки» глобального сотрудничества. Прекрасный лозунг, кто же против? Но о каком глобальном сотрудничестве можно вести речь, когда Запад растоптал все те «незыблемые ценности» глобализации, о которых нам рассказывали столько лет со всех трибун, убеждая, что они обеспечат равный доступ для всех к благам современной цивилизации. Где неприкосновенность собственности, презумпция невиновности, свобода слова, доступ к информации, добросовестная конкуренция на рынках по понятным и неменяющимся правилам? Генсекретарь говорит о глобальном сотрудничестве в тот самый момент, когда страны Запада развязали настоящую санкционную войну против доброй половины, если не большинства, государств мира, а доллар, который нам рекламировали как достояние и благо всего человечества, грубо превращен в оружие.
Более шестидесяти лет продолжается торговая блокада Кубы, отменить которую требует подавляющее большинство членов международного сообщества. В погоне за всё более эфемерной целью сохранения своего доминирования Вашингтон блокирует нормальную работу ВТО по разрешению споров и реформу Бреттон-Вудских институтов, структура которых давно не отражает реальный расклад сил в мировой экономике и финансах. ООН Запад тоже хочет превратить в инструмент продвижения своих корыстных установок. Как показал «саммит будущего», нарастают попытки размыть межправительственную природу Организации. Сдерживаются давно назревшие перемены в методах комплектования Секретариата, ключевые посты в котором сегодня фактически оккупированы и «наследуются» представителями западного меньшинства. Если уж Генеральный секретарь призывает к «перезагрузке» глобального сотрудничества, то Секретариат должен продвигать объединительные идеи, предлагать варианты компромиссов, а не изобретать оправдания для внедрения в работу ООН выгодных Западу нарративов.
Вдохнуть новую жизнь в ООН еще не поздно. Но сделать это можно не с помощью оторванных от реальности саммитов и деклараций, а через восстановление доверия на основе уставного принципа - суверенного равенства всех государств. Однако пока доверие подрывается, в том числе действиями Запада по созданию в обход ООН подконтрольных ему узких форматов для решения судьбоносных вопросов – таких, как управление интернетом или определение правовых рамок использования технологий искусственного интеллекта. Ведь эти проблемы затрагивают будущее всего человечества, и рассматривать их необходимо на универсальной основе, без дискриминации и стремления добиться односторонних преимуществ. То есть надо договариваться по-честному, с участием всех членов ООН, а не так, как готовился «Пакт во имя будущего» – без единого пленарного раунда переговоров, на котором присутствовали бы все страны. Вместо этого велась работа под контролем западных манипуляторов. В результате «Пакт», еще толком не родившись, уже пополнил пантеон красиво сформулированных на английском языке деклараций.
Такова, как ни печально, судьба «продуктов» подобных всемирных саммитов. Однако не лучше обстоит дело с выполнением резолюций Совета Безопасности, являющихся обязательными к исполнению. Чего стоит саботаж решений по косовскому урегулированию и Дейтонских соглашений по Боснии и Герцеговине. Самым вопиющим примером остается «заматывание» в течение уже почти 80 лет консенсусных резолюций о создании независимого палестинского государства, сосуществующего в мире и безопасности с Израилем.
Нет и не может быть оправдания актам терроризма, жертвами которых стали израильтяне 7 октября 2023 г. Но у всех, в ком еще живо чувство сострадания, вызывает негодование тот факт, что октябрьская трагедия используется для массового коллективного наказания палестинцев, обернувшегося беспрецедентной гуманитарной катастрофой. Убийству мирных жителей Палестины американским оружием необходимо немедленно положить конец. Должна быть обеспечена доставка в анклав гуманитарных грузов, организовано восстановление инфраструктуры, а самое главное – нужно гарантировать реализацию законного права палестинцев на самоопределение и позволить им – не на словах, а на деле, «на земле» – создать территориально непрерывное и жизнеспособное государство в границах 1967 г. со столицей в Восточном Иерусалиме.
Очередным «кричащим» примером террористических методов как средства достижения политических целей является бесчеловечная атака на Ливан путем превращения гражданских технологий в смертоносное оружие. Необходимо немедленно расследовать это преступление. Но уже сейчас нельзя обойти молчанием многочисленные публикации в СМИ, в том числе в Европе и США, свидетельствующие о той или иной вовлеченности и, как минимум, осведомленности Вашингтона о подготовке теракта. Понимаем, что американцы всегда всё отрицают и сделают всё, чтобы «замотать» появившиеся факты – так же, как они это сделали в ответ на неопровержимые доказательства их причастности к терактам на газопроводах «Северные потоки». Эти газопроводы, кстати, были прекрасным символом «глобального сотрудничества», о котором мечтает Генеральный секретарь ООН. В результате их уничтожения конкурентоспособность Евросоюза в мировой экономике подорвана на долгие годы к выгоде США. На совести Запада – и «заматывание» правды об организаторах многих других отвратительных преступлений, включая кровавую провокацию в киевском пригороде Буча в апреле 2022 г. и серию отравлений граждан России в Британии и Германии.
Секретариат ООН не может оставаться в стороне от усилий по установлению истины в ситуациях, напрямую затрагивающих глобальную безопасность, и обязан безупречно соблюдать ст. 100 Устава, действовать беспристрастно и избегать искушения подыграть отдельным государствам – тем более тем, кто открыто призывает не к сотрудничеству, а к расколу мира на «цветущий сад» и «джунгли» или на «обедающих за демократическим столом» и «оказавшихся в меню».
Нельзя забывать о «послужном списке» тех, кто требует выполнять свои «правила» от всего остального мира. Вторжение в Афганистан и бесславное двадцатилетнее пребывание там известной коалиции сопровождалось образованием «Аль-Каиды». Прямым результатом агрессии против Ирака стало создание ИГИЛ. Развязывание войны в Сирии породило «Джабхат ан-Нусру» (ныне «Хейят Тахрир аш-Шам»), а разрушение Ливии открыло шлюзы для проникновения терроризма в Сахаро-Сахельский регион и для миллионных потоков нелегальных мигрантов в Европу. Призываем всех, кто думает о будущем своих стран и народов, крайне бдительно относиться к новым авантюрам изобретателей тех самых «правил».
Крайнюю тревогу вызывают ставшие чуть ли не обыденной практикой методы политических убийств, как это вновь произошло вчера в Бейруте.
Трагическое и неприемлемое развитие событий в арабо-израильском конфликте, в Йемене, акваториях Красного моря и Аденского залива, Судане и других «горячих точках» в Африке отражает неоспоримый факт: безопасность может быть либо равной и неделимой для всех, либо ее не будет ни для кого.
Понимание этой, казалось бы, простой истины в контексте европейской безопасности Россия годами пыталась внедрять в сознание Вашингтона, Лондона и Брюсселя, обуреваемых комплексами собственной исключительности и безнаказанности. Хотя они поначалу обещали не расширять НАТО, а в 1999 и в 2010 гг. подписались в официальных документах саммитов ОБСЕ под обязательством не обеспечивать свою безопасность за счет других, на деле Североатлантический альянс уже три десятилетия осуществляет геополитическую и военную экспансию в Европе, пытается закрепиться в Закавказье и Центральной Азии, создавая прямые угрозы безопасности нашей страны. Сейчас то же самое происходит в Азиатско-Тихоокеанском регионе, куда «вползает» инфраструктура НАТО, и где для сдерживания КНР и России создаются узкие военно-политические блоки, подрывающие инклюзивную архитектуру безопасности под эгидой АСЕАН.
При этом Запад не только не вспоминает про «глобальное сотрудничество», за которое ратует наш Генсекретарь, а открыто в своих доктринальных документах жестко обвиняет Россию, Китай, Беларусь, КНДР, Иран в создании угроз своему доминированию. В отношении России объявлена цель нанесения ей «стратегического поражения»: почти как планировали Лондон и Вашингтон в мае 1945 г., разрабатывая (еще до окончания Второй мировой войны) операцию «Немыслимое» по уничтожению СССР. Тогда это держалось в строжайшем секрете, а нынешние англосаксонские стратеги своих замыслов не скрывают. Правда, пока рассчитывают победить Россию руками нелегитимного неонацистского киевского режима, но уже готовят и Европу к тому, чтобы и она бросилась в самоубийственную авантюру. Не буду здесь говорить о бессмысленности и опасности самой идеи пытаться «воевать до победы» с ядерной державой, каковой является Россия.
Не менее бессмысленны заклинания западных хозяев Киева о «безальтернативности» переговоров на основе пресловутой «формулы мира». Отстаивая этот обреченный ультиматум, Запад без стеснения апеллирует к Уставу ООН, требуя обеспечить территориальную целостность Украины.
Хочу напомнить, в том числе коллегам в Секретариате ООН, что Устав – не только про территориальную целостность. В самой первой статье Устава провозглашено обязательство уважать принципы равноправия и самоопределения народов. Именно это послужило международно-правовой базой процесса деколонизации (который, кстати, еще предстоит довести до конца, как бы этому ни сопротивлялись французы, англичане и прочие бывшие метрополии). А в 1970 г. Генассамблея единогласно постановила в своей Декларации, что все должны соблюдать территориальную целостность тех государств, чьи правительства уважают право народов на самоопределение и в силу этого представляют все население, проживающее на соответствующей территории. Подчеркиваю: это было единогласное решение Генассамблеи ООН после долгих лет непростых дискуссий. Нет нужды доказывать, что украинские неонацисты, захватившие власть в Киеве в результате поддержанного США и их союзниками кровавого госпереворота в феврале 2014 г., не представляли и не представляют русское население Крыма, Донбасса, Новороссии.
Западные лидеры, по любому поводу одержимые темой прав человека, показательно молчат об этих правах применительно к расистским действиям своих киевских клиентов. В свете такой забывчивости напомню еще об одном требовании той же самой первой статьи Устава ООН: уважать права и основные свободы любого человека независимо от расы, пола, языка и религии. Права русских и сопричастных к русской культуре людей после госпереворота в Киеве методично истреблялись. Русский язык на Украине законодательно запрещен во всех сферах – в образовании, СМИ, искусстве, культуре, даже в быту. Недавно принят еще один закон – о запрете канонической Украинской православной церкви. Эти вопиющие нарушения закрепленных в Уставе ООН прав русских, наряду с угрозами безопасности России, да и всей Европы, которая исходит от киевского режима и тех, кто втягивает его в НАТО, являются первопричинами нынешнего украинского кризиса. Именно на их устранение направлена специальная военная операция, которую Россия проводит с целью защиты своей безопасности, настоящего и будущего людей на их исконной земле.
Мы ценим искреннее стремление целого ряда наших партнеров продвигать из самых лучших побуждений посреднические инициативы. Уважаем их конструктивную нацеленность на результат – в отличие от тупиковой «формулы мира» В.А.Зеленского. Призываем друзей в своих дальнейших усилиях учитывать в полной мере упомянутые факты о подлинных причинах нынешней ситуации. Без их устранения справедливого, опирающегося на Устав ООН мира не добиться. Реалистичный план урегулирования был изложен Президентом В.В.Путиным 14 июня с.г., когда он вновь убедительно показал добрую волю России к достижению переговорных договоренностей, перспективы которых были «опрокинуты» Киевом и его покровителями в результате госпереворота 2014 г., срыва Минских соглашений 2015 г. и Стамбульских договоренностей 2022 г.
Беспрецедентный уровень высокомерия и агрессивности западной политики в отношении России не просто сводит на «нет» саму продвигаемую Генсекретарем идею «глобального сотрудничества», но и всё больше блокирует функционирование всей системы глобального управления, включая Совет Безопасности. Это не наш выбор, и не нам нести ответственность за последствия столь опасного курса. Однако, если Запад не остановится, тяжелые издержки почувствуют все.
Мировому большинству очевидно, что конфронтация и гегемонизм не решат ни одной глобальной проблемы. Они лишь искусственно сдерживают объективный процесс формирования многополярного мироустройства, которое будет опираться на равенство прав больших и малых наций, уважать ценность человеческой личности, равноправие мужчин и женщин, право народов самим определять свою судьбу. Все это – тоже цитата из Устава ООН. Равно как и принцип невмешательства во внутренние дела суверенных государств, подтверждение которого, к стыду членов ООН, было заблокировано США и их сателлитами на том самом «саммите будущего» при принятии соответствующего «пакта».
Выступая 18 сентября с.г. перед участниками IV Евразийского женского форума в Санкт-Петербурге, Президент В.В.Путин подчеркнул необходимость объединения усилий во имя устойчивого развития и всеобщей равной и неделимой безопасности. Решать сложнейшие проблемы, с которыми столкнулось все человечество, можно только сообща, с учетом интересов друг друга. Запад должен это осознать и отказаться от неоколониальных замашек.
Глобальный Юг и Восток все громче заявляют о своих правах на полноценное участие в процессах принятия решений по всему спектру международной повестки – что становится всё более актуальным в ситуации, когда Запад планомерно разрушает им же созданную модель глобализации.
Укрепляется роль межгосударственных объединений в Азии, Африке и Латинской Америке. Среди них – Шанхайская организация сотрудничества, Африканский союз, Сообщество стран Латинской Америки и Карибского бассейна (СЕЛАК), Лига арабских государств, Евразийский экономический союз, Ассоциация государств Юго-Восточной Азии и многие другие.
Налаживаются контакты региональных интеграционных структур как между собой, так и с глобальным объединением – БРИКС, что создает возможности для гармонизации подходов к согласованию механизмов взаимовыгодного сотрудничества и развития, неподконтрольных негативному внешнему воздействию и диктату.
Все эти объективные процессы придется учитывать и в деятельности «Группы двадцати», где «семерка» уже не может «заказывать музыку».
Предстоит по-новому взглянуть на пути обеспечения безопасности в различных регионах, извлекая уроки из печального опыта функционирования натоцентричных моделей или моделей евроатлантической безопасности, которые Запад поставил на службу своим экспансионистским замыслам.
Россия выдвинула инициативу формирования инклюзивной архитектуры равной и неделимой безопасности в Евразии, открытой – хочу это особо подчеркнуть – для всех государств и организаций нашего общего континента, готовых работать сообща над поиском общеприемлемых решений, используя взаимосвязанность и естественные конкурентные преимущества единого евразийского пространства. Этой теме будет посвящена международная конференция в Минске, открывающаяся 31 октября с.г.
Мы не отгораживаемся от диалога с Западом. В июле с.г. по предложению России состоялись открытые дебаты Совета Безопасности по вопросу строительства более справедливого и устойчивого мироустройства. Считаем важным продолжать начатую дискуссию как в ООН, так и на других площадках.
Более справедливое мироустройство безусловно предполагает расширение представленности Глобального Юга в Совете Безопасности ООН. Подтверждаем нашу позицию в поддержку кандидатур Бразилии и Индии при одновременном положительном решении по известным инициативам Африканского союза. При этом, разумеется, и речи быть не может о дополнительных местах для западных стран, которые уже и так чрезмерно перепредставлены в составе Совета Безопасности.
В мае 2025 г. будет отмечаться 80-летие Победы во Второй мировой войне, в ходе которой жертвами геноцидальной политики Третьего рейха стали десятки миллионов человек, в том числе 27 миллионов граждан всех народов Советского Союза. У таких преступлений нет срока давности, как нет морального оправдания тем, кто пытается сегодня обелять нацистских палачей, коллаборационистов и их нынешних последователей, будь то на Украине, в Прибалтике, в Канаде или других странах.
Сегодня мир вновь сталкивается с серьезнейшими вызовами, которые требуют объединения усилий, а не конфронтации и жажды глобального доминирования.
Россия всегда будет стоять на стороне коллективной работы, на стороне правды и права, мира и сотрудничества в интересах возрождения идеалов, заложенных отцами-основателями. На это нацелена работа созданной по инициативе Венесуэлы Группы друзей в защиту Устава ООН. Его цели и принципы в полной мере сохраняют свою актуальность. Главное, чтобы все без исключения руководствовались этими принципами не выборочно (выбирая из «меню»), а во всей их полноте и взаимосвязи, включая принцип суверенного равенства государств. Тогда, работая в пользу формирования честного баланса законных национальных интересов всех стран, мы сможем воплотить в жизнь записанное в Уставе предназначение ООН: «Быть центром для согласования действий наций».</t>
  </si>
  <si>
    <t>https://www.mid.ru/ru/press_service/minister_speeches/1972774/</t>
  </si>
  <si>
    <t>Уважаемый господин Председатель,
Уважаемые дамы и господа,
80 лет назад окончилась самая страшная война в истории человечества: более 70 миллионов человек стали жертвами военных действий, голода и болезней. В 1945 г. навсегда изменился ход всемирной истории. Триумф над германским нацизмом, под чьи знамена встала большая часть Европы, и японским милитаризмом открыл путь к миру, восстановлению и процветанию.
В этом году в Москве и Пекине прошли торжества, приуроченные к праздничным дням 9 мая и 3 сентября в честь Победы в Великой Отечественной и Второй мировой войнах. Мир увидел грандиозные военные парады – в ознаменование решающего вклада народов СССР в сокрушение нацистской Германии и особой роли народа Китая в разгроме милитаристской Японии. Мы свято чтим память о боевом братстве со всеми союзниками, кто тогда был на стороне правды в борьбе с силами зла.
Одним из непреходящих итогов той войны стало создание Объединенных Наций. Согласованные отцами-основателями нашей Организации принципы ее Устава по сей день служат ярким маяком международного сотрудничества. Они воплощают многовековой опыт сосуществования государств и полностью сохраняют свое значение в эпоху многополярности. Дело лишь за тем, чтобы все без исключения государства-члены соблюдали эти принципы – во всей их полноте, совокупности и взаимосвязи.
На практике, однако, все выглядит иначе. Повсеместные грубые нарушения принципа суверенного равенства государств подрывают саму веру в справедливость, ведут к кризисам и конфликтам. Корень проблем – непрекращающиеся попытки разделить мир на «своих» и «чужих», на «демократии» и «автократии», на «цветущий сад» и «джунгли», на тех, кто «за столом» и кто «в меню». На избранных, которым дозволено все, и остальных, кто почему-то обязан обслуживать интересы «золотого миллиарда». Мы выступаем за беспрекословное следование принципу равенства: в нем залог того, что все страны смогут занять свое достойное место в мироустройстве – независимо от их военной мощи, количества населения, размера территории и экономики.
Принцип неприменения силы и угрозы силой также многократно попирался Западом. Трагедиями обернулись натовские бомбардировки Югославии, вторжение ведомой США коалиции в Ирак, военная операция НАТО по смене режима в Ливии. Сегодня незаконное применение силы Израилем в отношении палестинцев, агрессивные действия против Ирана, Катара, Йемена, Ливана, Сирии, Ирака грозят взорвать весь Ближний Восток.
Россия жестко осудила нападение боевиков ХАМАС на мирных израильтян 7 октября 2023 г. Однако жестоким убийствам гражданского населения Палестины, как и терактам, нет никакого оправдания. Нет никакого оправдания коллективному наказанию палестинцев в секторе Газа, где под бомбардировками и от голода гибнут палестинские дети, разрушаются больницы и школы, сотни тысяч людей лишаются крова. Нет оправдания планам по аннексии Западного берега реки Иордан. Фактически мы имеем дело с попыткой своего рода государственного переворота с целью «похоронить» решения ООН о создании палестинского государства. На днях ряд западных правительств объявили о признании Государства Палестина. Причем свое намерение сделать это они анонсировали еще несколько месяцев назад. Возникает вопрос: почему ждали так долго? Видимо, надеялись, что скоро, к моменту созыва ГА ООН, и признавать будет нечего и некого. Ситуация требует срочных действий по недопущению такого сценария, в пользу чего твердо высказались участники Международной конференции высокого уровня по мирному урегулированию вопроса о Палестине и реализации двугосударственного решения.
Заслуживают осуждения удары по иранским объектам, находящимся под гарантиями МАГАТЭ, а затем и по столице Катара в тот момент, когда там велись переговоры с ХАМАС с участием в том числе американских посредников.
Вчера в Совете Безопасности Запад отверг рациональное предложение Китая и России продлить срок действия договоренности 2015 г. по иранской ядерной программе, чтобы дать время дипломатии. Это окончательно разоблачило курс Запада на саботаж поиска конструктивных решений в СБ ООН и его стремление добиваться от Тегерана односторонних уступок путем шантажа и давления. Считаем такую политику неприемлемой, а все манипуляции Запада для восстановления антииранских санкций ООН, как и сами эти санкции, незаконными.
Запад не привык соблюдать и принцип невмешательства во внутренние дела. Печальным феноменом нашего времени стали «цветные революции», а незаконные односторонние санкции уже давно превратились в главный инструмент западной дипломатии. Причем какими бы предлогами их ни оправдывали, суть таких санкций одна – подавить и запугать конкурентов в мировой экономике и политике.
Россия вместе с абсолютным большинством членов ООН выступает за незамедлительную отмену без предварительных условий сохраняющейся более 60 лет торговой блокады Кубы и ее исключение из пресловутого списка стран-спонсоров терроризма. Выражаем солидарность с народом Венесуэлы в условиях внешнего санкционного давления и угроз. Выступаем за сохранение Латинской Америки и Карибского бассейна в качестве зоны мира и сотрудничества.
Вопиющий пример подрыва суверенитета и грубого вмешательства во внутренние дела – действия Запада на Балканах, где попирается и такой уставной принцип, как необходимость для всех членов ООН выполнять решения Совета Безопасности. Одностороннее признание «независимости» Косово вразрез с резолюцией 1244 по сути стало покушением на государственное устройство Сербии. Сейчас Запад взял курс и на развал государственности Боснии и Герцеговины, саботируя Дейтонское мирное соглашение. И в Косово, и в Боснии развернута атака на жизненные интересы сербского народа, включая исконные права сербского православия.
Точно так же киевский режим, захвативший власть в результате организованного Западом антиконституционного госпереворота в 2014 г,. взял курс на ликвидацию канонической Украинской православной церкви, законодательное истребление русского языка во всех сферах – образовании, культуре, СМИ. Украина – единственная страна в мире, законодательно запретившая использование родного языка почти половины своего населения. Арабский язык не запрещен в Израиле, а иврит – в арабских странах и Иране. А русский на Украине запрещен. Напомню, что в статье 1 Устава ООН говорится о необходимости «уважения к правам человека и основным свободам для всех, без различия расы, пола, языка и религии».
Европа об этом молчит, будучи одержима утопической целью нанести России «стратегическое поражение». Ради этого киевскому режиму дозволено все, включая теракты против политиков и журналистов, пытки и внесудебные казни, неизбирательные бомбардировки гражданских объектов, безрассудные диверсии против атомных электростанций.
Россия, как не раз подчеркивал Президент В.В.Путин, с самого начала была и остается открытой к переговорам по устранению первопричин конфликта. Безопасность России, ее жизненные интересы должны быть надежно гарантированы. Права русских и русскоязычных людей на территориях, остающихся под контролем киевского режима, должны быть восстановлены в полном объеме. На этой основе готовы вести речь и о гарантиях безопасности Украины.
Пока ни у Киева, ни у его европейских спонсоров не просматривается осознания остроты момента и готовности договариваться по-честному. Североатлантический альянс продолжает экспансию вплотную к нашим границам – вопреки данным еще советским лидерам заверениям не продвигаться «ни на дюйм» на Восток. Вопреки принятым членами НАТО в ОБСЕ обязательствам соблюдать принцип неделимости безопасности, не укреплять собственную безопасность за счет безопасности других, не претендовать на доминирование.
Мы неоднократно предлагали натовским столицам уважать свои обязательства и договориться о юридически обязывающих гарантиях безопасности. Наши предложения и 2008 г., и последующие – декабря 2021 г. были проигнорированы и игнорируются по сей день. Более того, все чаще звучат угрозы применения силы против России, которую обвиняют в том, что она чуть ли не планирует напасть на НАТО и Евросоюз. Президент В.В.Путин не раз развенчивал подобные провокации. У России не было и нет подобных намерений. Однако любая агрессия против моей страны получит решительный отпор. На этот счет не должно быть никаких сомнений у тех в НАТО и ЕС, кто не только убеждает своих избирателей в неизбежности войны с Россией и заставляет их затягивать пояса, но и в открытую заявляет о подготовке к нападению на нашу Калининградскую область и другие российские территории.
Определенные надежды связываем с продолжением российско-американского диалога, особенно после саммита на Аляске. В подходах нынешней администрации США видим стремление не только способствовать поиску реалистичных путей урегулирования украинского кризиса, но и желание развивать прагматичное взаимодействие, не вставая в идеологическую позу.
На России и США лежит особая ответственность за положение дел в мире, за избежание рисков, способных ввергнуть человечество в новую войну. Поддержанию стратегической стабильности призвана способствовать новая инициатива Российской Федерации, выдвинутая Президентом России  В.В.Путиным 22 сентября с.г., о готовности придерживаться центральных количественных ограничений по договору о СНВ в течение одного года после истечения срока его действия 5 февраля 2026 г. – при условии, что США будут действовать аналогичным образом и не предпримут шагов, нарушающих существующее соотношение потенциалов сдерживания. Считаем, что реализация нашего предложения позволит создать условия, необходимые для избежания гонки стратегических вооружений, сохранения приемлемого уровня предсказуемости в ракетно-ядерной сфере и улучшения общей атмосферы в российско-американских отношениях.
Коллеги,
В декабре этого года мы отметим 65-летие принятия Генассамблей Декларации о предоставлении независимости колониальным странам и народам. Процесс деколонизации при ведущей роли Советского Союза стал прямым следствием реализации права наций на самоопределение. Народы Африки и Азии отказались жить под гнетом колонизаторов – точно так же, как после госпереворота 2014 г. на Украине Крым, Донбасс и Новороссия отказались подчиниться незаконно захватившему власть киевскому неонацистскому режиму, который не только не представляет интересы их населения, но развязал против него войну. И в том, и в другом случае был реализован принцип, закрепленный в 1776 г. в Декларации о независимости и впоследствии не раз подтвержденный многими американскими президентами: «Правительства получают свою легитимность (just) с согласия управляемых (consent of the governed)». Как колонизаторы, так и киевский режим не имели никакого согласия народов, которыми пытались управлять. Этот принцип был единогласно подтвержден в Декларации ООН 1970 г., где прямо сказано: все должны уважать территориальную целостность тех стран, чьи правительства представляют весь народ, проживающий на соответствующей территории.
Сегодня Африка и весь Глобальный Юг переживают новое пробуждение, добиваясь полной независимости, и ООН не должна оставаться в стороне. В декабре 2024 г. была одобрена резолюция Генассамблеи «Искоренение колониализма во всех его формах и проявлениях». Призываем в качестве следующего шага принять решение об объявлении 14 декабря Международным днем борьбы с колониализмом. Приветствуем роль Группы друзей в защиту Устава ООН в консолидации усилий по противодействию неоколониальным и иным дискриминационным практикам в отношении Мирового большинства и приглашаем все независимые государства войти в состав ее участников.
Существующий баланс сил в мире кардинально отличается от того, который был установлен 80 лет назад. Процесс деколонизации и другие масштабные потрясения изменили политическую карту планеты. Мировое большинство громко заявляет о своих правах. Особую роль играют ШОС и БРИКС как механизмы согласования интересов стран Глобального Юга и Востока. Укрепляется влияние Африканского Союза, СЕЛАК и других региональных объединений.
Эти новые реалии пока не нашли должного отражения в системе институтов нашей Организации. Особенно важен вопрос реформы Совета Безопасности. Россия выступает за его демократизацию исключительно через расширение представленности Азии, Африки и Латинской Америки. Поддерживаем заявки Бразилии и Индии на постоянную «прописку» в Совете при одновременном исправлении исторической несправедливости в отношении Африки в параметрах, согласованных самими странами континента.
Недавно Генеральный секретарь А.Гутерреш предложил комплексную реформу ООН. Мы не против открытого обсуждения этой инициативы. Ориентиром должно быть возвращение ООН к основополагающим принципам, которые закреплены в ее Уставе и которые Запад долгие годы стремится подменить своим «порядком, основанным на правилах». Важно, чтобы работа велась транспарентно с участием и при учете интересов всех государств-членов. Призываем Генерального секретаря, всех сотрудников Секретариата неукоснительно следовать принципам беспристрастности и равноудаленности в соответствии со статьей 100 Устава. Нельзя допускать попыток «дворцового переворота» в Секретариате, его приватизации небольшой группой стран. Состав Секретариата должен отражать новые реалии, обеспечивать справедливую представленность стран Мирового большинства. Рассчитываем на конструктивное обсуждение вопросов развития Организации на специальном заседании Совета Безопасности, которое Россия в качестве председателя планирует организовать в День ООН 24 октября.
Реформа ООН – лишь часть комплексной задачи преобразования всей системы глобального управления, включая подлинную демократизацию МВФ, Всемирного банка и ВТО – соразмерно весу и роли Глобального Юга и Востока в мировых экономике, торговле и финансах.
В дискуссиях о глобальных реформах нельзя игнорировать тот факт, что ситуация в сфере международной безопасности ухудшается. О причинах я уже говорил. Главная из них – стремление сохранить гегемонию с опорой на военную силу. В конфронтационные схемы вовлекаются все больше стран и регионов. НАТО уже тесно в Европе, и она проникает в Тихий океан, в Южно-Китайское море, Тайваньский пролив, подрывая универсальные механизмы АСЕАН и создавая угрозы не только КНР и России, но и другим странам, расположенным в регионе. Этот новый этап экспансии руководство НАТО оправдывает «неделимостью безопасности Евро-Атлантики и Индо-Тихоокеанского региона» и пытается под этим лозунгом взять в военное кольцо уже всю Евразию.
Россия с единомышленниками предлагает конструктивную альтернативу этому опасному курсу: строить в Евразии архитектуру равной и неделимой безопасности не для членов НАТО и их союзников, а для всех без исключения стран и объединений континента, включая ШОС, СНГ, АСЕАН, ЕАЭС, ОДКБ, ССАГПЗ и другие. С этой целью Беларусь и Россия как партнеры по Союзному государству предлагают разработать Евразийскую Хартию многообразия и многополярности в XXI веке. Подлинно общеконтинентальный процесс неизбежен после того, как поведение Запада обессмыслило евроатлантическую модель обеспечения безопасности с опорой на НАТО, ЕС и ОБСЕ. Не видим перспектив у идей реставрации этой модели в Европе в ее прежнем виде, о чем стали размышлять в некоторых европейских столицах.
Говоря о будущем, нельзя забывать об уроках прошлого, особенно в ситуации, когда в Европе вновь поднимает голову нацизм, набирает обороты милитаризация – под теми же антироссийскими лозунгами.
Это вызывает тем большую тревогу, что ряд политических деятелей, оказавшихся у власти в Брюсселе и некоторых столицах стран ЕС и НАТО, всерьез начинают рассуждать о третьей мировой войне как о вероятном сценарии. Эти деятели подрывают любые усилия по поиску честного баланса интересов всех членов международного сообщества, пытаясь навязать свои односторонние подходы остальным, грубо нарушая ключевое уставное требование – уважение суверенного равенства государств. Именно это равенство – фундамент объективно формирующейся многополярности. Россия не агитирует за революцию против кого бы то ни было. Наша страна натерпелась от революций больше других. Мы просто призываем государства-члены и руководство Секретариата неукоснительно следовать всем принципам Устава ООН без двойных стандартов. Только тогда наследие отцов-основателей ООН не будет растрачено попусту.
Благодарю за внимание.</t>
  </si>
  <si>
    <t>https://www.mid.ru/ru/press_service/minister_speeches/2049686/</t>
  </si>
  <si>
    <t>Уважаемый господин Председатель!
Уважаемые дамы и господа!
70 лет тому назад, после окончания Второй мировой войны у человечества появилась надежда на установление справедливого миропорядка, основанного на всеобщем взаимопонимании и сотрудничестве.
Однако последовавший затем период холодной войны снова расколол мир на противостоящие блоки. После распада Советского Союза и социалистического лагеря многим казалось, что наконец-то исчезнут основания для конфронтации государств и военных конфликтов. Увы, пока эти надежды не сбываются.
С сожалением приходится констатировать, что наш мир не стал более стабильным, предсказуемым, комфортным для большинства жителей планеты, несмотря на огромную работу и колоссальные усилия по реализации масштабных планов ООН.
Вчера на Саммите мы утвердили амбициозную повестку работы Организации на ближайшие 15 лет.
В фокусе итогового документа пять стратегических направлений, которые имеют для всех нас жизненно важное значение: люди, планета, процветание, мир и партнерство. Они родились не на пустом месте, а стали логичным продолжением усилий по реализации Целей развития тысячелетия.
Тем не менее, эти усилия вызывают противоречивые чувства.
Да, есть определенные сдвиги в уменьшении глобального уровня нищеты, повышении защищенности и укреплении здоровья матерей и детей, расширении доступа к образованию. Но, говоря о достижениях, мы вынуждены признать, что качественного прорыва в жизни человеческой цивилизации так и не произошло. Более того, мы видим, как современный мир захлестывают все новые вызовы и обостряются старые проблемы.
Причем они касаются не одной сферы, а всех важнейших направлений жизнедеятельности человечества.
Во-первых, сегодня мы столкнулись с совершенно новыми геополитическими реалиями и военными конфликтами. Об этом уже многие ораторы говорили. Наблюдается беспрецедентная напряженность в международных отношениях. Все отчетливее проявляются угрозы, на которые пока нет ответа.
Концентрируясь на спорах по второстепенным вопросам, сообщество упустило из вида появление агрессивных террористических глобальных группировок.
Вся система международной безопасности переживает серьезный кризис. Потеря взаимного доверия между глобальными игроками, отсутствие готовности к компромиссам, возврат к элементам блокового противостояния, по сути, поставили мир на грань новой войны.
Не прекращаются попытки навязать определенную модель развития другим государствам. К чему это приводит?
В результате внешнего вмешательства, экспорта «цветных» революций и искусственной смены режимов стабильные прежде страны погрузились в хаос и анархию. Это все прикрывается демократией.
Вместо обещанной демократии и процветания люди в этих странах переживают ужасные страдания и вынуждены спасаться бегством. Толпы мигрантов штурмуют сегодня Европу. И это тоже стало острой международной проблемой.
Сегодня мы все в большей степени зависим друг от друга. Действия одного государства напрямую затрагивают интересы многих других. Неуязвимых стран больше не существует.
Мы должны честно признать - сейчас нет эффективной системы сдержек и противовесов. Державы, претендующие на мировое лидерство, к сожалению, не могут избежать соблазна задействовать силу и экономический шантаж для обеспечения своих собственных интересов. Мир опасно близко подошел к фактическому отказу от закрепленных в Уставе ООН принципов международного права.
Поэтому глубоко убежден, что в Организации крайне необходима новая широкая дискуссия о принципах будущего сосуществования государств и народов. Об этом я уже говорил, но хочу еще раз подчеркнуть: Организация не должна превращаться в место для взаимных обвинений и конфронтации государств.
Диалогу нет альтернативы! Нам не уйти от коллективного решения проблем.
Конечно, можно вновь понастроить новых стен, разделительных линий, но от этого проблемы никуда не исчезнут.
Второе. Серьезную опасность для стабильности мира представляют глобальные экономические угрозы. Валютные войны, санкции, передел сырьевых рынков, недобросовестная конкуренция и другие негативные явления обостряют мировой кризис.
А попытки со стороны ряда ведущих государств решать свои проблемы за счет других стран также являются основой для конфронтации и разобщенности.
Выход из этого тупика видится один - всестороннее взаимодействие экономик разных стран, поиск оптимальных путей устойчивого развития для всего мирового сообщества, а не отдельных стран. И очень важна при этом поддержка бедных и беднейших государств.
Только общими усилиями мы сможем вывести новую формулу всеобщего взаимовыгодного сотрудничества. Белорусская сторона предлагает, чтобы его основой стала идея интеграции интеграций как наиболее актуальная тенденция современного мира. Посмотрите, сколько новых интеграционных объединений появилось за последние годы.
И сегодня мы ведем речь о перспективах взаимодействия Европейского и Евразийского экономического союзов, масштабном проекте Великого шелкового пути, создании Транстихоокеанского партнерства и Трансатлантической зоны свободной торговли и десятков других.
Если нам удастся избежать ненужного и опасного противоборства интеграционных моделей, добиться их совместимости, взаимодополняемости, то в идеале мы способны создать всемирную интеграционную структуру, которая бы охватывала всю нашу планету, прочно соединяла различные регионы и целые континенты. В такой парадигме могли бы мирно сосуществовать различные нации и государства, объединенные общей целью прогресса и процветания.
Ценность интеграционного процесса - в его демократичности. Он в известном смысле уравнивает шансы всех участников, дает возможность небольшим и средним государствам раскрыться.
Главное условие интеграции - взаимная выгода. Стремление же получить сиюминутные односторонние преимущества - вот в чем корень зла.
Нужно осознать ответственность перед будущим, думать о том, что мы оставим после себя.
Нельзя забывать, что крайняя нищета в отдельных регионах планеты, кричащее социальное расслоение внутри общества, диспропорции между государствами, отсутствие перспектив, прежде всего у молодежи, - это питательная среда для международного терроризма и организованной преступности.
Третий блок глобальных угроз, которые вызывают тревогу, - в социальной, гуманитарной и экологической сферах.
В последнее время под звучные призывы к максимальной свободе в ряде стран подвергаются испытанию на прочность основополагающие устои человеческого общества: семья, мораль, нравственность.
Безответственные социальные идеи могут привести к новому расколу между различными культурами, породить жесткое религиозное неприятие, межнациональные конфликты. Задумываются ли о последствиях своих слов и действий «социальные новаторы»?
Такие же эгоистичные подходы характерны и по отношению к окружающей среде.
Уже много лет международное сообщество не может найти ответа на вызовы изменения климата. Многие предпочитают перекладывать ответственность на других, на последующие поколения.
Задумываясь над подобными проблемами, нельзя не прийти к одной мысли. Похоже, что глубинный источник этих кризисов и угроз один: искусственный культ индивидуальных прав и свобод человека в ущерб общественным интересам.
Прикрываясь лозунгом прав человека, оправдываются свержение правительств, разрушение государств и войны за ресурсы. Насаждаются методы хаоса и анархии. Культивируются хищническое отношение к природе и стремление к наживе.
Это приводит к деградации сознания людей, когда чьи-то извращенные прихоти возводятся в норму.
Такие подходы дают зеленый свет разложению общества, разрушению моральных устоев и нравственных ценностей человечества. Исчезает граница между добром и злом.
Беларусь не претендует на знание готовых рецептов того, как решить эти проблемы. Но мы искренне верим, что ответ лежит в плоскости тех идей, которые были предложены миру основателями ООН 70 лет назад. В первую очередь речь должна идти о безусловном осуждении насилия.
Войны не должны быть инструментом выяснения отношений между государствами. «Мир нельзя удержать силой, мира можно добиться только через понимание», - говорил мудрый Эйнштейн. С этим трудно поспорить.
Только через самоограничения можно обеспечить благо и защиту для всех: и сильных, и слабых. Это и есть суть международного права, которое является единственной альтернативой «закону джунглей».
Беларусь всегда будет поддерживать любые усилия и инициативы по укреплению системы международного права. Это важнейший приоритет нашей внешней политики.
Однако одного международного права для обеспечения мира и безопасности на планете крайне недостаточно. Необходимо на национальном уровне создать достойные условия жизни для каждой конкретной личности.
Глубоко убежден, что адекватно справиться с этой задачей может только сильное государство.
Парадоксально, но в XXI век человечество вступило с большим числом слабых и малоэффективных государств. Что такое слабое государство? Это отсутствие законности, отсутствие стабильности, вопиющее неравенство и крайняя бедность, отсутствие мотивации и здоровой морали у молодежи.
Мы в Беларуси это очень хорошо понимаем. На протяжении последних двух десятилетий мы целенаправленно строили суверенное государство с социально ориентированной экономикой. Уделяли и продолжаем уделять самое пристальное внимание укреплению семьи и самореализации молодежи.
Скажу честно: нас очень волнуют происходящие в ряде стран процессы разрушения традиционной семьи.
Особенно не нравится, когда нам предлагают признать определенные отступления от норм морали и разные социальные «новации» в качестве естественных. Не хочу углубляться в эту проблему. Боюсь увязнуть, и потом подвергнуться излишней критике, но так и хочется при этом спросить: детей-то кто рожать будет? Мы сделаем все от нас зависящее, чтобы наши внуки, правнуки и их потомки сохранили принятые народом нравственные ценности, добрые традиции духовности и культуры.
С полной уверенностью могу заверить всех, что анархии, беспределу и насилию никогда не будет места на белорусской земле - ни под какими лозунгами, в том числе демократии.
Мы достаточно сильны и уверены в себе, чтобы не допустить их прихода к нам извне!
Стабильная Беларусь по-прежнему будет оставаться донором региональной и международной безопасности.
Мы намерены строить ровные, взаимовыгодные и уважительные отношения со всеми странами мира.
Для нас представляет особую ценность добрососедство и взаимопомощь. Поэтому мы стремимся сегодня к мирному урегулированию кризиса в братской Украине и в других горячих точках планеты.
Беларусь продолжит активную работу по противодействию общим глобальным проблемам, прежде всего в рамках международных организаций.
Такие организации имеют огромный опыт и возможности.
Беларусь может предложить международному сообществу свой опыт, пусть небольшой, решения ряда проблем, таких как, например, чернобыльская катастрофа и ее преодоление, искоренение торговли людьми.
Осмысливая национальный опыт развития, хочется сделать следующий вывод. Только союз сильных, ответственных и эффективных государств, объединенных системой международного права, способен адекватно противостоять современным глобальным вызовам и угрозам. И здесь, несомненно, очень важна роль нашей Организации.
В эти дни приходится слышать немало критики в адрес ООН. Республика Беларусь, безусловно, разделяет главный посыл о том, что Организация не может быть застывшей, она должна идти в ногу со временем. Но самое главное, реформируя любую структуру, - не выбросить бы главное, в данном случае - обеспечить незыблемость целей и принципов Устава ООН.
Вместе с тем важно понимать, что ООН, как я уже неоднократно говорил, это все мы, и от того, насколько согласованно и конструктивно мы будем действовать, зависит благополучие мирового сообщества.
Уважаемый господин Председатель!
Меньше всего я хочу, чтобы мои слова с этой трибуны во второй день еще раз прозвучали пророчески, но сегодня нельзя избавиться от ощущения, что в мире маячит призрак очередного большого конфликта, если не войны.
Нам нельзя допускать, чтобы этот зловещий призрак стал явью! Вот мы собрались сегодня, вчера обсуждали очень важную проблему, Программу наметили развития Организации Объединенных Наций, но я уже говорил: для очень многих, для миллионов жителей нашей планеты это звучит - устойчивое развитие - кощунственно, потому что они умирают каждый день, умирают дети, умирают старики. И нам бы сегодня собраться и принять только одно решение - покончить с войнами и конфликтами, хотя бы с теми, которые сегодня разгорелись и бушуют на нашей планете.
В завершение своего выступления приведу цитату великого человека - Нельсона Манделы. Этот несломленный борец за справедливость в мире, обращаясь к современникам, сказал: «Иногда на поколение выпадает участь стать великим. Вы можете стать этим поколением».
Очень надеюсь, что такая участь выпадет именно нашему поколению. Я верю, что мы найдем в себе силы и здравый смысл сделать все, чтобы изменить мир к лучшему. Иного не дано.
Благодарю за внимание.
Источник: https://pravo.by/novosti/obshchestvenno-politicheskie-i-v-oblasti-prava/2015/september/5962/ – Национальный правовой Интернет-портал Республики Беларусь</t>
  </si>
  <si>
    <t>https://pravo.by/novosti/obshchestvenno-politicheskie-i-v-oblasti-prava/2015/september/5962/</t>
  </si>
  <si>
    <t>Макей</t>
  </si>
  <si>
    <t>В современном глобализирующемся мире человеческая мобильность становится все более актуальной темой. Текущая ситуация с мигрантами и беженцами в мире остается сложной и по-прежнему характеризуется отсутствием предсказуемости и управляемости. Мы наблюдаем кризис в понимании причинно-следственных связей возникающих миграционных и чрезвычайных гуманитарных ситуаций, которые сопровождаются массовым перемещением людей. Основная масса беженцев в мире сегодня является прямым или косвенным результатом затяжных вооруженных конфликтов в отдельных регионах и странах, результатом прямого вмешательства во внутренние дела суверенных государств и попрания основополагающих принципов, заложенных в Уставе Организации Объединенных Наций. Поэтому в данном контексте и в контексте сегодняшнего мероприятия будет уместно подчеркнуть незыблемый характер целей и принципов Устава ООН, и мы призываем все государства-члены их соблюдать. Современная система правового регулирования приема мигрантов и беженцев подвергается сегодня серьезным испытаниям. В ряде стран назначения фиксировались многочисленные факты отхода от взятых ранее на себя международных обязательств в сфере обеспечения прав беженцев и мигрантов, соблюдения прав человека в целом. Предстоит найти ответ и на проявления социальной напряженности и враждебного отношения к беженцам и мигрантам. Мы полагаем, что для упреждения подобных ситуаций беженцам и мигрантам в странах приема необходимо обеспечить доступ к эффективным средствам правовой защиты. Особое внимание среди беженцев и мигрантов следует уделить защите наиболее уязвимых социальных групп, как инвалиды, пожилые люди, а также женщины и дети, особенно дети без сопровождения родителей. Бесспорно, что неконтролируемый массовый поток людей является хорошей средой для развития преступности, порождает торговлю людьми, дестабилизирует обстановку, ведет к формированию враждебного настроения в обществе к мигрантам и беженцам. В таких условиях принимающим странам важно сохранить баланс, чтобы с одной стороны принятые законы обеспечивали безболезненную интеграцию беженцев и мигрантов в общество, а с другой – не противоречили национальным интересам и учитывали особенности и возможности конкретных регионов и стран. В то же время важно понимать, что безболезненная интеграция подразумевает не только лишь права мигрантов и беженцев, но и обязанности, сопряженные с уважением национального законодательства. До недавнего времени мигранты и беженцы чаще рассматривались как некое «бремя». Однако отрадно признать, что сознание в этом вопросе меняется и в новой повестке дня в области развития до 2030 года, которую мировые лидеры одобрили в прошлом году здесь, в штаб-квартире ООН, признается, что мигранты и беженцы могут стать активными участниками устойчивого развития и способствовать экономическому росту. Для этого необходимо формировать условия для упорядоченной, безопасной, легальной и ответственной миграции. Важную роль в этом процессе играет международная поддержка. Однако финансовая помощь странам в создании необходимых механизмов приема беженцев и мигрантов не всегда является достаточной. Зачастую принимающие государства вынуждены самостоятельно реагировать на проблемы. В связи с этим гуманитарная помощь должна быть неразрывно связана с вопросами финансирования развития. Активно продвигаемый сегодня некоторыми странами принцип «распределения ответственности» должен, в первую очередь, налагать ответственность на тех, кто стоит за разжиганием конфликтов на территории суверенных государств, заставляющих людей массово покидать свои дома. Для совершенствования и укрепления механизмов управления миграционными процессами необходимы скоординированные действия всех вовлеченных сторон. Поэтому важную роль в формировании благоприятной миграционной ситуации в мире мы отводим глобальным партнерствам с участием всех заинтересованных, прежде всего, самих государств, гражданского общества, международных организаций, частного сектора, построенным на взаимном доверии, взаимопомощи и взаимопонимании. В заключение, хотел бы поприветствовать Международную организацию по миграции в качестве нового члена семьи Организации Объединенных Наций и выражаем уверенность в том, что огромный опыт и потенциал этой авторитетной организации еще больше будет способствовать эффективному выполнению намеченных нами ориентиров в области миграционной политики. Источник: https://mfa.gov.by/press/statements/bd501133fc8ae5f3.html © При использовании материалов сайта ссылка на МИД Беларуси обязательна</t>
  </si>
  <si>
    <t>https://mfa.gov.by/press/statements/bd501133fc8ae5f3.html</t>
  </si>
  <si>
    <t>Господин Председатель, Дамы и господа, Для нескольких последних десятилетий характерны две противоречивые тенденции – растущая политическая фрагментация и усиливающаяся экономическая глобализация. Первая тенденция ассоциируется с глобальной политической нестабильностью. Она стала результатом войн, конфликтов, терроризма, ксенофобии и других факторов. Создается ощущение нарастающего хаоса и безнадежности. Почему мы оказались в такой ситуации? Потому что мы не поставили точку в последнем эпохальном конфликте – Холодной войне. Она не завершилась принятием мирного договора, как это всегда происходило с окончанием всех предыдущих эпохальных войн. Как следствие, мы остались без общепризнанных рамок для дальнейшего поведения. Различные силы стали по-разному интерпретировать это состояние геополитической неопределенности и соответствующим образом действовать. Что было очевидным и законным для одних, было непонятным и нелегитимным для других. По большому счету, все проблемы, накопившиеся с начала 90-х, – это следствие нашей неспособности довести дело до конца в завершении Холодной войны. Но никогда не поздно сделать то, что правильно. В прошлом году Президент Республики Беларусь выступил с инициативой проведения нового переговорного процесса по аналогии с Хельсинкским процессом 70-х годов. Разумеется, с пониманием тех проблем и угроз, которые актуальны для всех нас сегодня. Необходимо говорить о своеобразном расширении и переосмыслении этого формата. Мы предлагаем, чтобы ключевые глобальные «игроки», прежде всего Китай, Россия, США, государства Европейского союза, начали диалог о стратегическом видении новых конструктивных отношений. Республика Беларусь, со своей стороны, готова предоставить площадку для процесса. Мы готовы выполнить эту задачу также ответственно, как Беларусь это делает на протяжении последних лет в рамках усилий по урегулирования кризиса в Украине. Минск готов стать «мостом», связывающим старое с еще не родившимся. 2 По сути, договоренности по итогам диалога и поставили бы точку в последней эпохальной войне. Такие договоренности могли бы быть впоследствии реализованы при активном подключении Организации Объединенных Наций. Тем самым мы повернули бы вспять тенденцию растущей политической фрагментации в мире. Может быть это кому-то покажется сегодня нереалистичным. Но именно так же в свое время, три года назад, воспринималось предложение Президента Республики Беларусь о введении миротворцев в Украину. А сейчас эта идея реанимирована и активно обсуждается в ООН. Вторая из двух глобальных тенденций – усиливающаяся глобализация – безусловно, в целом содействовала прогрессу и экономическому развитию на планете. Но у нее также есть своя обратная сторона. Дело в том, что большинство населения Земли не смогло воспользоваться этими плодами, особенно в последние десятилетия. Как результат, мы никак не можем покончить с бедностью, в то время как неравенство постоянно увеличивается. За последние годы много говорилось, в том числе и с этой трибуны, об экономических причинах таких проблем. Если вкратце, то глобальная экономика не была подчинена формуле «выигрывают все». Она работала в интересах корпоративного капитала, но не для простого человека. В результате экономическая глобализация не стала той «волной, которая подняла бы все лодки вместе». Несмотря на это, есть определенные основания для оптимизма. Мы связываем его с двумя моментами – региональной интеграцией и новыми творческими идеями в глобальной экономике. Региональная интеграция является неотъемлемым элементом современного мира. Там, где эти процессы успешно развиваются, остается меньше пространства для политической фрагментации. Беларусь является активным участником многих интеграционных процессов в своем регионе. В текущем году, например, мы выполняем функцию председателя Центрально-европейской инициативы. В последние несколько лет Беларусь активно продвигает идеи взаимодействия и сопряжения между региональными процессами. Мы называем такой подход «интеграция интеграций». Он происходит из понимания, что современный мир в структурнофункциональном отношении, по сути, состоит не только из государств, но и из регионов. Убеждены в том, что региональным процессам также необходимо взаимодействие между собой, как оно нужно государствам. К новым творческим идеям мы, безусловно, относим инициативу Китайской Народной Республики «Один Пояс, Один Путь». Инициатива представляет собой новый вид многосторонних экономических отношений. Она направлена на то, чтобы выгоды получили как все ее отдельные участники, так и глобальная экономика в целом. Это настоящий подход по формуле «выигрывают все». Республика Беларусь активно участвует в ней и всячески поддерживает инициативу. Считаем, что «интеграция интеграций» и инициатива «Один Пояс, Один Путь» помогут свернуть глобальную экономику с рельсов «расхождения» и поставить ее на путь «схождения». Глобализация должна стать более справедливой. Как ООН может помочь в решении проблем политической фрагментации и неравномерной экономической глобализации? 3 Одной из ключевых задач для Организации в прошлом столетии было удержание великих государств от ведения междоусобных войн. ООН справилась с этой задачей. Она предоставляла площадку, в рамках которой противоборствующие стороны могли работать на позитив. В итоге третья мировая война не состоялась. Сегодня реалии иные, требующие переосмысления роли и места Организации на планете. В частности, вопрос состоит в том, как ООН вписывается в мир, где во все большей степени доминируют различные узкие клубы и неформальные объединения. Убеждены в том, что, как и прежде, деятельность ООН должна быть направлена на укрепление межгосударственной системы отношений. Именно здесь государства-члены могут успешно разрешать свои противоречия и находить взаимоприемлемые решения. И именно здесь они могут успешно заниматься транснациональными угрозами. С другой стороны, ООН должна стать объединяющим элементом для системы международных отношений в целом. Иными словами, весь сложный комплекс новых измерений в этих отношениях – узкие клубы, объединения, союзы и другие – следует привязать к ООН. Таким образом, система как таковая будет работать понятно, согласованно и эффективно. Новый Генеральный секретарь «запустил» процесс всеобъемлющей реформы Организации. Мы в целом приветствуем это начинание. При этом отмечаем особую актуальность и важность инициатив Генерального секретаря в области обеспечения международной безопасности и борьбы с терроризмом. Понимаем, что успех в деле преобразований ООН во многом определит роль и место Организации в мире на многие годы вперед. Одновременно убеждены в том, что успех станет возможен, если все мы будем придерживаться трех принципиальных моментов. Во-первых, реформа должна быть прозрачной, логичной и ориентированной на результаты. Во-вторых, реформа не должна привести к бюрократизации и увеличению нагрузки на государства-члены. В-третьих, реформа должна быть инклюзивной – голос каждого государствачлена должен быть услышан. Однако главная реформа системы ООН все же состоит не в пересмотре схемы взаимодействия и подчинённости её отдельных элементов. Реформа – это не оптимизация штата организации и её финансирования. Самая серьёзная, значимая и далеко идущая реформа может и должна произойти в нашем отношении к Организации. Сегодня Генеральная Ассамблея ООН является уникальным всемирным дискуссионным форумом. Этот форум критически важен для осознания хрупкости и многообразия нашего мира. Нам, государствам-членам, крайне важно восстановить во многом утраченное чувство собственника нашей организации. Действительно, ООН это не только секретариат, полевые миссии и программы и фонды. ООН, прежде всего, это государства-члены, их воля или бездействие, диалог и сотрудничество или отчуждение. Никакой идеальный состав Совета Безопасности и гениально оптимизированная повестка дня Генеральной Ассамблеи не будут иметь никакого значения для мира за пределами здания на Ист-ривер, если государства-члены практически не проявят воли к поиску лучшего понимания и большего согласия. 4 Наша рутинная работа в Генеральной Ассамблее, основанная на согласовании текстов многочисленных и многословных резолюций, лишь в очень малой степени является диалогом и попыткой лучше понять оппонента. Наши разнообразные тематические мероприятия дают трибуну десяткам ораторов для представления своей позиции. При этом они очень редко пытаются найти ответ на вопрос: что нужно сделать, чтобы мы лучше поняли друг друга? Как часто на наших официальных заседаниях и неформальных консультациях нестыковки аргументации, вопросы без ответа повисают в воздухе без реагирования, а часто и попросту остаются неуслышанными? Поэтому мы глубоко убеждены в том, что главная реформа ООН произойдёт, когда мы вместе решим создать условия – как организационные, так и в плане нашего целеполагания – для использования ООН в качестве практического инструмента поиска путей разрешения противоречий и споров между государствами-членами без насилия и войны. Мы хотели бы, чтобы и Генеральный секретарь, и государства-члены ООН приняли во внимание этот посыл. Господин Председатель, История нам показывает, что мировой порядок или система международных отношений всегда рождались в огромнейших муках – как результат эпохальной войны или эпохального события. Нужна ли нам очередная большая война или иное бедствие глобального масштаба, чтобы сегодняшний неуправляемый мир прибрел очертания порядка? Уверен, что никто не желает такого сценария. Беларусь предложила пути решения основных глобальных проблем. Мы в полной мере отдаем себе отчёт, насколько дерзкой и малореальной на этом этапе многим может представляться идея формирования обновлённой архитектуры евразийско-атлантического сотрудничества и безопасности. Мы готовы допустить, что наши начальные идеи об очертаниях и возможном тематическом наполнении этого процесса могут быть далеки от совершенства. Возможно, не все пока готовы принять и активно продвигаемую Беларусью идею важности более тесного взаимодействия между региональными интеграционными процессами. В чём мы, однако, твёрдо убеждены, так это в том, что время требует от всех нас срочного действия и сотрудничества во имя мира и процветания. Хотел бы завершить свое выступление весьма уместной цитатой. Мартин Лютер Кинг сказал: «Над отбеленными костями и смешавшимися остатками многочисленных цивилизаций написаны жалкие слова: слишком поздно».1 Пока что все вместе мы можем не допустить, чтобы стало слишком поздно. Спасибо за внимание.</t>
  </si>
  <si>
    <t>https://mfa.gov.by/upload/Statement_UN_GA.pdf</t>
  </si>
  <si>
    <t>Уважаемый господин Председатель, Уважаемые дамы и господа, Мы живем в парадоксальное время, когда оптимизм и пессимизм в равной степени являются неотъемлемыми составляющими нашей жизни. Действительно, совсем недавно мы приняли такие важнейшие документы, как Повестка ООН 2030 в области устойчивого развития и Парижское соглашение по климату. В конце этого года международное сообщество должно дать «зеленый свет» еще двум документам, на которые возлагаются особые надежды на изменения к лучшему – глобальным соглашениям по беженцам и по мигрантам. Реализация всех этих знаковых инициатив призвана самым серьезным образом трансформировать жизнь всех стран и народов, обеспечить справедливую глобализацию, в которой не было бы проигравших, искоренить нищету, сохранить планету для будущих поколений. Поиск ответов на глобальные вызовы, путей решения общих задач со всей очевидностью показывает: ни одна страна не в состоянии решить их самостоятельно. Не может быть индивидуального прогресса без прогресса коллективного. Именно поэтому, какая бы справедливая критика ни звучала в адрес ООН, Организация по-прежнему нужна нам как уникальная платформа для сотрудничества, действенный многосторонний механизм, основанный на принципах, гарантирующих равное и уважительное отношение к любой стране, её приоритетам и нуждам. Для содействия государствам в решении амбициозных задач Повестки 2030 необходимы эффективные “команды ООН” на местах, которые смогут результативно и рационально поддерживать правительства на пути к устойчивому развитию. Именно в этом мы видим суть реформирования системы развития ООН. Дамы и господа, Развитие глобализации, которое учитывало бы интересы всех, управление ею на общее благо остается в числе ключевых задач современного мира. А с этим наблюдаются очевидные сложности. Глобализационные процессы сопровождаются появлением новых геополитических и геоэкономических линий и разломов не только в региональном, но и мировом масштабе. Создается своеобразная цивилизационная ловушка, когда запрос на интеграцию идет рука об руку с проявлениями фрагментации, протекционизма и даже конфронтации. Находясь в центре Европы, Беларусь входит, с одной стороны, в состав Евразийского экономического союза, с другой – заинтересована в интенсивном экономическом взаимодействии с Евросоюзом. Оказавшись на стыке двух геополитических центров силы, мы в полной мере ощущаем на себе взаимосвязь геополитики и геоэкономики. Из-за конфликта в Украине и роста напряженности в регионе, санкций и контрсанкций наша страна пусть не напрямую, а косвенно, но несет значительные экономические потери. Беларусь как средняя по размерам страна с одной из наиболее открытых в мире экономик – 60-70 процентов нашего ВВП экспортируется – очень сильно зависит от внешних рынков и международной торговли. В том числе по этой причине мы неизменно выступаем за построение справедливой, предсказуемой и недискриминационной торгово-экономической архитектуры как в Европе, так и в других регионах мира, которая учитывала бы интересы всех государств. Ее неотъемлемой составляющей, с нашей точки зрения, должна стать реализация многоуровневых интеграционных проектов. В силу своего географического положения Беларусь особо заинтересована в сближении Евразийского экономического союза и Европейского союза. Ведь наша западная граница, по сути, остается единственной экономической границей на пространстве между Лиссабоном и Владивостоком, а в перспективе, может быть, и Шанхаем. Поэтому Беларусь последовательно продвигает идею «интеграции интеграций» как принципа сотрудничества, ориентированного на совместный поиск оптимальных путей объединяющего экономического роста и устойчивого развития. Достижение целей глобальной Повестки дня по устойчивому развитию с ее всеобъемлющим обещанием не оставлять никого позади требует особого внимания и международной поддержки стран со средним уровнем дохода. Именно эта группа стран, в которых проживает 5 из 7 миллиардов населения мира, объективно обладает наибольшими резервами роста экономики и обеспечения глобальной устойчивости. С другой стороны, именно в них сконцентрировано три четверти самого бедного населения. Именно они наиболее уязвимы к колебаниям мировой экономической конъюнктуры, последствиям региональных конфликтов, стихийных и техногенных катастроф, климатических потрясений, эпидемий, которые ставят под угрозу социально-экономическую стабильность и усугубляют неравенство, в том числе на региональном и глобальном уровнях. В такой ситуации несправедливо, что прогресс в развитии продолжает оцениваться исключительно посредством дохода на душу населения. Этот критерий не отражает экономическую, социальную и экологическую специфику стран со средним уровнем дохода. Для Беларуси очевидно, что многоплановый характер вызовов, стоящих перед государствами этой категории, к которым относится и наша страна, требует многомерных критериев развития и выстраивания на их основе ориентированных на результат стратегий сотрудничества со стороны агентств системы ООН. Беларусь рассчитывает, что заседание высокого уровня для всестороннего обсуждения этих вопросов, которое Председатель Генеральной Ассамблеи ООН планирует созвать в ближайшее время, даст серьёзный толчок разработке и реализации конкретных мер со стороны ООН на этом направлении. Дамы и господа, Сегодня еще одна многогранная тема все сильнее выдвигается в фокус нашего внимания. Человечество вошло в новую эру: цифровые технологии кардинально меняют нашу жизнь. Значимость цифровой экономики для устойчивого и всестороннего экономического роста прекрасно понимают в нашей стране. В марте этого года вступил в силу Декрет Президента «О развитии цифровой экономики», призванный способствовать превращению Беларуси в “IT-страну”. Динамично развивается белорусский Парк высоких технологий, демонстрируя рекордные темпы как по росту численности резидентов, так и по росту экспорта. Цифровые технологии справедливо сравнивают с «ракетным топливом» для национальных экономик. Они способствуют быстрому внедрению инноваций в человеческую деятельность, включая образование, потребление, социальное взаимодействие. Цифровые технологии стимулируют активность бизнеса, приносят ощутимые прибыли, создают новые рабочие места. Вместе с тем, цифровизация объективно приведёт к кардинальным изменениям рынка труда, исчезновению целого ряда профессий, невостребованных в новых условиях, поставит в уязвимое положение людей, занятых в соответствующих отраслях. Очевидно, что перед правительствами как развитых, так и многих развивающихся стран уже в ближайшем будущем остро встанут задачи: как адаптировать собственные экономики к глобальным процессам цифровой трансформации, как этими процессами эффективно управлять на национальном уровне, как справляться с непреднамеренными социальными последствиями цифровизации. В этой связи Беларусь предлагает ООН наладить международное сотрудничество в области цифровизации и технологического прогнозирования для нужд устойчивого развития. Цель такого сотрудничества – помочь развивающимся странам найти и занять свою нишу в глобальной цифровой экономике, умножить выгоды от цифровизации и обеспечить их равномерное распространение. Мы приветствуем учреждение Генеральным секретарём ООН Группы высокого уровня по цифровому сотрудничеству и рассчитываем, что группа уделит особое внимание вопросам укрепления потенциала государств в этой сфере. Абсолютно очевидно, что укрепление этого потенциала невозможно без таких ценностей, как устойчивость и процветание для всех. Именно они составляют глубинную основу для тех задач, которые государства мира могут решить только сообща. К сожалению, именно они нередко приносятся в жертву логике конфронтационного мышления, с которой мы сталкиваемся все чаще. На саммите ООН 2015 года Президент Беларуси высказал идею о невозможности устойчивого развития без обеспечения прочного мира и безопасности. Это полностью актуально и сегодня. Реальная устойчивость не может быть достигнута вне рамок безопасности, которые ежедневно испытываются на прочность. Общей для всех является глобальная угроза терроризма. Борьба с ней требует целостного подхода, при котором все страны соблюдают принципы международного права и избегают двойных стандартов. Мы приветствуем и с готовностью поддерживаем усилия руководства ООН по созданию единого фронта против терроризма. Вкладом нашей страны в глобальные объединительные процессы в этой сфере станет организованная Беларусью совместно с ОБСЕ Международная конференция высокого уровня по вопросам предотвращения и борьбы с терроризмом в цифровую эпоху, которая пройдет в Минске ровно через неделю (9-10 октября). Дамы и господа, Обращаясь к теме международной безопасности в целом, нельзя в очередной раз не отметить очевидное. Мир сегодня сталкивается с беспрецедентными вызовами и угрозами. Конфронтация в международных отношениях все чаще заставляет говорить о новой «холодной войне». Более того, все чаще раздаются голоса о возникновении вероятности применения оружия массового уничтожения, пусть и в результате непреднамеренного конфликта или случайного инцидента. Это свидетельствует о кризисе дипломатии и серьёзно подрывает авторитет ООН как главной международной организации, призванной предотвращать международные конфликты. «Градус» расхождений в отношениях между рядом крупнейших государств мира сегодня достиг критической отметки. По некоторым вопросам ситуация доходит до абсурда. Ключевые органы системы ООН, в первую очередь Совет Безопасности, превращаются в арену для противостояния и политического самоутверждения, где конфронтация превалирует над диалогом, геополитические амбиции берут верх над здравым смыслом. У нас, как и у многих в этом зале, к сожалению, нет готового рецепта исправления сложившейся ситуации. Но мы глубоко убеждены: нет иного выбора, кроме как формировать глобальный порядок на основе «общих ценностей». При этом совершенно очевидно, что «общие ценности» не могут быть сформированы через принуждение к демократии, насильственные действия по подрыву легитимных властей. Печальный геополитический опыт последних трех десятилетий свидетельствует о том, что основой для таких ценностей должно быть нечто, в чем все действительно имеют общий интерес. Полагаем, что такой парадигмой может стать идея стабильности. Обеспечить стабильность означает остановить тенденцию раскручивающейся «спирали» геополитического хаоса. Что для этого важно? Во-первых, стабильность подразумевает сохранение за государствами роли основных международных «игроков», уважение государственного суверенитета. На этих важнейших принципах, закреплённых в основополагающих документах ООН, зиждется современное международное право. Речь идет, с одной стороны, о свободе государств избирать собственную форму политического правления, свой путь и приоритеты развития, с другой, о невмешательстве государств во внутренние дела друг друга. К сожалению, эти  принципы в  современном мире соблюдают не все. Политика санкций, экономического принуждения и политической изоляции в отношении так называемых «неугодных режимов» прочно вошла во внешнеполитический арсенал отдельных государств. Все мы являемся свидетелями многолетней политики экономической, торговой и финансовой блокады против свободолюбивой Кубы, что не просто нарушает резолюции ООН, но ощутимо препятствует устойчивому социально-экономическому развитию этой страны. Во-вторых, стабильность – это укрепление государства и его роли во внутренних делах. Абсолютно убеждены в том, что только сильное государство может обеспечить безопасность и благополучие своего населения. Полагаем, что люди, живущие в тех местах, где твердой власти нет, подтвердят такую истину более, чем кто-либо другой. Поэтому, если мы все действительно заинтересованы в планетарной стабильности, нам надо не расшатывать государства, а содействовать их укреплению. Наконец, стабильность касается отношений между великими державами, которым сегодня надо вновь учиться слушать и слышать аргументы друг друга, быть готовыми к разумным компромиссам. В прежние времена великие державы определяли судьбы планеты. В современном мире у них уже нет такой исключительной прерогативы. И всё же согласие между великими державами в отношении «общих ценностей» и лидерство в их продвижении являются совершенно необходимым условием (лат. sina quo non) для прогресса по многим направлениям. Исходя именно из такой логики, Президент Республики Беларусь Александр Лукашенко в прошлом году выступил с инициативой начала нового масштабного международного диалога по вопросам безопасности. Он должен быть направлен на преодоление существующих противоречий во взаимоотношениях государств на общем пространстве Евроатлантики и Евразии. Уверены, что только такой диалог поможет преодолеть глубокий кризис доверия в международных отношениях и совместно выработать механизмы, которые будут способствовать реальному укреплению мира и международной безопасности, достижению устойчивого развития. Господин Председатель, Может ли один день или одна встреча изменить историю? Великий индийский лидер Джавахарлал Неру называл такой момент «свиданием с судьбой» (tryst with destiny). Полагаю, наша общая задача – умножать количество таких моментов. Общими усилиями находить совместные решения, приемлемые для всех. Благодарю за внимание. Источник: https://mfa.gov.by/press/statements/a2e249ab109ec7fb.html © При использовании материалов сайта ссылка на МИД Беларуси обязательна</t>
  </si>
  <si>
    <t>https://mfa.gov.by/press/statements/a2e249ab109ec7fb.html</t>
  </si>
  <si>
    <t>Господин Председатель,
Дамы и господа,
«Никогда не забыть» – этот призыв был и остается одним из важнейших лейтмотивов жизни мирового сообщества после 1945 года.
Действительно, память о десятках миллионов жертв Второй мировой войны, зверствах нацистов и их преступной политике геноцида позволила нам всем договориться о миропорядке, который все еще помогает избежать нового глобального конфликта. Его последствия были бы катастрофическими для всей планеты. И, к сожалению, мы все как никогда близки к этой опасной черте.
В числе наиболее актуальных современных проблем, остро стоящих на повестке дня человечества, сегодня, несомненно, находятся вопросы, связанные с обеспечением мира и безопасности, устойчивого развития, изменением климата. Именно они сегодня наиболее активно поднимаются на всех международных площадках.
По целому ряду вызовов мировому сообществу – таким как терроризм, транснациональная преступность, наркотрафик, торговля людьми, нелегальная миграция – ведется активный поиск совместных решений. В то же время множественные возникающие новые риски еще ожидают выработки адекватных и, главное, своевременных ответов.
Все более широким становится осознание того, что возможностей любого из государств в отдельности или даже какой-то группы стран уже недостаточно, чтобы решить эти проблемы и уберечь мир от катастрофы – военной, экономической, климатической.
Беларусь принадлежит к числу тех государств, которые считают, что все эти глобальные вызовы требуют эффективных совместных решений такого же глобального масштаба. Ключевыми элементами такого подхода представляются:
участие в реализации согласованных мер всех без исключения стран-членов ООН;
мобилизация всех доступных политических, экономических, интеллектуальных и иных ресурсов;
воплощение в жизнь в полной мере Организацией Объединенных Наций, которая является универсальной и по составу, и по своему мандату, роли лидера в объединении и координации международных усилий.
К сожалению, мы все чаще сталкиваемся с тем, что многосторонние механизмы ООН не работают или пробуксовывают, становясь заложниками предвзятых подходов, взаимных претензий или чрезмерных амбиций.
Множатся случаи применения мер, подрывающих нормы и принципы международного права, включая Устав ООН. Эти действия наносят серьезный ущерб многостороннему подходу.
Мир раздирают десятки локальных конфликтов, и многие из них могут вспыхнуть пожаром новой глобальной войны. Убеждены, что как горячие, так и замороженные конфликты должны разрешаться путем диалога, исключительно на базе основополагающих принципов международного права, в том числе уважения суверенитета и территориальной целостности государств, неприменения силы или угрозы силой.
Как результат, сегодня мы пребываем в ситуации противоречивых и опасных реалий. Совершенно ясно, что от нас требуется найти ответы на общие вызовы до тех пор, пока эти реалии не привели к катастрофическим последствиям.
Думаю, многие согласятся с тем, что это не тот багаж, с которым международное сообщество в следующем году хотело бы отметить 75-летний юбилей ООН.
Юбилейный саммит ООН должен дать мощный стимул поиску таких ответов. И, прежде всего, должен способствовать серьезному повышению роли ООН в укреплении мира и безопасности, восстановлении диалога и доверия, и, самое главное, предотвращении угрозы конфликта глобального масштаба.
Беларусь предлагает мировым лидерам, которые соберутся в этом зале через год, посвятить свою встречу именно этим вопросам. Если же юбилейный саммит ООН станет очередным протокольным мероприятием, проиграют все: и Организация, и все ее члены. Зловещий призрак третьей мировой войны может стать реальностью.
В качестве конкретной меры Беларусь на протяжении последних нескольких лет активно отстаивает необходимость ухода от конфронтации и возобновления широкого диалога по ключевым вопросам международной безопасности.
Такой диалог позволит всем нам и, прежде всего, великим державам найти путь к согласию в отношении того, как нам сохранить мир и совместно отвечать на глобальные вызовы, которые непрерывно нарастают.
События последних месяцев подтверждают правоту тех, кто, как и Беларусь, последовательно выступает за новый переговорный процесс, аналогичный Хельсинкскому процессу середины 70-х годов прошлого века, который бы стабилизировал международные отношения, укрепил международный диалог и повысил предсказуемость.
Господин Председатель,
В августе прекратил свое действие Договор о ликвидации ракет средней и меньшей дальности (ДРСМД). Договор, являвшийся одним из важнейших элементов современной разоруженческой архитектуры и символов окончания «Холодной войны».
Возникла реальная угроза появления таких ракет, с подлетным временем в несколько минут, в различных регионах мира, в том числе в Европе. Это неизбежно повлечет за собой дальнейший рост напряженности, новый виток политической и военной конфронтации, повышение риска ядерного апокалипсиса. Именно поэтому мы выступаем за безотлагательные совместные действия по сохранению достижений ДРСМД в нашем общем доме – на европейском континенте.
В ходе международной конференции высокого уровня «Борьба с терроризмом при помощи инновационных подходов и использования новых и возникающих технологий» 3 сентября в Минске Президент Беларуси Александр Лукашенко заявил, что Беларусь, являвшаяся полноправной участницей Договора о ликвидации ракет средней и меньшей дальности, не выходила из него, и не намерена производить или размещать эти ракеты, если они не будут угрожать нашей безопасности.
Глава белорусского государства выступил с инициативой о разработке декларации ответственных стран о неразмещении ракет средней и меньшей дальности в Европе.
Наша страна предлагает безотлагательно начать работу по подготовке проекта декларации. Призываем государства по обе стороны Атлантики, которым небезразлична судьба человечества, поддержать нас в этом начинании. Подходящими площадками для ее разработки могли бы стать ООН и ОБСЕ.
Ключевым элементом этого документа видим ясные и твердые обязательства стран по неразмещению на своей территории ракет средней и меньшей дальности и отказ от их производства.
Мы понимаем, что реализация этой инициативы потребует политической воли и непростого переговорного процесса. Но, как говорили мудрецы, «Дорогу осилит идущий». Ведь когда-то договоры о запрете химического и биологического оружия, о сокращении ядерных арсеналов и обычных вооружений также казались несбыточной мечтой.
Дамы и господа!
С каждым годом все больше и больше, включая и с этой трибуны, звучит тема возрастающей роли технологий в современном мире.
С одной стороны, появляются новые технологии, которые открывают беспрецедентные возможности для прогресса во многих областях человеческой жизнедеятельности. С другой стороны, возникает риск того, что технологии и ресурсы будут использованы в преступных целях. Ярким примером этого стали недавние атаки с использованием дронов на объекты инфраструктуры в Саудовской Аравии, что еще больше дестабилизирует обстановку в ближневосточном регионе и, в частности, в Заливе. Беларусь решительно осуждает подобные действия, кем бы они ни совершались.
По этому поводу в свое время очень образно выразился великий Альберт Эйнштейн, который сказал: «Технологический прогресс подобен топору в руках патологического преступника».
По сути, мы находимся на начальном этапе долгосрочного глобального процесса, который уже называют «технологической гонкой вооружений». Опасность в том, что эту «гонку» могут использовать как силы добра, так и силы зла. И наша задача – сделать все для того, чтобы зло не получило ни малейшего шанса на доминирование.
В условиях существующих противоречий между странами, роста конкуренции между ними киберпространство все чаще становится ареной противостояния. Мы постоянно слышим о разрушительных хакерских атаках. Все это говорит о масштабе существующих в этой сфере угроз и одновременно диктует необходимость расширения межгосударственного цифрового сотрудничества, повышения взаимного доверия в информационной сфере.
Выступая на уже упомянутой мной антитеррористической конференции в Минске, Глава белорусского государства предложил сформировать «пояс цифрового добрососедства».
Речь идет о заключении двусторонних и многосторонних соглашений об обеспечении международной информационной безопасности.
Ключевыми элементами таких договоренностей могли бы стать идеи цифрового суверенитета и нейтралитета, а также невмешательства стран в информационные ресурсы друг друга.
Цифровой суверенитет должен гарантировать способность государства контролировать свое информационное поле, предупреждать и блокировать кибератаки, обеспечивать надежную защиту критической инфраструктуры.
Цифровой нейтралитет предполагает, что страны не будут предпринимать в киберпространстве действия, наносящие ущерб безопасности иных государств.
В конечном итоге, такие соглашения могут заложить основу для выработки международных правил ответственного поведения в виртуальном пространстве.
Запуск путем заключения таких соглашений, как образно выразился Глава белорусского государства, «волны цифровой безопасности», укрепил бы связи между странами, повысил эффективность совместного противодействия террористическим угрозам в киберпространстве.
Беларусь готова к развитию сотрудничества и укреплению связей в сфере международной информационной безопасности со всеми странами мира, и в первую очередь со своими соседями.
Господин Председатель,
Не остается в стороне от современных турбулентных процессов и мир глобальной экономики, который все больше лихорадит.
Постоянно увеличиваются объемы мировой торговли и финансовых потоков. Укрепляется экономическое взаимодействие на региональном уровне. Растет благосостояние во многих местах планеты. Реализуются важные региональные интеграционные инициативы.
В то же время и в этой области есть много проблем.
Политические разногласия между странами находят отражение в протекционизме в торговле и в санкциях. Продолжаются спекуляции на финансовых рынках. Для ряда заинтересованных стран создаются искусственные барьеры для вступления во Всемирную торговую организацию. Ведущие мировые экономики развертывают полномасштабные торговые войны, которые только уводят от решения проблем и добавляют рисков приближения к настоящей войне.
Язык односторонних принудительных мер, которому нет места в ООН, продолжает оставаться реальностью в отношении ряда стран, в том числе в отношении свободолюбивой Кубы.
Все это ведет к еще одной болезненной проблеме – неравномерному характеру экономической глобализации. По многим оценкам, она не стала той «волной, которая поднимает все лодки вместе». Как следствие, богатые еще более обогащаются, бедные – беднеют.
Не используется потенциал сотрудничества между региональными экономическими блоками.
Последний тезис заслуживает особого внимания.
Некоторые аналитики прогнозируют, что будущий глобальный порядок будет выглядеть как мир, построенный вокруг регионов, а не вокруг великих держав. Действительно, как показывает жизнь, там, где успешно развивается региональная интеграция, там уменьшается пространство для политической фрагментации.
Мы глубоко убеждены в том, что региональные процессы должны эффективно взаимодействовать друг с другом. Беларусь активно участвует в различных интеграционных региональных процессах.
Более того, на протяжении ряда лет мы последовательно выступаем за обеспечение партнерства и совместимости интеграционных объединений.
В 2020 году Беларусь в качестве председателя Евразийского экономического союза планирует провести в Минске первый форум по Целям устойчивого развития совместно с Евразийской экономической комиссией.
Это поможет странам – нашим партнерам по евразийской интеграции не только «сверить часы» и обменяться опытом в вопросах достижения целей устойчивого развития, но и позволит региону Евразийского экономического союза говорить единым, своим собственным голосом, в глобальных дебатах об осуществлении Повестки дня в области устойчивого развития, поднимая общие проблемы и в то же время выгодно подчеркивая разнообразие наших государств.
В принципиальном плане Беларусь исходит из того, что региональные экономические организации должны самым действенным образом вовлекаться в усилия по осуществлению ЦУР, способствовать согласованности экономической политики государств-участников интеграционных объединений в интересах устойчивого развития. Это и позволит добиться мультипликационного эффекта для национальных экономик     несущего каркаса всей системы региональной и глобальной устойчивости.
Движение в этом направлении, также как и предлагаемый Беларусью всеобъемлющий диалог по безопасности, могут стать важным вкладом в преодоление состояния геополитической неопределенности.
Господин Председатель,
Хотел бы остановиться на еще одной важной теме. Мы видим, как на фоне постоянно увеличивающегося населения планеты и, как следствие, роста эксплуатации ограниченных ресурсов Земли обостряется проблема изменения климата.
Наверное, мы очень близки к точке невозврата, если не будут предприняты самые решительные действия. Пока же усилия международного сообщества по сокращению выбросов явно отстают от динамики разрушительных процессов климатических изменений.
Климатический саммит, который прошел в штаб-квартире ООН в эти дни, дает надежду на консолидацию усилий мирового сообщества и реализацию значимых инициатив по снижению выбросов.
Беларусь как ответственный участник коллективных усилий по борьбе с изменением климата намерена взять на себя безусловное обязательство к 2030 году сократить выбросы парниковых газов не менее чем на 35 % по сравнению с 1990 годом исключительно за счет собственных ресурсов.
Мощный импульс переходу к низкоуглеродной экономике придал запуск мотивационного механизма, предусматривающего передачу развивающимся странам передовых знаний и технологий, а также климатические инвестиции.
Господин Председатель,
Сегодня мир и ООН, накануне ее юбилея, стоят перед очередным важным рубежом. Мы успешно перейдем этот символический рубеж, если сумеем найти правильные ответы на имеющиеся и возникающие вызовы в сферах политики, экономики, технологий.
Для этого нам, как никогда, необходимо восстановить доверие на глобальном и региональном уровнях, в отношениях между государствами.
Нам предстоит снова учиться тому, чтобы быть добрыми соседями и сообща решать проблемы в нашем доме, на нашей планете.
Беларусь готова и далее вносить в это свой посильный вклад, в любых форматах и на разных площадках, в том числе и в Минске.
Главное – сделать наш мир спокойнее, справедливее, чище, дать нашим народам надежду на мир и процветание.
Источник: https://pravo.by/novosti/obshchestvenno-politicheskie-i-v-oblasti-prava/2019/september/40312/ – Национальный правовой Интернет-портал Республики Беларусь</t>
  </si>
  <si>
    <t>https://pravo.by/novosti/obshchestvenno-politicheskie-i-v-oblasti-prava/2019/september/40312/</t>
  </si>
  <si>
    <t>Господин Председатель, Дамы и господа, По известной причине высокая неделя юбилейной сессии Генеральной Ассамблеи ООН впервые проходит в таком необычном формате. Естественно, что никто из выступающих не может обойти стороной тему пандемии коронавируса. Пандемия затронула всех нас. Более того, проблема останется с нами, по крайней мере, в ближайшее время. Ведущие эксперты и аналитики активно высказываются о ее глобальных последствиях и влиянии на мировую политику и экономику.  Во многих оценках речь идет о «сдвигах парадигмы» и «тектонических изменениях». Возможно. Время покажет. К сожалению, пандемия четко выявила, что «международное сообщество», о котором мы все так часто говорим, в пиковой кризисной ситуации, по сути, не смогло оправдать возлагавшиеся на него надежды. Очевидно, что верх взяла логика того, что поодиночке легче справиться с вызовом. Практически все разбежались по национальным квартирам, закрыли границы и прекратили контакты с внешним миром! В ответе на этот вызов Беларусь не пошла по такому сомнительному, как мы посчитали, пути. Мы не закрывались и не изолировались.  Мы сразу же задались вопросом: так зачем же тогда на протяжении последних десятилетий мы продвигали глобализацию и открывались друг другу? Мы изначально верили и верим в успех коллективных усилий. Мы полагались и продолжаем полагаться на потенциал «международного сообщества».  К сожалению, не обошлось и без использования методов, когда одни страны стали обвинять другие в якобы неправильных действиях по борьбе с пандемией.  По той простой причине, что «международное сообщество» не выработало общего подхода. Значит, дело, наверное, не в пандемии, а в чем-то другом?  В сложившейся ситуации определяющим фактором в борьбе с коронавирусом стал специфический национальный контекст.  Мы в Беларуси выбрали свою собственную линию.  Она основывалась на двух элементах: в оптимальной мере сохранить жизнедеятельность государства, прежде всего, его экономики, и обеспечить максимальную защиту населения.  Наш подход, как показала ситуация в Беларуси, себя оправдал. И ситуация сегодня в мире с распространением коронавирусной инфекции полностью подтверждает это. Еще будет немало оценок и выводов. Но уже сегодня можно со всей определенностью сказать, что вспышка коронавирусной инфекции, с одной стороны, выявила острую необходимость в «сильном» государстве, а с другой, наглядно показала, насколько взаимосвязан мир.  Ни одна страна не сможет добиться реального прогресса в решении проблемы, имеющей глобальный характер, если другие останутся в стороне или за бортом.  Совместными усилиями мы должны превратить кризис в шанс улучшить положение во всем мире. Нам нужно научиться действовать сообща. Пандемия на время отодвинула на второй план другие мировые проблемы и конфликты, в том числе в области безопасности, число которых, к сожалению, не уменьшается. В этот юбилейный для Объединённых Наций год и в 75-летнюю годовщину окончания Второй мировой войны Республика Беларусь, на правах страны-основательницы ООН, призывает проявить особую ответственность государств-членов, прежде всего, членов Совета Безопасности, за функционирование Организации и реализацию ее задач.  В этой связи я хотел бы вспомнить и одного из выдающихся деятелей ООН – ее Генерального секретаря, лауреата Нобелевской премии мира Дага Хаммаршёльда, 115-летие со дня рождения которого отмечалось в этом году. Его считают одним из вдохновителей и неустанным последователем концепции превентивной дипломатии. Даг Хаммаршёльд, погибший при выполнении миссии урегулирования кризиса в одной из горячих точек, верил, что только взаимоуважительный диалог и честные переговоры между участниками возможного конфликта на его ранних стадиях способны предотвратить «пожар войны».  Это то, чего не хватает миру сейчас.  Мы забыли, что такое диалог, а если и помним, то разучились им пользоваться.  Должен заметить, что уже на протяжении нескольких лет Беларусь активно призывает возобновить широкий диалог по международной безопасности, направленный на преодоление существующих противоречий во взаимоотношениях между государствами. Диалог, который помог бы вернуться на рельсы построения справедливого и эффективного глобального порядка на принципах многосторонности.  Исходя из этого Беларусь в рамках ООН выдвигает и поддерживает прагматичные инициативы, направленные на максимальную реализацию потенциала Организации в сфере поддержания международного мира и безопасности. В этом году мы снова будем инициировать в Генеральной Ассамблее ООН и её Первом комитете в широком соавторстве с государствами – единомышленниками резолюцию о запрещении новых видов оружия массового уничтожения, которая традиционно пользуется универсальной поддержкой практически всех стран-членов Организации. Приглашаем все государства к соавторству резолюции и ее поддержке. Вновь обращаясь к годовщине окончания Второй мировой войны, хотел бы подчеркнуть наше глубокое убеждение как одной из стран, понесших в ней наибольшие потери:  сохранение памяти о том трагическом уроке, который нам преподнесла самая страшная катастрофа 20-го века, должно оставаться ключевым компонентом «коллективного иммунитета» к возникновению новых глобальных и региональных противостояний. Как гласит Устав ООН, наша Организация была создана именно для того, чтобы «избавить грядущие поколения от бедствий войны».  Только сотрудничество, основанное на принципах Устава ООН, является единственной альтернативой «естественному отбору» и «выживанию сильнейшего».  Учитывая современные технологии и информационные возможности, которые сегодня доступны не только государствам, но и негосударственным субъектам, мы должны полностью осознавать те риски, к которым приводят политическое, экономическое и военное противостояние, безответственное соперничество, «травля» неугодных стран.  И еще один важный аспект.  Мы с сожалением отмечаем усугубившиеся попытки ряда стран в угоду своим узким политическим амбициям злоупотреблять трибуной ООН, включая Совет Безопасности.  Речь идет, в том числе, о сфокусированном внимании отдельных западных стран к ситуации в Беларуси, которая действительно сейчас сложилась непростая в силу определённых обстоятельств, навязанных нам, прежде всего, извне.  Напомню, в августе этого года на выборах президента Республики Беларусь народ сделал свой выбор. Выбор в пользу стабильного и процветающего государства. Выбор в пользу мира и добрососедства. Выбор в пользу устойчивого развития.  Однако вместо того, чтобы уважать этот выбор, мы видим устремления раскачать ситуацию в стране.  После неудавшейся попытки навязать нам «цветную революцию», мы испытываем внешнее вмешательство, направленное на подрыв государственного строя.  Отдельные, граничащие с цинизмом, заявления со стороны ряда наших западных соседей о, якобы, заботе о суверенитете Беларуси и ее благосостоянии на самом деле являются ничем иным, как попытками ввергнуть страну в хаос и анархию, которые отбросят Беларусь в ее развитии на многие годы назад. Призываем наших партнеров проявлять мудрость, сдержанность и беспристрастность.  Вмешательство в наши внутренние дела, санкции или иные ограничительные меры против Беларуси будут иметь обратный эффект и вредны абсолютно для всех. Это мы уже проходили в прошлом. Будущее Республики Беларусь будет решаться ее собственным народом, как это неоднократно было доказано в истории нашей страны. Решаться не на баррикадах, а путем цивилизованного диалога, в том числе в рамках процесса конституционной реформы, уже начатой в стране. Хотел бы еще раз подчеркнуть. Мы решительно отвергаем практику любых односторонних принудительных мер в международных отношениях.  Ярким примером таких действий на протяжении нескольких десятилетий является торговая, финансовая и экономическая блокада Кубы со стороны ее северного соседа (США).  Сохранение этих «удушающих» инструментов давления на суверенные государства, даже не глядя на ситуацию с пандемией коронавирусной инфекции, несет в себе особую угрозу и чревато непоправимыми последствиями. Торговые войны, произвольные финансовые и экономические санкции в качестве инструмента политического давления должны быть прекращены. Еще одна важнейшая тема – «здоровье» глобальной экономики. Оно сегодня серьезно пошатнулось. Пандемия грозит «свести на нет» все, что удалось достичь с момента принятия Повестки дня в области устойчивого развития на период до 2030 года.  Все боле очевидной становится жизненная необходимость изменения подходов к социально-экономическому развитию в посткоронавирусное время. Беларусь поддерживает предложения, направленные на увеличение инвестиций в здравоохранение, инфраструктуру и образование, обеспечение широкого доступа к цифровым технологиям, налаживание надлежащего управления природными ресурсами.  Разделяем подходы, направленные на форсирование экономического оживления за счет переосмысления экономической модели в пользу «зеленой экономики». Со своей стороны, Беларусь продолжает последовательное движение к целям устойчивого развития на основе Повестки дня – 2030. Усилия страны направлены на достижение баланса между экономическим развитием и сохранением окружающей среды, продвижение принципов «зеленой экономики», внедрение концепции «умного города», развитие точного земледелия. Эта работа проводится с вовлечением всех заинтересованных внутри страны и в тесном сотрудничестве с международными партнерами.  Именно в партнерстве всех участников как на национальном, так и международном уровнях мы видим один из ключевых факторов ускоренного выполнения Повестки дня – 2030. Беларусь как страна со средним уровнем дохода уверена, что для успешного достижения целей устойчивого развития для этой категории государств нужна отдельная стратегия ООН (по содействию устойчивому развитию) по примеру аналогичных документов для других групп развивающихся стран.  В завершение хотел бы отметить одну очень простую, но важную житейскую мудрость о том, что «нет худа без добра». Мы стали свидетелями переломных событий.  Действительно, 2020 год стал особенным годом для всего мира, заставив переосмыслить все жизненное устройство человечества. На наших глазах пишется новая история – мир уже не будет таким, каким он был раньше. Извлекая уроки, мы не должны нести ошибки прошлого в будущее. Мы должны построить новый мир – дружественный человеку, свободный от войн и конфликтов, устойчивый, предсказуемый и благополучный. Мир, который вооружится благами технического прогресса и использует их в целях развития, а не уничтожения. В эти дни приходится слышать немало критики в адрес ООН. Порой она оправданна, иногда – нет.  Республика Беларусь, безусловно, разделяет следующий посыл: Организация должна идти в ногу со временем.  Нам нужен эффективный и действенный Совет Безопасности ООН, который положит конец многочисленным войнам и вооруженным конфликтам, в том числе с учетом необходимости сохранения территориальной целостности и соблюдения норм международного права. Мы хотим видеть более активную Генеральную Ассамблею – своевременно принимающую важные решения по всему спектру злободневных мировых проблем. Мы все заинтересованы в том, чтобы Экономический и Социальный Совет, как и вся система развития ООН, оказывал более эффективное содействие государствам по реализации Целей устойчивого развития. Обновляясь вместе со временем, Организация останется нужной всем людям на планете. Республика Беларусь стала страной-подписантом Устава ООН, приняв на себя ответственность в содействии выполнению основных целей Организации. Наша страна будет и далее продолжать трудиться над сохранением и развитием созидательного и объединительного начала ООН.  Источник: https://mfa.gov.by/press/statements/a5deed18005a9ef9.html © При использовании материалов сайта ссылка на МИД Беларуси обязательна</t>
  </si>
  <si>
    <t>https://mfa.gov.by/press/statements/a5deed18005a9ef9.html</t>
  </si>
  <si>
    <t>Господин Председатель, Дамы и господа, Ровно два десятилетия назад Организация Объединенных Наций и ее руководитель удостоились Нобелевской премии мира.  На церемонии награждения бывший Генеральный секретарь Кофи Аннан сказал: «Мы вступили в третье тысячелетие через ворота огня».   К сожалению, с тех пор нам так и не удалось полностью справиться с огнем. 
Все мы уже несколько десятилетий пребываем в затяжной и беспрецедентной глобальной турбулентности и непредсказуемости. Это закономерный итог того, что наша планета функционирует во многом вне системы и обязательств, закрепленных в универсальных принципах международного права Уставом ООН.  Сегодня миром правят экономический эгоизм, политические амбиции, шантаж, имперские привычки, кризисы, конфликты и срежиссированный хаос. Непрекращающиеся попытки отдельных стран навязать суверенным государствам искусственные шаблоны социального и экономического развития, варварская санкционная политика в отношении неугодных правительств, экономический терроризм и возврат мира к элементам блокового противостояния – все это имеет мало общего со справедливым и гармоничным мироустройством, к которому все мы стремимся уже столько десятилетий. Это – прямой признак навязчивого, больного желания разогреть очаги конфронтации в мире.  Откровенное вмешательство возомнивших себя оракулами политических игроков во внутренние дела других суверенных государств стало уже нормой в международном сосуществовании наций. Негативная динамика в области глобальной безопасности неослабно нарастает, в том числе за счет гибридных войн, злонамеренного и преступного использования современных информационных технологий, подпитывающих экстремизм и терроризм, и информационных фейков. Сегодня с помощью электронных гаджетов можно подорвать внутренний мир и спокойствие в любом государстве, а также отстранить от власти его руководство. Более того, уже более полутора лет мир находится в заложниках у пандемии COVID-19. Она унесла жизни миллионов людей, привела к необратимым социальным и экономических потерям, обнажила многие негативные глобальные процессы.  Мы в полной мере поддерживаем проходящий в рамках Всемирной организации здравоохранения процесс ее укрепления в реагировании на чрезвычайные ситуации в области здравоохранения.  При этом отмечаем абсолютную важность недопущения политизации этой тематики, включая изучение причин происхождения коронавируса. На протяжении последних лет Беларусь постоянно акцентирует внимание мирового сообщества на необходимости нового глобального диалога по безопасности. Этот вопрос не только созрел, он уже перезрел! Этот формат общения призван решить главное – создать новый эффективно функционирующий, действительно справедливый международный порядок.  Мы призываем великие державы начать такой диалог, осознать свою ответственность за судьбу планеты и реализовать возлагаемую на них цивилизационную миссию. Важно также думать и об экономическом компоненте нового порядка.  К сожалению, экономическая глобализация не работает в интересах всех людей на планете. В связи с этим мы видим огромный потенциал региональных интеграционных процессов для глобальной экономики. Мы называем такой подход «интеграция интеграций». В мае этого года Беларусь в партнерстве с Барбадосом и ЮНКТАД провела онлайн встречу высокого уровня по теме использования межрегиональной интеграции в деле достижения Целей устойчивого развития. Руководители основных региональных экономических организаций горячо поддержали идею укрепления такого межрегионального взаимодействия. 2021 год ознаменован важной датой в истории Беларуси и братских государств – 80-летием начала Великой Отечественной войны. Злодеяния нацистов привели к гибели миллионов людей во всем мире. За годы военного лихолетья треть населения Беларуси погибла в борьбе с фашистскими захватчиками и их пособниками, вершившими геноцид против нашего народа.  К великому сожалению, сегодня мы наблюдаем опасные тенденции дать искаженные нравственные и правовые оценки итогов Второй мировой войны, уравнять в правах жертв и палачей, освободителей и агрессоров, поставить под сомнение решения Нюрнбергского трибунала.  Мы последовательно и решительно выступаем против любых попыток обелить нацистов и оправдать их чудовищные преступления. Именно поэтому в нынешнем году в Беларуси был принят новый Закон, предусматривающий уголовную ответственность за реабилитацию нацизма, а также возбуждено уголовное дело по фактам геноцида белорусского народа в годы Великой Отечественной войны.  Как страна-основательница ООН Беларусь будет добиваться решения этого вопроса на международной арене, чтобы напомнить об основных принципах создания нашей Организации. Кстати, отдельные преступники – те, кто вершил злодеяния против белорусского народа, и чьи руки по локоть в крови, – до сих пор спокойно проживают в некоторых соседних странах. Более того, там их чествуют как героев. Несмотря на ежегодно звучащие в этих стенах всеобщие призывы к укреплению безопасности, многосторонности, солидарности и взаимопомощи, мир сегодня достиг наивысшей степени конфронтации. Беларусь также оказалась вовлечённой не по своей воле в пучину этой геополитической войны. Наша страна больше года продолжает оставаться мишенью воинственного давления со стороны коллективного Запада. И всё лишь потому, что в Беларуси не удалось реализовать отшлифованный до совершенства сценарий очередной «цветной революции», приуроченной к президентским выборам. Сегодня против Беларуси развязана масштабная гибридная война по всем направлениям. Удивляет изощренность авторов в изобретении красивых, но лицемерных эпитетов для оправдания своих действий – это «меры поддержки демократии», «секторальные ограничения» или «содействие благополучию народа» и «суверенитету государства».  Однако их суть очевидна: Запад все еще никак не может смириться с выбором большинства белорусов, потому что этот выбор белорусских избирателей расстроил планы отдельных стратегов. Блицкрига по смене власти в Беларуси не получилось. Более того, Запад очень быстро потерял «улицу» с ее организованными извне протестными настроениями. Расчет не оправдался. Беларусь продолжает последовательно и успешно развиваться и идти своим самостоятельно избранным путем.  Сегодня белорусский народ един в выборе стратегического курса на построение сильного, суверенного и процветающего государства. Именно на это нацелена инклюзивная Конституционная реформа, которая завершается в Беларуси и в которой участвуют все слои населения страны. Чтобы и далее демонизировать Беларусь, выставить ее источником напряженности в регионе и оправдать свои деструктивные действия в отношении нашего государства, Запад сфабриковал конфликтную ситуацию с беженцами на западных границах Беларуси, забыв о своих международных обязательствах как в отношении нашей страны, так и в отношении стран происхождения беженцев.  Сегодня миллионы беженцев стремятся попасть со всех направлений в сытую Европу, чтобы спастись от голода и бедствий, созданных этой же Европой и Западом в целом в тех или иных странах и регионах. Но, как оказалось, их в Европе никто не ждет. Дошло уже до того, что в соседней с Беларусью Польше, балтийских государствах беженцев не только целенаправленно избивают, а убивают и их мертвые тела затем тайком, ночью перетаскивают через границу на белорусскую территорию. Это уже не единичные случаи, а стало нормой поведения наших западных соседей. Это ли не верх цинизма и кощунства со стороны радетелей за права человека, относящих себя к более высокому уровню цивилизации и пытающихся учить других, как им надо жить! Тема беженцев действительно снова становится все более актуальной, однако вследствие безответственной политики самого коллективного Запада. Афганистан – прямое подтверждение этому.   И не стóит в этом контексте перекладывать ответственность с больной головы на здоровую, обвиняя Беларусь в развязывании гибридной войны против Европейского Союза, как об этом бессовестно врали с этой высокой трибуны лидеры Польши, Литвы, Латвии и некоторых других стран. Даже простому обывателю понятно: 10-миллионная Беларусь объективно не может вести не только «гибридную войну», но и никакую войну с 500-миллионным Евросоюзом, даже если бы у нее и были мускулы Арнольда Шварценэггера. С апреля этого года мы предлагаем Европейскому Союзу провести консультации по вопросу нелегальной миграции, однако никакой реакции нет. Более того, в нарушение ранее заключенных соглашений Евросоюзом прекращено финансирование всех проектов, касающихся борьбы с нелегальной миграцией. Если на предложение о диалоге тебе отвечают строительством «железного занавеса» из колючей проволоки, то вся вина ложится на этих горе-строителей. Мы всегда придерживались и будем придерживаться политики добрососедства, в основе которой лежит простая мудрость: «Соседи даны нам от Бога!». Беларусь всегда была и остается приверженной взаимовыгодному сотрудничеству со всеми государствами – даже с теми, с кем у нас имеются острые разногласия. Однако мы будем строить свои отношения на принципах уважения и равноправия, без шантажа и диктата. Беларусь всегда была в авангарде усилий по борьбе с торговлей людьми, как на национальном, так и международном уровнях. В этом году Беларусь будет инициировать в Третьем комитете ГА ООН в широком соавторстве с государствами-единомышленниками традиционную резолюцию «Улучшение координации усилий по борьбе с торговлей людьми». Эта резолюция – ключевой элемент в спектре коллективных международных усилий, призванных содействовать стабильности в мире.  Призываем государства к соавторству белорусской резолюции и ее поддержке в ходе принятия. Приветствуем проведение в ноябре этого года в ООН мероприятия высокого уровня, посвященного тематике борьбы с торговлей людьми. Уважаемые дамы и господа! Нельзя обойти вниманием еще одну тему, которая уже набила оскомину из-за спекуляций вокруг нее, – тему прав человека. Казалось бы, позитивная повестка для всех. Но сегодня правочеловеческая проблематика является не просто опасной игрушкой в руках неумелых и недальновидных политиков, она стала реальным оружием против неугодных и непослушных стран. Демократия, выкроенная по лекалам коллективного Запада, насажденная невпопад в различных странах мира, никому не принесла пользы, а, наоборот, сеет хаос и нестабильность.  Уже упоминавшийся Афганистан – свежий пример такой бездумной политики со стороны нескольких так называемых «цитаделей демократии», однако последствия этой политики сегодня ложатся на плечи всего мирового сообщества. Даже такой демократ, как Президент Франции Макрон буквально месяц назад вынужден был признать, что невозможно навязать демократию извне, в том числе с помощью оружия. Попытки отдельных, как принято называть, развитых стран монополизировать авторское право на демократию, произвольно определять степень демократичности других стран и в зависимости от этого навешивать оскорбительные ярлыки на суверенные государства откровенно напоминают методы нацистов, которые также делили мир на тех, кто должен господствовать, и тех, кто должен быть рабом. Еще одним излюбленным приемом западных государств продолжают оставаться односторонние ограничительные меры. Не вникая в суть происходящих в той или иной стране процессов, безответственные политики, ввиду, наверное, нехватки фантазии, автоматически хватаются за стоящий всегда наготове отточенный топор санкций, если им что-то не нравится. Пагубность такой политики давно известна: применение односторонних ограничений грубейшим образом нарушает международное право и наносит непоправимый вред всей системе международных отношений, наращивает конфликтный потенциал и враждебность в межгосударственных отношениях. Беларусь выражает солидарность с другими странами, которые подверглись гнету санкционной политики. Мы поддерживаем братский народ Кубы, который уже столько лет находится в несправедливой экономической блокаде по волюнтаристской воле одного государства. Весьма очевидно, что основными жертвами односторонних санкционных мер становятся обычные граждане. Ограничения в области торговли, валютного, банковского и транспортного секторов отрицательно сказываются на уровне благосостояния людей, негативно влияют на развитие частной инициативы, сокращают образовательные возможности, создают угрозу продовольственной безопасности. Односторонние отраслевые санкции против крупнейших государств-экспортеров жизненно важного сырья, используемого в сельском хозяйстве, включая калийные минеральные удобрения, не только создают дефицит этой ценной продукции на мировом рынке, существенно взвинчивая цены, но и несут прямую угрозу простым людям в уязвимых странах, в первую очередь, в регионах Африки, Азии и других точках мира. Достаточно было только послушать прозвучавшие в эти дни в зале Генассамблеи представителей стран всех континентов. Уже сегодня в мире голодает около одного миллиарда человек, а из-за недальновидности кучки государств, которые применяют односторонние экономические ограничения против целых секторов экономики, занятых в продовольствии, без еды могут остаться еще многие сотни миллионов людей. Практика произвольных финансовых и экономических санкций в качестве инструмента политического давления должна быть навсегда искоренена. И это также должно быть одной из сфер деятельности ООН. Господин Председатель, Организация Объединенных Наций призвана играть ключевую роль в решении общих для всех нас вызовов и угроз.  В то же время не может не вызывать озабоченность тот факт, что ООН часто становится «театральной сценой» для выступления отдельных государств, нежели платформой для совместных действий.    ООН идет по пути дальнейшей коммерциализации своей повестки, все больше превращаясь в подобие западной политики. ООН все больше думает, как Запад, попирая важные принципы солидарности и многосторонности. В контексте девиза ООН «никого не оставить позади» Беларусь исходит из императива соблюдения консенсуса и учета мнений каждого государства.  Хотелось бы также отметить еще одну тревожную тенденцию. В последнее время под благовидным предлогом содействия повышению эффективности функционирования Генеральной Ассамблеи ООН наблюдаются деструктивные действия отдельных государств, направленные на произвольное толкование и пересмотр сложившегося уклада работы этого органа.   Целенаправленная работа по так называемому «продвижению голосов гражданского общества» в Генеральной Ассамблее не является исключением.  Рассматриваем эти действия как попытку придать неправительственным организациям (которые, к слову, созданы и выкормлены при поддержке отдельных заинтересованных стран) статус, идентичный суверенным государствам-членам ООН.   Это категорически неприемлемо. Хотелось бы напомнить всем о существовании ключевого принципа деятельности ООН: «Одно государство – один голос». Выступаем против размытия суверенитета государств-членов ООН и создания марионеточных участников в виде неправительственных организаций, которые будут способны заглушить мнения самостоятельных государств. Бесконтрольное наводнение системы ООН мнением НПО не только не позволит должным образом учесть и даже услышать их голоса, но и усложнит достижение консенсуса, который и так с каждым годом стал даваться Генеральной Ассамблее крайне нелегко. Участие гражданского общества в работе ООН должно осуществляться на основе уже существующих процедур. Господин Председатель, В одном из своих высказываний Мартин Лютер Кинг отметил важную мудрость, которая как никогда востребована сегодня: «Мы либо научимся жить вместе как братья, либо все вместе погибнем как глупцы». Сегодня миру как никогда ранее необходимы солидарность, взаимопомощь и мобилизация коллективных усилий для преодоления всех разногласий.  Чтобы не оказаться глупцами и не повергнуть мир в хаос очередной войны, которая окажется последней в истории человечества, мы призываем всех проявить свою мудрость. Мудрость и смелость поступиться своими амбициями, чтобы оправдать те надежды, которые 76 лет назад возложили на нас делегаты Сан-Францисской конференции, желая построить систему стабильных и предсказуемых международных отношений. Благодарю Вас. Источник: https://mfa.gov.by/press/news_mfa/eff1fb58065413c9.html © При использовании материалов сайта ссылка на МИД Беларуси обязательна</t>
  </si>
  <si>
    <t>https://mfa.gov.by/press/news_mfa/eff1fb58065413c9.html</t>
  </si>
  <si>
    <t>Господин Председатель, Дамы и господа, Уже более полугода мировое сообщество живет в «тени» конфликта в Украине. Он затронул очень многих людей на планете.
Конфликт, как и предшествующая ему пандемия COVID-19, в очередной раз обнажил негативную сторону глобальной взаимозависимости.  Нынешняя сессия предоставляет уникальную возможность дать оценку этому фактору. Давайте беспристрастно и честно ответим на два вопроса. Ответа на них – как и вытекающие необходимые действия – ожидают от нас – государств-членов ООН – все люди на планете.  Первый – каковы первопричины конфликта в Украине? Второй – что необходимо сделать, чтобы остановить его и предотвратить повторение чего-либо подобного в будущем?  Господин Председатель, Убеждены в том, что конфликт в Украине происходит из более общего геополитического хаоса, причины которого необходимо искать в событиях 30-летней давности. История учит, что эпохальные войны, заканчивающиеся несправедливым и унизительным миром, таят в себя зерна будущего конфликта.  Давайте посмотрим, какой мир был установлен после окончания последнего эпохального противостояния – Холодной войны? Судя по всему, так называемые «победители» под воздействием эйфории не посчитали необходимым опереться на примеры из прошлого.  А ведь они могли пойти путем Александра I, Меттерниха и Кастльри. Эти великие миротворцы начала 19 века эффективно интегрировали своего противника в новую систему безопасности и тем самым установили прочный мир в Европе на десятилетия вперед. Они также могли получить вдохновение из примера сотрудничества «великой тройки» времен Второй мировой войны – Сталина, Рузвельта и Черчилля, которые создали механизмы, значительно снизившие возможности для великих держав вести междоусобные войны. Однако западные политики в начале 90-х, к сожалению, выбрали самый бесславный и бесперспективный вариант. А именно: путь Версальских дипломатов образца 1919 года, которые решили «растоптать» своего ключевого оппонента.  Начнем с того, что Холодная война закончилась даже не официальным договором, а некими «джентльменскими договоренностями» и декларациями.  Как показали последующие события, эти договоренности не соблюдались так называемой «победившей» стороной. По сути, они представляют собой не что иное, как «Версаль 2.0.». Запад эгоистично предложил государствам постсоветского пространства только один путь – путь своих сателлитов. Для закрепления этого статуса он сделал ставку на расширение одного из ключевых институтов Холодной войны – военного блока НАТО. Расширение НАТО на Восток было сделано вопреки достигнутым с Западом договоренностям, в том числе еще с советскими лидерами. Были проигнорированы также и законные интересы в сфере безопасности как России, так и Беларуси. В этой связи хочется вспомнить блестящего американского дипломата Джорджа Кеннана, чьими внешнеполитическими пророчествами так восхищаются западные политики. А почему же они не прислушались к известному предупреждению Кеннана, когда в 1996 году он осудил расширение НАТО как «стратегическую ошибку потенциально эпических масштабов»? Через расширение НАТО Запад попрал важнейший принцип неделимости безопасности, который гласит о том, что безопасность одной стороны не может быть обеспечена за счет безопасности другой стороны.  Эту логику хорошо понимали переговорщики в 1815 и 1945 годах, но ее не захотели воспринимать мировые лидеры в 1919 и 1991 годах. Участие НАТО в нелегитимных войнах против Югославии, Ирака, Ливии и Сирии, а также попытки альянса войти на исторические восточнославянские и смежные земли предопределили для Версаля 2.0. судьбу первого Версаля. Поэтому вину за продолжающееся кровопролитие в Украине в полной мере должен нести коллективный Запад.  Именно Запад сделал этот конфликт неизбежным – не только своим решением по расширению НАТО, но и отказом рассматривать предложения своих оппонентов. А ведь такие предложения были. Встает вопрос: что делать? Действительно, в 2009 году Россия предложила заинтересованным сторонам подписать новый договор о европейской безопасности, который по сути де-юре завершил бы Холодную войну. Запад отверг предложение. В 2017 году уже Президент Беларуси Александр Лукашенко выступил с инициативой проведения глобального диалога по безопасности и предложил Минск в качестве площадки для переговоров. Оппоненты проигнорировали и эту инициативу. В декабре прошлого года Российская Федерация предприняла еще одну попытку договориться с Западом по вопросу европейской безопасности, но и на этот раз он остался глух к новым российским предложениям. Что объясняет такую «отвергательную» позицию Запада? Ключевая проблема состоит в том, что на глобальном уровне происходит столкновение двух несовместимых видений мирового устройства – концентричного и полицентричного. Запад хочет создать концентричный или однополярный мир, управляемый с одного центра и подчиненный интересам западного гегемона. Большинство других стран хотят создать полицентричный или многополярный мир, в котором нет единого центра управления, и в котором никто не навязывает никому своих видений, интересов и ценностей. Запад доминировал над миром на протяжении последних пяти столетий и полагает, что может продолжать эту историю бесконечно. Мы же глубоко убеждены в том, что мир изменился и что неоколониализм в любой его форме более неприемлем и невозможен. Пять столетий назад, когда Запад только начинал свое глобальное «восхождение», произошла Коперниковская революция познания. Эта революция произошла прежде всего в головах людей того времени, которым было трудно примириться с постулатом, что не Земля, а Солнце является центром солнечной системы. Аналогичный «коперниковский» «сдвиг парадигмы» должен произойти сегодня. И, как и 500 лет назад, он должен произойти в головах, на этот раз в головах западного политического мейнстрима.  Запад, наконец-то, должен осознать ряд истин. Первая. Международные отношения не вращаются вокруг одного, а именно — западного — центра силы.  Вторая. У мировой истории нет конца, поскольку она не является неумолимым движением всех стран к так называемой «либеральной демократии».  Третья. Мир является слишком сложным, чтобы свести все его проблемы, как нам пытаются преподнести, в том числе, и с этой трибуны, к противостоянию между так называемыми «демократиями» и «автократиями».  Пока же такого сознания нет. Зато есть разрушение, упорно проводимое Западом, в том числе и саморазрушение. Сегодня экономические санкции являются чуть ли не единственным инструментом внешней политики Запада. Создается впечатление, что для Европы и США показателем эффективности санкций является сам факт их введения. И в этом смысле происходит подмена понятий. Главная цель не достигается, а санкции продолжают жить собственной жизнью. Какой здравый смысл Запад видит в односторонних незаконных экономических санкциях, которые он вводит против других стран?  Уже без всякого стеснения открыто провозглашается цель – добиться смены власти в той или иной стране через голодные бунты. Расчет в целом оказался провальным. Большинство стран мира к санкциям не присоединились. Многие подсанкционные страны, например, Беларусь и Россия, во многом являются самодостаточными. Немаловажно, что санкции дали нам мощный импульс к развитию скрытых внутренних резервов и еще большей региональной интеграции.  Поэтому не может быть сомнения в том, что мы выстоим. Точно также, как выстояла свободолюбивая Куба, находящаяся под незаконными санкциями уже более шести десятилетий! Но зато санкции привели к двум негативным последствиям, которые их инициаторы вряд ли предвидели. Во-первых, они сократили поставки удобрений и продовольствия из подсанкционных государств. В результате от этого страдают беднейшие люди в развивающихся странах. Достаточно сказать, что цены в этих государствах за последние полгода выросли на 300 процентов, а дефицит удобрений в Африке составляет более 2 миллионов тонн. Во-вторых, что поистине анекдотично, санкции через эффект бумеранга поразили сам Запад. И, как бы кто ни хорохорился сегодня, обычным людям в Европе придется мерзнуть предстоящей зимой. Пора бы уже странам Запада внять здравому смыслу и вернуться к диалогу и сотрудничеству! Беларусь даже в нынешней ситуации готова к такому равноправному диалогу и взаимодействию, но без всяких предусловий и давления! Господин Председатель, Беларусь много и везде говорит о конфликте в Украине. Мы не можем вести себя иначе. Конфликт происходит у нашего порога. И нам очень печально видеть, как братский украинский народ стал жертвой геополитических игр коллективного Запада. Убеждены в том, что истоки уже конкретных проблем Украины надо искать в 2004 году, когда Западу удалось осуществить первую «цветную революцию» в этой стране. Вторая же революция десятилетие спустя прочно закрепила за Украиной статус анти-России. Подстрекаемая Соединенными Штатами и их союзниками, Украина на протяжении восьми лет уничтожала народ Донбасса по той лишь причине, что местные люди хотят говорить на родном для них русском языке. Но Украина не нужна Западу – ни как член НАТО, ни как член Евросоюза. Новые покровители просто использовали ее в своей собственной «большой игре» против России. Сегодня Украина платит цену кровью за то, что ее политиканы купились на этот обман и забыли об историческом братстве трех восточнославянских народов — белорусов, русских и украинцев. Но никогда не поздно признавать и исправлять свои ошибки! Для Беларуси, которая сама в годы Второй мировой войны прошла через геноцид белорусского народа, когда был уничтожен каждый третий житель нашей страны, невыносимо больно видеть хаос в соседней стране и страдания обычных украинцев. С 2014 года мы прилагали и продолжаем прилагать все возможные усилия для того, чтобы установить мир в Украине. Именно наша страна стала ассоциироваться с миром на Донбассе, когда в 2014-2015 годах были приняты Минские соглашения.  Сразу после начала вооруженных действий в Украине в феврале этого года именно Президенту Беларуси удалось усадить стороны конфликта за стол переговоров опять же на белорусской земле.  В Беларуси состоялись три успешных раунда украинско-российских переговоров, которые открыли реальные перспективы для урегулирования конфликта. К сожалению, в последующем этот процесс застопорился.  Остаемся глубоко убеждены в том, что вопросы как прекращения огня, так и всеобъемлющего стратегического мирного урегулирования вокруг Украины в широком контексте региональной и глобальной безопасности могут быть достигнуты только за столом переговоров. Альтернативы переговорам нет! Иначе мы все получим новый третий Версаль.  Как сосед и затронутая страна, Беларусь должна быть неотъемлемой частью и переговорного процесса, и итоговых гарантий безопасности.  Господин Председатель, Мы очень надеемся, что печальные события в Украине ускорят осознание коллективным Западом факта необратимости изменений в международных отношениях.  Чем скорее это произойдет, тем скорее сможет установиться мир в Украине и в ряде других горячих точек, тем скорее мы сможем заложить фундамент для построения нового справедливого мирового порядка. В качестве важнейшего шага в этом процессе мы также видим глобальный диалог по безопасности в истинном духе Сан-Франциско, о необходимости которого Президент Беларуси заявил еще 5 лет назад.  Мы всегда отмечали ключевую роль великих держав в этом процессе. Но, к сожалению, необходимо констатировать, что сегодня они плохо слышат и понимают друг друга. Нет ни малейшего намека на то, что они готовы уйти от взаимных обвинений. Возможно, настало время для того, чтобы место лидера в вопросах глобальной безопасности коллективно заняли страны развивающегося мира с присущими им энергией и динамизмом, которые они проявили почти полвека назад в успешном продвижении идеи Нового международного экономического порядка. Мы считаем, что именно сегодня к вопросам глобального мира должны напрямую и активно подключиться Движение неприсоединения и БРИКС, а также набирающие силу региональные интеграционные союзы государств.  Да, сегодня, к сожалению, нет четкой концепции относительно того, как обеспечить мир и безопасность нашей планеты, ибо мир стал настолько сложным, что огромное количество разноплановых вызовов не укладывается в рамки одной конструкции. Вдобавок ко всему, механизмы нейтрализации этих глобальных вызовов, созданные в рамках прежних геополитических реалий, запаздывают с принятием адекватных времени решений или пробуксовывают вообще.  Задача всей ответственной части человечества сегодня состоит в том, чтобы обеспечить переход к новому многополярному мироустройству без разрушения нашей цивилизации.  Именно в этом должен состоять приоритет нашей общей работы, в том числе и в рамках ООН. Именно в этом направлении, если мы хотим выжить вообще, мы должны искать консенсус, оперативно создавать новые адекватные механизмы реагирования. Именно ради этой цели мы должны немедленно прекратить взаимную разрушительную риторику, остановить губительную тотальную конфронтацию, которая не оставляет никакого места для дипломатических усилий. Но сделать это могут лишь ответственные мировые лидеры, которые, по образному выражению Генри Киссинджера, «обладают чувством направления и миссии». И такие лидеры обязательно появятся на мировой сцене. Господин Председатель, Наше сегодняшнее состояние хорошо описал Мартин Лютер Кинг более полувека назад: «Мы сейчас столкнулись с тем, что завтра – это сегодня. Перед нами жестокая безотлагательность настоящего момента в разворачивающейся жизни и истории. Есть такое понятие, как слишком поздно». Давайте действовать – чтобы не стало слишком поздно!  Беларусь, со своей стороны, готова играть активную и ответственную роль как в глобальном, так и в региональном процессах безопасности. Спасибо за внимание. Источник: https://mfa.gov.by/press/statements/c7ce020f751c1931.html © При использовании материалов сайта ссылка на МИД Беларуси обязательна</t>
  </si>
  <si>
    <t>https://mfa.gov.by/press/statements/c7ce020f751c1931.html</t>
  </si>
  <si>
    <t>С.Алейник</t>
  </si>
  <si>
    <t>Господин Председатель,      Эта высокая трибуна десятилетиями служила важной цели, направленной на проведение дискуссии о том, как сделать жизнь на планете безопаснее и лучше. К сожалению, в последнее десятилетие эта дискуссия не воплощалась в конкретные позитивные действия. Как следствие, ситуация в глобальной политике лишь ухудшается. Эта тенденция негативно отражается и на всех других сферах международных отношений. А какова роль Организации Объединенных Наций в этих процессах? Быть лишь трибуной для дискуссии?  Многие видят именно в этом ее роль. Поэтому неудивительно, что в адрес Организации часто звучат обвинения за бездействие и неспособность остановить нарастающий глобальный хаос, остановить трехмерный кризис в области безопасности, продовольствия, энергетики, который уже охватил весь мир! Подобные обвинения, конечно же, не совсем справедливы.  ООН – это все мы! Организация может сделать ровно столько, сколько ей позволят ее государства-члены. С одной стороны, это правильная логика.  С другой стороны, это логика опасного детерминизма. Она подразумевает, что ООН является заложником каких-то внешних сил и сможет эффективно выполнять свой мандат лишь когда произойдут позитивные изменения во внешней среде. Не кажется ли, что нечто подобное мы уже когда-то слышали? Такое же отношение было и к Лиге Наций накануне Второй мировой войны. Всего столетие назад на берегу Женевского озера также много дискутировали об угрозах того времени.  Однако дискуссия не возымела эффекта и мир неумолимо скатывался в бездну.  А Лига Наций ушла в забвение из-за своей бесполезности. Организацию Объединенных Наций может постигнуть такая же участь, если она останется пассивным наблюдателем. Убеждены в том, что подавляющее большинство государств-членов не желают такого исхода. Если так, то ООН должна не ждать, а действовать! Организация должна работать на результат, который спровоцирует позитивные изменения во внешних факторах, обеспечит мир, стабильность и устойчивое развитие на всей планете.  Это очень сложная задача в нынешних условиях «ядовитой» глобальной политики. Однако, если мы как государства-члены или здравомыслящее Глобальное Большинство поможем нашей Организации, то эта задача будет под силу ООН. Известный американский дипломат Джордж Кеннан в контексте оценки отношений Советской России с Западом столетие назад утверждал: «Определенная степень конфликта и антагонизма присутствует в любых международных отношениях, поэтому некоторая мера компромисса необходима повсюду, если политические общества хотят жить вместе на одной планете».  Давайте руководствоваться этим мудрым советом и, несмотря на высокую степень антагонизма в современной международной системе, искать компромисс и согласие повсюду.  И давайте действовать в рамках ООН! Мы видим несколько ключевых шагов. Во-первых, необходимо прекратить политику остракизма в ООН.  Эта практика противоречит самой сути Организации! Ведь по Уставу ООН все ее члены равны! Давайте уважительно и равноправно относиться друг к другу! Никто не должен опускаться до оскорблений и неуважительной лексики, например, использования слова «режим» в отношении законных властей государств-членов. Аналогичным образом определенные страны должны отказаться от своих попыток ограничивать возможности для участия в работе ООН для любых других ее членов. Такое поведение является прямым нарушением Устава ООН. Более того, вся история многосторонней дипломатии учит, что общий позитивный результат достигается только через инклюзивность и сотрудничество.  Во-вторых, отдельные государства-члены должны прекратить попытки превратить ООН и организации ее системы в инструмент своей внешней политики. Вовлечение Организации в политизацию лишь дискредитирует ее в глазах простых людей на планете. Ведь ООН создавалась для сотрудничества в интересах людей, а не для сведения счетов одних государств с другими. Убеждены, что проблемы двустороннего характера не должны выноситься в международные организации в качестве "яблока раздора".  В-третьих, мы можем и должны успешно работать в ООН по вызовам общего характера. При этом давайте подходить к их решению по логике «от простого к сложному». К последнему блоку, безусловно, относятся темы безопасности – назовем их условно вопросы «первого уровня».  Именно они являются наиболее опасным, я бы даже сказал, взрывоопасным «яблоком раздора» в глобальной политике.  Остальные направления – вопросы «второго уровня», как например, борьба с изменением климата, транснациональной преступностью, пандемиями и болезнями, которые решаемы. Все страны мира одинаково страдают от их последствий. Все в равной степени заинтересованы в эффективных ответах таким вызовам. Так, давайте активизируем работу в этом направлении! Результатов ждут обычные люди на нашей планете! Приведу весьма показательный пример того, как можно успешно работать сообща даже в условиях острых политических разногласий.  На состоявшейся 32-й сессии Комиссии ООН по предупреждению преступности в Вене в мае Беларусь инициировала проект резолюции по теме борьбы с торговлей людьми в цепочках поставок. Первоначально страны Запада по политическим мотивам негативно восприняли инициативу Беларуси. Однако, все же включившись в переговорный процесс, они поняли важность инициативы и стали работать на позитивный результат. Резолюция была принята консенсусом и все заинтересованные стороны приступили к ее реализации. Давайте применять этот подход и ко всем другим проблемным вопросам «второго уровня»! В частности, мы ожидаем такой же конструктивной работы на этой сессии по двухгодичной резолюции Беларуси под названием «Укрепление координации усилий в борьбе с торговлей людьми». Однако, где здравый смысл всем нам особенно необходим, так это в нахождении путей разрешения глобального продовольственного кризиса. Давайте исходить из того, что в мире достаточно продовольствия для всех. В то же время, миллионы людей на планете голодают. Это «противоречие» является результатом односторонних незаконных санкций, которые западные государства вводят в нарушение Устава ООН против неугодных им стран или в целях получения преимуществ в конкурентной экономической борьбе. Санкции, в свою очередь, ограничивают возможности по экспорту удобрений, продовольствия в развивающиеся государства, которые более всего в них нуждаются. Следовательно, глобальный продовольственный кризис является рукотворным, а не системным. Как таковой его легко разрешить – необходимо всего лишь устранить незаконные барьеры. Страны, поставившие преграды, должны их убрать! И это касается не только глобальной продовольственной безопасности, но и всех других направлений международной жизни. Односторонние меры принуждения, введенные Западом прямо или косвенно практически против всех государств остального мира, должны быть немедленно отменены! Этого требуют и здравый смысл, и общие интересы всех людей на планете! Убеждены в том, что прогресс по решению в рамках ООН глобальных проблем «второго уровня» позволит создать фон взаимного доверия для совместной и результативной работы по блоку вопросов безопасности. В этой области мы наблюдаем «сдвиг силы» (power shift) от Запада к Остальному миру (from the West to the Rest of the world). Подобные «сдвиги» в истории часто сопровождались войнами. Однако, в наших силах направить этот процесс в мирное русло. Наилучший способ сделать это – расширить категорию постоянных членов Совета Безопасности ООН. Совет не отражает сегодняшние геополитические реалии. Три из его пяти постоянных членов являются представителями Запада.  Они не заинтересованы в изменении статус-кво в мире. Как следствие, Совет не выполняет свои функции по поддержанию международного мира и безопасности. Только более представительный и демократичный орган справится с этой задачей. Поэтому, расширение категории постоянного членства за счет крупных развивающихся государств Азии, Африки и Латинской Америки является императивом времени. Отрадно, что Китай и Россия поддерживают такую реформу Совета, о чем они неоднократно заявляли. Призываем остальные три постоянных члена Совета Безопасности признать новые реалии и согласиться на их закрепление в обновленном органе. Господин Председатель, Президент Республики Беларусь Александр Лукашенко еще в 2017 году выступил с инициативой «запуска» глобального диалога по безопасности.  Эта инициатива была попыткой предотвратить раскручивание негативной спирали в глобальной политике. К сожалению, некоторые ключевые «игроки» не захотели услышать этот разумный призыв. Как следствие, архитектура безопасности в Европе дала серьезный сбой. Но, никогда не поздно сделать то, что правильно.  Если мы все хотим сделать жизнь на планете безопаснее и лучше – как постоянно заявляется с этой трибуны – у нас нет иного выбора, кроме как вести диалог и договариваться. Глава белорусского государства неизменно подчеркивает важность организации такого диалога в духе Сан-Франциско. Действительно, конференция в Сан-Франциско дала жизнь нашей Организации и надежду всему миру на лучшее будущее. Такая же надежда нужна нам всем и сегодня! Убеждены в том, что ООН является той площадкой, где эта инициатива должна быть реализована. Вкладом в процесс глобального диалога рассматриваем международную конференцию по теме «Евразийская безопасность: реальность и перспективы», которую Беларусь проводит в Минске 26 – 27 октября 2023 г. Господин Председатель, Беларусь не может не затронуть тему конфликта в соседней стране – Украине. Нам очень тяжело наблюдать, как уже полтора года страдают близкие нам люди. К сожалению, Украина и ее народ стали разменной монетой в «Большой Игре» Запада за сохранение своей глобальной гегемонии. Очевидно, что, наращивая поставки вооружений в эту страну, Запад настроен на «продолжение войны до последнего украинца». Но, хочет ли этого Украина? Нужна ли украинцам война на истощение? Убеждены, что – нет! Беларусь, со своей стороны, всегда выступала за мир в соседней стране и предпринимала для этого все возможные меры. Как отмечает Президент Беларуси, мы и сейчас готовы сделать все от нас зависящее.  Благодарю вас. Источник: https://mfa.gov.by/press/news_mfa/f6afb5446fa6e591.html © При использовании материалов сайта ссылка на МИД Беларуси обязательна</t>
  </si>
  <si>
    <t xml:space="preserve">https://mfa.gov.by/press/news_mfa/f6afb5446fa6e591.html </t>
  </si>
  <si>
    <t>Кочанова</t>
  </si>
  <si>
    <t xml:space="preserve">Господин Председатель, уважаемые делегаты, коллеги, Вот уже 79 лет наши страны встречаются в этом зале, чтобы донести свою правду, обменяться лучшими практиками и поддержать важные инициативы. И все это под девизом – сделать мир лучше. А становится ли мир действительно лучше? Более предсказуемым, безопасным, стабильным? Среди нас есть старожилы, которые помнят те времена, когда площадка ООН играла в этом свою особую роль. Мы - более молодые - знаем это, к сожалению, лишь по учебникам. Тогда – много лет назад – Устав ООН был чем-то незыблемым, подлинным гарантом компромиссных и направленных в будущее решений. Многие еще помнили жертвы и ужасы Второй мировой войны, и никто не хотел повторения той жуткой трагедии. Поэтому вместе мы сформировали уникальный инструмент коллективного разрешения споров и укрепления архитектуры международного взаимодействия. Да, как показала история, инструмент не во всем совершенный. Как и все мы. Но, несомненно, лучший из тех, что мир имел до и имеет сейчас. Не все вопросы, даже по которым были однозначные решения, удалось довести до реализации, и они кровоточат до сих пор. Например – Палестина. Где сегодня развязана настоящая гуманитарная катастрофа и гибнут десятки тысяч мирных жителей. 
Но это не умаляет достижений прошлого века. Произошел слом колониальной системы. Многие народы получили выстраданное право на самостоятельное развитие. Появились точки экономического, промышленного и финансового роста на всех континентах. Целые регионы стали выходить из тени голода и эпидемий.  Миротворческая деятельность ООН была способна предотвращать кровавые конфликты или способствовать их прекращению. Голубой цвет ООН был везде, где успешно решались проблемы в целях развития. Но что же случилось сегодня? Почему нам потребовалось создать Группу друзей в защиту Устава ООН? Почему сегодня мы вынуждены защищать документ, который и так имеет высшую правовую силу для всех? Почему мы не можем в полной мере задействовать инструментарий ООН для наведения порядка в мире? Ответ очевиден. Потому, что ряд стран не живут по нормам, предписанным Уставом. И не собираются жить. Потому, что жить по международному праву для них – сродни медленному угасанию.  Да, на этой трибуне все и они, в том числе, вспоминают Устав. Однако, не в универсальном плане, а применительно лишь к своим эгоистичным интересам и притязаниям. И зачастую в отношении других. Напоминаю – универсальный закон ООН дает всем без исключения равные права на развитие и равный недискриминационный доступ к общим благам, технологиям, ресурсам. Но приемлем ли такой подход для Запада? Очевидно, что нет. Их главный интерес – сохранение доминирования на планете и обеспечение благосостояния своих элит. Ради этого эксплуатируются целые народы и чужие ресурсы, сдерживается развитие остального мира. Повсеместно применяется старый как мир принцип – «разделяй и властвуй», который, по сути, составляет основу всех военных конфликтов современности.  Все принципы ООН забрасываются на самую дальнюю «полку», когда дело касается так называемых «жизненных интересов» США и их сателлитов.  Но если какое-либо государство осмелится проводить политику в интересах своего народа или попытается скинуть ярмо внешнего управления своими ресурсами, Запад вспоминает обо всех конвенциях, параграфах и самых ничтожных сносках к ним. И главное: к отступнику применяется весь набор незаконных санкций и давления. В этом природа всех так называемых цветных революций, которые ведут лишь к страданиям и потрясениям для простых людей. Это путь Запада. Это их рецепт нового мира. Этот рецепт, кстати, обильно "приправлен" вооружениями НАТО. Вдумайтесь! Сегодня порядка 40 стран с населением в два с половиной миллиарда находятся под незаконными односторонними ограничительными мерами США и Европейского союза. При этом многие живут в таких условиях десятилетиями, а свободолюбивая Куба – более полувека. Этот инструмент грубо нарушает целые разделы международного права и Устава ООН. Он незаконно замедляет устойчивое развитие, подрывает продовольственную и энергетическую безопасность, ограничивает доступ к мировым рынкам, нарушает право на свободу передвижения. Он также бьет бумерангом и по простым людям в странах – инициаторах. Мы видим, как в соседних с нами государствах ЕС население жалуется на постоянно растущие цены на энергоносители и продовольствие, социальные потрясения.  Так что же в итоге? Сегодня с точки зрения коллективного Запада – информация взята из американских источников – 72 процента населения планеты проживает в так называемых ими «автократиях». А лет двадцать назад этот показатель, по их же оценкам, был 46 процентов. Так успешна ли политика Запада заставить мировое сообщество жить по их лекалам? Ответ очевиден. Явно нет. В целом, очевидна и тенденция – свободные страны Глобального Юга не приемлют санкций, вмешательства в свои внутренние дела и навязываемой им «демократизации». Они хотят развиваться на основе своих собственных исторических традиций, своего понимания мира и, главное, в интересах своих народов. И сегодня это уже Глобальное Большинство, в глубине которого рождаются новые идеи и проекты. Кстати, исключительно мирные, в интересах всего мирового сообщества, а не против кого-либо. Это китайские инициативы – «Один Пояс, Один Путь» и выдвинутые Председателем КНР Си Цзиньпином глобальная инициатива развития, инициативы в области глобальной безопасности и глобальной цивилизации. Это белорусско-российская идея Хартии многообразия и многополярности в 21 веке. Это и индийская инициатива саммитов «Голос Глобального Юга» и много других. В той или иной степени все эти проекты направлены на формирование международного сообщества единой судьбы всей планеты, а не судьбы так называемого «золотого миллиарда».  Ведь планета у нас одна, хоть и во всем своем многообразии, которое обогащает всех нас. Это – и наш путь. Путь нашего Президента Александра Лукашенко и нашего народа. В основе которого – уважение, доверие, искренность, надежность и ответственность. Кстати, на последний пакет незаконных санкций Беларусь ответила открытостью и в одностороннем порядке отменила визовый режим для граждан всех стран ЕС. Тысячи граждан ЕС уже воспользовались этим, посетили нашу страну и не разочаровались, и диктатуры нигде не увидели. Если бы сегодня доверяли больше ООН, большинство глобальных мирных инициатив рождалось бы и варилось бы именно внутри самой Организации, а не вне ее. А миру не грозил бы вновь раскол на политические и экономические блоки. Пару слов о конфликтном потенциале на планете. Немножко необычно.  Мы все привыкли к третьесортным fiction произведениям и роликам в youtube. Быстрым и абсолютно бесполезным. Нас приучают к этому незамысловатому стилю получения информации, заставляя забывать истины, которые прописывали многие известные писатели и  гуманисты.  В этой связи я намеренно обращусь к трем западным писателям, одному английскому и двум американским, чтобы провести некоторые параллели с современными событиями.  В первом случае – цитата из произведения «Короли и капуста» всеми любимого О.Генри, 100 лет назад: «Крошечные опереточные народы забавляются игрою в правительства, покуда в один прекрасный день в их водах не появляется молчаливый военный корабль и говорит им: не ломайте игрушек!». Американский корабль… Во втором случае вспомню Грэма Грина, это уже 70 лет назад,  с его «Тихим американцем» в лице сотрудника ЦРУ под прикрытием Посольства США во Вьетнаме, который искал некую третью силу, чтобы через серию терактов устроить переворот в этом государстве и привести к власти лояльные к Америке силы.  И наконец, упомяну Курта Воннегута, около 50 лет назад,  «Человек без страны», который так и не смог понять, зачем США и Великобритании надо было в самом конце Второй мировой войны, когда и так все уже было ясно, ковровыми бомбардировками сровнять с землей город Дрезден, похоронив под завалами более сотни тысяч стариков, детей и женщин. Мы-то знаем, – для устрашения на будущее. Три примера. Очень похоже на то, что мы сегодня видим много где в мире. И третья сила, и провокации, и условный американский корабль, только побольше, и не один. Именно поэтому нужна сильная и беспристрастная универсальная международная организация, способная гарантировать равновесие в мире, при котором ни одна страна или блок стран не сможет подмять под себя инструментарий ООН в угоду своему эгоизму и в ущерб международному большинству.   Сильная организация не позволила бы, чтобы в угоду транснациональному капиталу и в интересах коллективного Запада Украина воевала сегодня до «последнего украинца».  И если бы все, как соседняя Беларусь, осознавали, что реально происходит в зоне конфликта и чем это грозит, и действительно хотели бы остановить кровавое противостояние двух братских народов – то давно бы Украина была с Россией не на поле боя, а за столом мирных переговоров. В этом контексте очень своевременны инициативы, подобные Бразильско-китайскому мирному плану. Однако без участия России ни один проект успеха иметь не будет. Новой архитектуры безопасности в нашем регионе не может быть и без участия Беларуси. Ну а пока НАТО продолжает кратно наращивать военный потенциал на наших западных границах. Десятки тысяч солдат и тысячи единиц техники. Мы серьезно опасаемся, что «игра» может выйти из-под контроля и привести к разрастанию конфликта в региональном и даже в глобальном масштабе с катастрофическими последствиями для всех. Ядерного оружия в Европе хватает. Поэтому эскалация напряженности – прямой путь к третьей мировой войне. 10 лет назад Минск стал местом результативных переговоров по разрешению конфликта в Украине.  Мы и сейчас предлагаем свои миротворческие усилия, ибо лучше всех знаем и понимаем русских и украинцев. И будем делать все от нас зависящее для достижения мира на многострадальной украинской земле. Мы больше всех заинтересованы в этом! И для общего сведения. Только через нашу границу с ЕС с момента начала конфликта в Беларусь переместилось более 250 тысяч украинцев. В последнее время – 12-15 тысяч в месяц. Это официальные цифры Погранслужбы. Вот так из благополучной Европы сегодня бегут. Бегут явно не к «агрессорам». Кстати, это число в разы больше, чем количество беженцев через нашу границу в ЕС. Бессовестные «выталкивания» в Беларусь мигрантов – это еще одна грязная страница в книге европейской «демократии». Так, на нашей границе с ЕС военные некоторых стран Европейского союза безнаказанно избивают, пытают тысячи беженцев из стран Азии, Африки и Ближнего Востока. Десятки из них убиты, что кстати, фиксируется международными независимыми источниками. Многие преданы земле даже без личных данных. Их нет. Кстати, Совет Европы совсем недавно однозначно осудил подобные действия. Кроме того, раскритиковал новый закон Польши, расширяющий спектр легального применения огнестрельного оружия польскими военнослужащими в отношении беженцев. Так встречает «просвещенная Европа» тех, кто бежит от ужасов и потрясений, которые стали следствием политики и вмешательства коллективного Запада в суверенные дела зарубежных стран.  Издевательства над беженцами являются вопиющим нарушением Конвенции ООН 1951 года о статусе беженцев. Все факты нами детально запротоколированы и в скором времени будут направлены в соответствующие международные инстанции. Хотя эти инстанции сами должны были давно заняться этим вопросом. Поэтому нас беспокоит то, каким мы видим путь укрепления основ ООН. Первое. ООН должна освободиться от диктата со стороны отдельных государств, страдающих вседозволенностью и собственной исключительностью. ООН – это все мы.  Сотрудники Секретариата должны помнить, что, становясь сотрудниками ООН, они работают в интересах всей Организации, а не в угоду стран своего гражданства, поэтому обязаны быть объективными, беспристрастными и независимыми. Второе. Организация должна работать в поддержку региональных процессов, поскольку регионализм – это ключевая реалия сегодняшнего дня. Мы наблюдаем постоянное укрепление региональных интеграционных процессов в различных уголках планеты. Набирают обороты в своей деятельности объединения стран Глобального Большинства. Это – БРИКС, ШОС, СНГ, ЕАЭС, Африканский Союз, АСЕАН и многие другие. Почему – я уже сказал выше. ООН необходимо «встраиваться» в эти процессы, содействуя их развитию и сопряжению. Третье. В прошлом году страны Запада инсценировали грязную кампанию по недопущению избрания кандидатуры Беларуси в состав непостоянных членов Совет Безопасности.  Так сильно боялись нашего честного голоса в этом органе. Однако и вне Совета мы будем прямо и открыто высказываться по всему спектру мировых проблем. Более того, мы и далее будем настаивать на справедливой реформе Совета Безопасности, потому что голос стран Глобального большинства в Совете – это и наш голос. Поэтому мы считаем, что насущная потребность дня – реформа Совета Безопасности ООН за счет крупных развивающихся стран Азии, Африки и Латинской Америки. Эти страны – на острие основных глобальных проблем. Они лучше других знают, как разрешать войны и конфликты в развивающемся мире. Да и вес их в мировых делах сегодня гораздо больше, чем он был 80 лет назад. Четвертое. ООН должна сказать свое принципиальное слово о неприемлемости односторонних мер. Мы вправе ожидать от Организации серьезных и объективных оценок о негативном влиянии санкций на процессы устойчивого развития, о котором мы так все печемся. Более того, считаем необходимым поставить работу в ООН по противодействию незаконным санкциям на системную основу.  Всем таким случаям должна даваться принципиальная объективная оценка. Пятое. Необходимо использовать ООН как площадку для эффективного решения постоянно нарастающих транснациональных угроз.  Беларусь всегда была привержена коллективному подходу для решения общих глобальных проблем. Миграция, пандемии, стихийные бедствия, торговля людьми, голод и многие другие.  За стенами этого зала есть таймер, который в режиме реального времени четко отсчитывает денежные средства, затраченные на вооружение. Триллионы долларов! Это только то, что знает ООН. Пусть бы страны "золотого миллиарда" направили бы эти триллионы не на развязывание и подпитку очередных войн и конфликтов, а на решение жизненных, для человека, вопросов.  Многие глобальные проблемы тогда сразу будут решены. ООН получит так необходимые сегодня ресурсы на развитие, которых постоянно не хватает, у доноров же денег нет, а мир, наконец, увидит желание тех, кто называет себя гегемонами, нести ответственность за решение, а не создание глобальных проблем. И еще, ООН должна быть голосом государств и не размываться различными негосударственными структурами. Ведь именно государства-члены принимают в Организации решения, влияющие на судьбы всех людей на планете, и в полной мере несут ответственность за их реализацию.  Господин Председатель, Нынешний год очень знаменателен для Республики Беларусь. Совсем недавно мы отпраздновали 80-летие освобождения от фашистских захватчиков.  Эта дата стала точкой отсчета новой истории страны – мирной и созидательной. Мы гордимся тем, что создали социально-ориентированное государство, где забота о человеке является важнейшим приоритетом национальной политики. В следующем году мы все вместе отметим 80-летие со дня создания ООН. С чем мир подойдет к этой важной дате? В ссорах и конфликтах? Именно поэтому Президент Беларуси Александр Лукашенко выдвинул инициативу проведения глобального диалога по безопасности. Кстати, очень созвучно всем инициативам, о которых многие представители государств-членов ООН говорили сегодня и вчера в этом зале.  И мы будем продолжать стучаться в двери «мира и созидания», «безопасности и развития». С прошлого года мы проводим в Минске представительную международную конференцию по евразийской безопасности, которая призвана консолидировать политические, экономические и иные процессы на пространстве Большой Евразии в интересах ее государств и народов. В этом году она пройдет 31 октября. Приглашаем всех. Мы должны вновь наполнить легкие ООН духом Сан-Франциско, который дал жизнь нашей Организации. Убеждены в том, что это сегодня жизненно необходимо. Необходимо в интересах всех людей на планете. Благодарю за внимание. Источник: https://mfa.gov.by/press/news_mfa/d3a306d89ad06933.html © При использовании материалов сайта ссылка на МИД Беларуси обязательна
</t>
  </si>
  <si>
    <t>https://mfa.gov.by/press/news_mfa/d3a306d89ad06933.html</t>
  </si>
  <si>
    <t>Рыженков</t>
  </si>
  <si>
    <t>Уважаемый господин Председатель, уважаемые дамы и господа. Тема общеполитической дискуссии этого года – «Вместе лучше: 80 лет во имя мира, развития и прав человека». Отличная тема. Ключевое слово здесь – вместе. Вот давайте вместе вспомним всё и поразмышляем. Уверен, найдем и истинные первопричины тех вызовов и угроз, с которыми планета сталкивается сегодня. Первое: 80-летие Великой Победы во Второй мировой войне. Восемь десятилетий назад закончилась кровавая и беспощадная война, которая стала огромной трагедией для всего человечества. И только ценой миллионов жизней и сломанных судеб мы справились с этим вызовом.  Очевиден вклад в Великую Победу США и Великобритании, а также китайского народа, который скинул ярмо японского милитаризма. Однако определяющим был подвиг советского народа. Многонационального народа, который до последней капли крови боролся за свою свободу и свободу угнетенных народов. Заметьте, не выносил завоевателям ключи от своих городов, не прятался за пронацистские режимы коллаборационистов, не снабжал нацистский режим техникой и солдатами. Тогда – 80 лет назад – это было очевидно. В столицах Европы освободителей встречали цветами и радостью. Им ставили памятники и мемориалы, называли их именами проспекты и города. Прошло всего 80 лет – сытой и спокойной жизни в Европе. И как все поменялось.  Что мы видим. На Западе появилась своя собственная «правда» о событиях тех лет. Стирается память, сносятся памятники, переписываются учебники истории. Вновь на улицах отдельных городов Европы то и дело мы слышим нацистские лозунги и призывы. Так воспитывается поколение 21 века, которое не видело ужасов той войны, даже не слышало о них от своих родителей. А поэтому подпитывается фальшивым героизмом своих предков, когда-то вступивших в гитлеровскую коалицию наций, мечтавших о мировом господстве. Далее. Раз переписывается история, значит переписываются и ее итоги. Значит ставится под сомнение и правильность установления поствоенного миропорядка, основанного на универсальных принципах ООН. Это очевидно. Как представляется, вынужденного для Запада на определенный период времени. Ну вынужден был коллективный Запад тогда разделить бремя ответственности за мировую судьбу с так называемым советским блоком. На время отбросить мысли о мировом господстве. Но ждать. Ждать какого-то события, чтобы перевернуть всё с ног на голову. Смотрите, с этой трибуны уже прозвучало, что Холокост – наш общий позор. Почему наш общий позор? Перед историей каждый ответит сам. Например, белорусы до последней капли крови сражались с нацизмом, умирали, ценой свой жизни спасали тысячи евреев. И мы не можем молчать сегодня об этом. Мы помним сотни деревень, сожженных нацистами вместе со своими жителями, миллионы растерзанных и изувеченных белорусов, сотни тысяч угнанных в европейское рабство женщин и детей. Поэтому понимаем, что сохранение памяти важно для того, чтобы история не повторилась – чтобы не было больше национальных идеологий расового превосходства, где нет места целым народам, не было концлагерей – этого ужасного изобретения Запада, не было геноцида в отношении любого из народов.  Уже 80 лет белорусский народ живет в мире. И если посмотреть на нашу историю – это невероятно долго. Никогда белорусы не жили так хорошо, достойно и под мирным небом, как последние 30 лет, когда под руководством нашего Президента успешно строим социально-ориентированное государство для простого человека. Свято храня при этом память об ужасной трагедии Второй мировой войны. Передавая эту память молодым поколениям. Почему так не хотят жить многие другие вокруг, особенно к западу от нашей границы? Ответ прост – политикам там глаза застилают личные амбиции. За ними они простых людей и не видят. Даже в своих странах. И поэтому неудивительно, что пренебрежительно относятся к человеческой жизни других народов, призывая, например, Украину воевать до последнего украинца.  Следующее. Этот год знаменателен и для ООН, которая празднует свое 80-летие. Организацию создали победители той кровавой войны. Мы помним, что в первых рядах основателей была и Беларусь, где был убит, замучен или сожжен каждый третий. И на протяжении всех этих лет белорусская делегация в ООН была одним из самых надежных сторонников укрепления основ Организации, инициируя самые смелые миролюбивые и выстраданные историей инициативы. Поэтому имеем право прямо говорить сегодня о том, с чем наша Организация пришла к своему юбилею. Хотел бы отметить четыре ключевые момента. Во-первых, неоспоримо, что ООН остается центральным элементом международной жизни. Это стало возможным в силу ее неоспоримой легитимности, универсального членства и всеобъемлющей повестки. Однако, мы наблюдаем, что принцип универсальности серьезно подорван, особенно в последнее десятилетие. Теми, кто настойчиво пытается превратить ООН в инструмент для реализации своих интересов, причем вопреки устремлениям всего человечества. Во-вторых, действительно, ООН удерживает планету от новой мировой войны. Ее ключевой механизм – Совет Безопасности – позволяет великим державам обсуждать вопросы войны и мира за столом, а не на поле боя. Однако, к сожалению, этот орган задействуется все меньше и меньше. Его влияние на мировые дела уже не то. И, скажем прямо, ООН оказалась не способна предотвратить многие кровавые региональные конфликты современности. И чем дальше – тем больше. В-третьих, под эгидой ООН создана огромная сеть международных структур и разработано множество правовых документов. Эта «инфраструктура» вроде как дает возможность осуществлять эффективное взаимодействие по всему спектру направлений человеческой деятельности. Но, если приглядеться, лишь некоторые из ооновских структур остаются действительно рабочими. Реально выполняют свои задачи. Почему же так происходит? Это очевидно. Организация должна идти в ногу со временем. Это вызывает необходимость реформы, о которой говорил Генеральный секретарь, и прежде всего, Совета Безопасности ООН. Я говорю в том числе о расширении категории постоянных членов за счет развивающихся стран - стран Африки, Латинской Америки и Азии. За восемь десятилетий членский состав Организации увеличился в разы, и многие государства, которых при образовании ООН даже не было на карте мира, хотят, чтобы их мнение и голос учитывались. И они имеют на это право, так как сегодня являются важными политическим и экономическими субъектами. Они справедливо ожидают, что ООН будет работать в интересах всех ее членов и на укрепление сотрудничества между ними, а не быть инструментом манипуляций со стороны отдельных стран. В том числе для сведения счетов с другими государствами.  В-четвертых, проблему также видим в том, что ООН сильно заинструментализирована. И действия Соединенных Штатов Америки по снижению поддержки ООН, что уже вызвало планы по сокращению персонала нашей Организации, – очень неприятный звоночек.  Главный вывод. Если Организация сможет обновляться вместе со временем и быть беспристрастным форумом, она будет востребована всеми: и сильными, и слабыми, и развитыми, и развивающимися. В противном случае, ее ждет судьба Лиги Наций. Беларусь этого не хочет, поскольку пока не видит альтернативы ООН. Поэтому в том числе и сегодня искренне говорит об этих институциональных проблемах. Для того, чтобы понять их природу и исправить. И еще. 50-летие Хельсинского заключительного акта. Мы празднуем в этом году. Этот документ, инициированный, кстати, руководством Советского Союза, закрепил сложившиеся после Второй мировой войны реалии в Европе. Более того, Акт предопределил «стабильный» характер отношений между Советским Союзом и Соединенными Штатами, что нашло отражение во всех регионах мира и, тем самым, помогло сделать Холодную войну слегка «управляемой». Важнейшее наследие Акта еще и в том, что он ввел в практику принцип неделимости безопасности, следование которому не позволило Холодной войне перерасти в «горячую». Хельсинские договоренности предоставляли возможность построить единую, неделимую и процветающую Европу в период и после Холодной войны. Однако, история пошла иным путем. Так называемые «победители» в Холодной войне сегодня полностью «забыли» этот принцип и взяли на вооружение логику превосходства и конфронтации. Кстати, именно такая логика стояла за процессом расширения НАТО на Восток.   Как результат, был подорван баланс сил в Европе, возникли угрозы безопасности для многих государств. Югославский кризис, кровопролитие в ряде постсоветских республик, да и конфликт в Украине представляют собой наиболее яркие примеры таких последствий.  Сегодня очевидно – путь к прекращению кровопролития в Украине лежит через возвращение всех сторон в Европе к пониманию важности соблюдения принципа неделимости безопасности. И важно, что один из основных глобальных центров силы – США – начинают осозновать важность данного тезиса. К сожалению, такого понимания нет в странах ЕС, которые продолжают разжигать региональный конфликт украинскими дровами. Такая ситуация особенно требует общих усилий для повышения уровня доверия между странами, хотя сегодня нет готовых рецептов. Но необходимо действовать. И мы в Беларуси – в центре Европы – это понимаем лучше всех. Ведь это через нас раз в полстолетия прокатываются все самые трагичные войны нового времени, стирая на своем пути всё, кроме нашей памяти. Поэтому мы говорим – медлить нельзя. Посмотрите, что делают наши европейские соседи на границе ЕС с Беларусью и Россией – закладывают мины, возводят стены, рвы, оборонительные линии и колючую проволоку. Пытаются создать у своего населения ощущение надвигающейся угрозы от «варваров» с Востока. И первые, кстати, жертвы уже есть, правда, со стороны солдат НАТО, которые то топятся в болотах, то подрываются на своих же минах.  Кстати, я тут видел - на северной лужайке около здания ООН установлен в качестве трофея прав человека кусочек берлинской стены. Так и написано – 155 километров, на которых погибло 200 человек.  Так вот сегодня воздвигается гораздо более огромная стена протяженностью в тысячи километров на границе ЕС с Россией и Беларусью от Финляндии и до Польши. И жертв вдоль этой стены с начала строительства уже сотни. Сотни ни в чем неповинных мигрантов из стран Юга, которые в поисках лучшей жизни стремятся в ЕС, который до этого разрушил привычный уклад в их государствах. Если мы тут все вместе в ООН не можем предотвратить строительство этой стены, тогда давайте хотя бы там на лужайке зарезервируем место, где потом поставим кусочек этой стены, когда наконец-то соответствующие страны одумаются и скажут, что такая стена больше не нужна. Повесим, сколько она по протяженности была и сколько там погибло людей. Скажем, что это трофей свободе передвижения. Беларусь говорит во весь голос и предлагает конкретные решения. В частности, Президент Республики Беларусь выступил с инициативой разработки Евразийской хартии многополярности и многообразия в XXI веке, которая призвана запустить новую парадигму евразийской архитектуры равной и неделимой безопасности. Много говорить об этом не буду. Об этом очень хорошо сказал Министр иностранных дел Российской Федерации. Мы призываем все евразийские государства подключиться к процессу и проявить такую же ответственность, какую продемонстрировали наши предшественники полвека назад. Альтернативы такому диалогу нет. Нам надо избавиться от предубеждений и сесть за стол переговоров. Наш призыв, безусловно, обращен и к странам Европейского союза, которые традиционно скептически воспринимают любые инициативы, исходящие с Востока. Но хотел бы напомнить им – этот Восток далеко уже не тот, который был десятилетие назад. Это, по сути, Глобальный Юг или даже иначе - Глобальное большинство, с которым им придется считаться и приходится считаться. Пора бы действительно уже понять, что времена диктата коллективного Запада ушли в прошлое. Поэтому хотели бы посоветовать странам ЕС задуматься в свете всего этого о своем месте в мире в свете происходящих преобразований, которые, конечно, а мы как соседи видим, не идут им на пользу. Падение экономической конкурентоспособности ведет к подрыву традиционной европейской модели государства всеобщего благосостояния, падению жизненного уровня и росту неравенства, что мы видим. Сумасшедшая милитаризация региона загоняет Европу, особенно новые страны ЕС и НАТО, в глубокую финансовую пропасть. Стремительно происходит разрушение цивилизационных основ европейского общества в результате практически неконтролируемой массовой миграции и провальной политики фальшивого мультикультурализма в качестве ответа на этот вызов. И всё это на фоне новых и новых заборов, которые спешно воздвигаются на восточном направлении. Заборов уже не бетонных, а политических, идеологических, межчеловеческих, а по сути – цивилизационных. А что, задумаемся, от них находится за забором сюда к Востоку? Там уже не только Беларусь и Россия. Там – до самого тихоокеанского горизонта и до индийского океана – как говорят наши китайские друзья – формируется сообщество единой судьбы, единой ответственности за будущее человечества. С ослаблением таможенных и физических границ, усилением взаимодействия по всему спектру актуальных проблем, развитием межчеловеческих контактов и многопланового взаимодействия. Сообщество, где, несмотря на многочисленные культурные и национальные различия, уважают друг друга и не навязывают идеологические догмы и правила поведения. Миллиарды людей, миллионы километров территорий, мощная быстрорастущая экономика и самые передовые технологии – уже собственные. Всё там есть. И, кстати, современные механизмы взаимодействия – БРИКС, ШОС, АСЕАН, Африканский союз, Лига арабских государств.  Поэтому, по сути, вся эта политико-милитаристская возня ЕС на восточной границе и эти экономические санкции в отношении нас – это меры жесткой самоизоляции, загоняющей страны ЕС еще глубже во внутренний экономический и политический кризис. Повторю особо – самоизоляции. Если европейские элиты намерены продолжать в том же духе, станет еще хуже для народов Европы. Однако все эти проблемы решаемы – если вместо самоизоляции Европа примет на вооружение концепцию евразийского сотрудничества и безопасности на нашем громадном континенте. И еще: в этом году мы отмечаем четверть века, прошедшие с момента, когда с трибуны Генеральной Ассамблеи прозвучали одни из величайших надежд и обещаний в истории ООН. Уже целые 25 лет отделяют нас от памятного Саммита тысячелетия, на котором были приняты Цели развития тысячелетия. Тогда казалось, что с началом нового тысячелетия мы входим и в новую эру – благой глобализации и всеобщего процветания.  И где же мы находимся сегодня, четверть века спустя? С одной стороны, мы стали еще более взаимосвязанными и взаимозависимыми. Эта заслуга технологического развития, которое постоянно изменяет понятия времени и пространства.  Но, с другой стороны, появились множественные новые линии разлома, которые перечеркивают напрочь весь позитив. Задумайтесь над следующими цифрами. В 2000 году в мире было порядка 50 миллионов вынужденных переселенцев, сегодня их уже более 120 миллионов. Более миллиарда жителей планеты, которые все еще живут в условиях многомерной бедности. Конфликты в Украине, Палестине, Сирии. Поствоенный синдром в Афганистане, Ираке, Ливии, ряде других стран, который не дает выйти народам этих государств прочно на путь восстановления. Масштабные силовые акции в отношении суверенных стран вне всякого правового поля. Триллионы долларов на бездумную милитаризацию. Вот к чему мы пришли за эти 25 лет вместо надежд. Чего только стоят шесть с половиной десятилетий экономической блокады Кубы, которую совершенно безосновательно еще и объявили спонсором терроризма. Из этого же ряда и история про некую наркоугрозу со стороны Венесуэлы, что абсолютно необоснованно и неприемлемо.  Это что, тот результат, к которому ООН стремилась все эти 25 лет?  Так почему же ожидания и надежды начала тысячелетия не оправдались? В этом отношении пророческими оказались слова Президента Беларуси, произнесенные на том памятном Саммите тысячелетия: «В течение многих веков небольшая группа государств вершила судьбы мира, рассматривая остальные нации и народы как бесправную массу». Прошедшие четверть века показали, что многие на Западе так и не смогли отказаться от этого своего многовекового менталитета. Поэтому Запад так и не стал лидером в процессе перемен, а более даже источником угроз и потерь. У определенных западных элит, привыкших жить столетиями за счет других, продолжает присутствовать, хоть и модернизированная, но все же колониальная инерция мышления. Неудивительно, что и сегодня они продолжают проявлять высокомерие и силу в отношении развивающихся стран, которая была характерна для колониальных времен. Про колониальные времена хорошо говорят наши африканские друзья, которые через одного призывают к репарациям за то время со стороны стран Запада.  Поэтому в прошедшие четверть века мы увидели со стороны Запада не общую работу по решению проблем развития, а насаждение «демократии» и «вепонизацию» экономики. Эта политика породила многочисленные войны, хаос, миллионы беженцев, создала барьеры в международной торговле, подорвала глобальную продовольственную безопасность, укоренила бедность, голод и неравенство. А международные организации, прежде всего, ООН и Всемирная торговая организация, – были отодвинуты в сторону.  Вот поэтому как реакция на эти негативные тенденции становится популярной идея регионализации, происходит рост и укрепление механизмов сотрудничества, не связанных со странами Запада, таких, как БРИКС, ШОС, АСЕАН, СНГ, ЕАЭС, ЛАГ, Африканский союз. Эти структуры, отражающие интересы стран Глобального большинства, функционируют на принципах взаимного уважения, равенства, консенсуса, а не доминирования и грабежа. Они, по сути, формируют справедливую многополярную экономическую архитектуру развития. И абсолютно закономерно появилась весьма своевременная инициатива Председателя КНР Си Цзиньпина о глобальном управлении, которую Беларусь всемерно поддерживает.  Господин Председатель, Для сегодняшнего дня как никогда актуальны слова великого итальянского мыслителя прошлого века Антонио Грамши, который писал из фашистских застенков: «Старый мир умирает, а новый борется за свое рождение». Действительно, парадоксально, что и сегодня новый мир рождается в муках, поскольку старый мир не хочет спокойно уходить со сцены. Не мы разрушаем старый мир. В этом хорошо преуспевает сам Запад. Но именно мы – Глобальное большинство – пытаемся построить новый! Особо отмечу – вместе. Помните, это ключевое слово, название нашей Генеральной Ассамблеи. Вместе с нашими единомышленниками! Спасибо за внимание. Источник: https://mfa.gov.by/press/statements/c95471462db5f9b7.html © При использовании материалов сайта ссылка на МИД Беларуси обязательна</t>
  </si>
  <si>
    <t>https://mfa.gov.by/press/statements/c95471462db5f9b7.html</t>
  </si>
  <si>
    <t>Елбас</t>
  </si>
  <si>
    <t>Уважаемый господин Председатель!
Уважаемый господин Генеральный секретарь!
Уважаемые коллеги!
Дамы и господа!
В год 70-летнего юбилея ООН важно задуматься о том, какой глубокий смысл вкладывали основатели в эту организацию.
Организация Объединенных Наций уже решила задачи глобальной исторической значимости.
Во-первых, семь десятилетий наша планета живет без мировых войн.
Во-вторых, проведена широкая деколонизация мира.
70 лет назад ООН была учреждена пятьдесят одним государством, а большую часть мира тогда составляли колонии и зависимые территории. Сейчас в мировом сообществе 193 независимые страны.
В-третьих, ООН стала общемировой трибуной повседневного, трудного, но необходимого всем, диалога ради безопасности и развития. В нем человечество осознает свое единство в многообразии и общую сопричастность к судьбе нашей уникальной планеты.
Поколение основателей ООН мудро смотрело далеко вперед. И сегодня мир пожинает плоды их начинаний и сбывшейся мечты.
Дамы и господа!
Казахстан поддерживает все инициативы, направленные на восстановление доверия в международных отношениях, укрепление мира и безопасности на основе международного права.
Семь десятилетий мировое сообщество пытается найти формулу эффективного решения военных конфликтов. Но их не становится меньше. Они обретают более изощренные формы, такие как международный терроризм, ставший результатом разрушения государственности в отдельных странах.
Человечество должно перейти от рутинного предупреждения и преодоления последствий войн и конфликтов к новой стратегии развития, которая бы делала их бессмысленными. Для этого нам надо смело заглянуть за горизонт времени и увидеть мир, когда ООН исполнится 100 лет.
Я убежден, что в ближайшие тридцать лет земная цивилизация найдет в себе мудрость и волю разрубить «гордиев узел» войн и конфликтов. В XXI веке центральной задачей человечества должна стать реализация стратегии, навсегда избавляющей мир от угрозы войн как таковых и устраняющей их причины. Для этого предлагаю к столетию ООН разработать План Глобальной Стратегической Инициативы-2045. Ее смысл – придать миру новый тренд развития на основе справедливых условий доступа всех наций к мировой инфраструктуре, ресурсам и рынкам, а также всеобщей ответственности за развитие человечества.
ПЕРВОЕ. Я предлагаю преобразовать Экономический и Социальный совет ООН в Совет Глобального Развития. В его состав могли бы входить наряду с избираемыми Генеральной ассамблеей ООН государствами-участниками все руководители специализированных учреждений ООН, в том числе и Международного валютного фонда.
На совет должны быть возложены функции Глобального экономического регулятора. Реализумые Советом общемировые проекты могли бы стать точками глобального экономического роста. Это поможет существенно снизить риск глобальных кризисов, а также обеспечит ответственное поведение государств в вопросах национальной экономической и социальной политики.
Весьма актуальной представляется идея Всемирного антикризисного плана, проект которого активно обсуждается на полях Астанинского экономического форума. Актуальные вопросы мировой повестки дня – терроризм, разрушение государств, миграция и другие негативные явления являются последствиями экономического кризиса, бедности, безграмотности и безработицы.
Борьбу с глобальным кризисом необходимо начать с наведения порядка эмиссии и обращения мировых резервных валют, которое сейчас не отвечает критериям законности, демократичности, конкурентности, эффективности и международного контроля. В ХХI веке миру нужны финансовые инструменты нового качества. Необходимо объединить усилия стран – членов ООН по разработке наднациональной мировой валюты, отвечающей целям и задачам глобального устойчивого развития и процветания.
ВТОРОЕ. В год 70-летия атомной бомбардировки Хиросимы и Нагасаки призываю сделать построение мира без ядерного оружия главной целью человечества в ХХI веке. Предлагаю принять Всеобщую декларацию ООН по достижению мира, свободного от ядерного оружия.
Мы – первая страна в истории, закрывшая ядерный полигон и добровольно отказавшаяся от четвертого по величине ядерного арсенала, а также создавшая безъядерную зону в Центральной Азии. Необходимо создание безъядерных зон и в других регионах мира, в частности, на Ближнем Востоке. Ядерные державы должны предоставить гарантии неприменения силы всем отказавшимся от обладания ядерным оружием странам.
В 2013 году мы инициировали проведение в Алматы двух раундов переговоров по иранской ядерной программе. Приветствуем подписание Всеобъемлющего плана действий по ядерной программе Ирана. Сегодня необходимо гарантировать право государств на мирный атом и недискриминационный доступ к ядерному топливу. Именно поэтому мы поддержали и подписали Соглашение о создании Международного банка низкообогащенного урана МАГАТЭ в Республике Казахстан. Это событие глобального масштаба. Мир должен оценить его, как важнейшую меру безопасного и мирного использования атома. Теперь для стран, желающих развивать атомную энергетику, нет необходимости самим обогащать уран.
Важной задачей видится создание Глобального антиядерного движения. Каждый человек на планете может и должен внести свой вклад в запрет ядерных испытаний.
ТРЕТЬЕ. Опасный вызов представляет эрозия международного права и ослабление роли глобальных институтов. Важно помнить, что Устав ООН был написан кровью миллионов жертв мировых войн и вооруженных конфликтов. И любое нарушение его статей, в частности, об обеспечении суверенитета и территориальной целостности государств, ведет человечество к повторению трагических ошибок прошлого.
Необходимо исключить произвольное применение санкций, как противоречащее Уставу ООН и нормам международного права. Убежден, что право применения международных санкций, влияющих на благополучие миллионов людей, должно оставаться исключительной прерогативой Совета Безопасности. Несоблюдение этого принципа подрывает основы современного миропорядка, является рудиментом «холодной войны».
Хотел бы подчеркнуть безальтернативность ООН в качестве универсальной организации. Соблюдение странами своих международных обязательств остается краеугольным камнем современного миропорядка. Казахстан последовательно выступает за мирное урегулирование украинского кризиса и полное выполнение минских соглашений конфликтующими сторонами. Сегодня необходимо приложить максимум усилий для восстановления диалога, взаимопонимания и доверия в международных отношениях. Для этого предлагаю в 2016 году созвать Международную конференцию ООН на высшем уровне, призванную подтвердить базовые принципы международного права.
ЧЕТВЕРТОЕ. Глобальный масштаб приобрела угроза терроризма и религиозного экстремизма. Предлагаю учредить под эгидой ООН единую мировую сеть противодействия международному терроризму и экстремизму. Для реализации этой задачи необходимо разработать и принять всеобъемлющий документ ООН по борьбе с терроризмом.
ПЯТОЕ. В поддержку инициативы ООН «Устойчивая энергетика для всех» в 2017 году в Астане состоится всемирная выставка «ЭКСПО» на тему «Энергия будущего». Приглашаем все государства к участию в подготовке и проведении выставки. Глядя в будущее, на основе инфраструктуры выставки «ЭКСПО-2017», предлагаю открыть в Астане Международный Центр по развитию зеленых технологий и инвестиционных проектов под эгидой ООН.
Уважаемые коллеги!
Первоочередным шагом по реализации Плана Глобальной Стратегической Инициативы-2045 могла бы стать разработка под эгидой ООН Концепции «Новое Будущее» (NEW FUTURE). Необходимо четко определить задачи нового этапа в развитии человечества спустя 70 лет после создания ООН.
NEW FUTURE – это ядерная, энергетическая, водная и продовольственная безопасность, доверие, взаимопонимание и реформы. Казахстан прилагал и прилагает посреднические усилия к примирению конфликтующих сторон в регионе Евразии. Указанные направления и принципы лежат в основе выборной кампании Казахстана на пост непостоянного члена Совета Безопасности ООН на период 2017–18 годов. Призываю всех участников 70-й сессии поддержать кандидатуру нашей страны.
Дамы и господа!
70 лет назад, когда вместо неработающей Лиги Наций в Женеве создавалась Организация Объединенных Наций, было решено разместить ее штаб-квартиру в Нью-Йорке. Это было связано с тем, что в то время возросла роль Западного полушария в международных делах. Центр развития мира переместился из Старого Света в Новый, из Европы в новую точку глобального роста – в США, Нью-Йорк.
С тех пор многое изменилось, и мир стал иным. В ХХI веке центр развития смещается в Азию – самый большой континент мира, где живет 2/3 населения планеты, сосредоточены огромные ресурсы. Мощный рывок развивающихся экономик Азии обозначил новую реальность в глобальных процессах. Важно использовать этот исторический шанс, чтобы придать новый импульс взаимоотношениям государств с учетом этого процесса. Предлагаю подумать о переводе штаб-квартиры ООН в Азию.
Выражаю надежду, что инициативы Казахстана будут приняты сообществом наций.
Благодарю за внимание.</t>
  </si>
  <si>
    <t>https://www.akorda.kz/ru/speeches/external_political_affairs/ext_speeches_and_addresses/vystuplenie-prezidenta-respubliki-kazahstan-nnazarbaeva-na-obshchih-debatah-70-i-sessii-genassamblei-oon</t>
  </si>
  <si>
    <t>Идрисов </t>
  </si>
  <si>
    <t>нет полного текста речи, в новостных сводках о евраз ничего</t>
  </si>
  <si>
    <t>Абдрахманов </t>
  </si>
  <si>
    <t>Кайрат</t>
  </si>
  <si>
    <t xml:space="preserve">Уважаемый господин Председатель!
Высокопоставленные главы делегаций!
Уважаемые дамы и господа!
Для меня большая честь впервые выступать в качестве Президента Республики Казахстан с высокой трибуны Генеральной Ассамблеи Организации Объединенных Наций.
Организация Объединенных Наций является уникальной и универсальной организацией, отстаивающей коренные интересы всего человечества, и она будет оставаться такой и впредь.
В следующем году исполняется 75 лет со дня основания Организации, которая уберегает человечество от многих вызовов, опасностей и кровопролития.
Сегодня Организация Объединенных Наций играет весьма важную роль в обеспечении глобального развития и взаимосвязи цивилизаций.
Казахстан полностью поддерживает идею Генерального Секретаря Антониу Гутерриша признавать как общее достояние и не оставлять без внимания судьбу каждого человека и государства.
Вместе с тем, у нас есть все основания для беспокойства в отношении сегодняшних геополитических и геоэкономических изменений.
Эта ситуация очевидно станет сложным испытанием для наших совместных усилий по реализации Повестки дня - 2030.
На мой взгляд, на новую тревожную глобальную реальность влияют следующие основные тенденции:
Во-первых, растущее число неразрешенных конфликтов и эскалация напряженности в различных частях мира возродили старые и создали новые разделительные линии, в результате чего мировые державы оказались на грани полномасштабного военного противостояния.
Во-вторых, все мы страдаем от дефицита доверия между глобальными и региональными акторами. Это ведет к размыванию нынешней архитектуры безопасности и контроля над вооружениями, следствием чего стало возобновление гонки вооружений.
Эти вызовы усугубляются ограничительными санкциями, торговыми войнами, интенсивным соперничеством в космосе, в сферах цифровых технологий и искусственного интеллекта. Все вышеперечисленные аспекты формируют тревожные грани углубляющегося фундаментального кризиса.
В-третьих, растущее социальное, экономическое и технологическое неравенство, усиливающийся разрыв между Севером и Югом, а также назревающий глобальный долговой кризис искажают существующий мировой экономический ландшафт.
В результате мы наблюдаем рост протекционизма и националистической политики, которые подрывают международное партнерство и сотрудничество.
В-четвертых, деградация состояния окружающей среды стало одним из наиболее дестабилизирующих факторов в мире.
Воздействие изменения климата в Центральной Азии, в частности, приведет к серьезнейшим проблемам экзистенциального характера, таким как опустынивание, таяние ледников и последующее истощение ресурсов питьевой и оросительной воды.
В этой сложной обстановке Казахстан твердо проводит политику всеохватывающего и устойчивого развития, всестороннего диалога и мирных усилий.
Господин Председатель,
Достижение мира, свободного от ядерного оружия, остается главным приоритетом для моей страны. Это стремление стало неотъемлемой частью общенациональной идентичности казахского народа, дав нам моральное право быть в авангарде глобального движения за ликвидацию ядерного оружия.
Мы исходим из той твердой убежденности, что ядерное оружие более не является преимуществом, а представляет угрозу глобальному миру и стабильности.
К сожалению, некоторые страны все еще опираются на ядерные арсеналы как основу своей стратегической безопасности, побуждая своих конкурентов искать асимметричные ответы.
Подавая пример, Казахстан усердно работает над тем, чтобы изменить эти искаженные представления.
Под эффективным руководством Первого Президента Нурсултана Назарбаева Казахстан закрыл Семипалатинский полигон и добровольно отказался от четвертого по величине ядерного арсенала в мире.
Эти действия стали первым шагом на нашем долгом и успешном пути к глобальному лидерству в сфере ядерного разоружения и нераспространения.
Среди других наших мер по содействию этому благородному делу хотел бы отметить создание в Центральной Азии беспрецедентной зоны, свободной от ядерного оружия, размещение Банка низкообогащенного урана МАГАТЭ, принятие резолюции Генеральной Ассамблеи о Международном дне действий против ядерных испытаний и недавнюю ратификацию Договора о запрещении ядерного оружия.
Все мы должны настойчиво продвигать Всеобщую декларацию о построении мира, свободного от ядерного оружия в качестве нашей дорожной карты на пути к более безопасному будущему.
Мы также стремимся к расширению сотрудничества между зонами, свободными от ядерного оружия, и созданию новых подобных зон.
Казахстан считает, что текущие проблемы вокруг Совместного всеобъемлющего плана действий по Ирану и денуклеаризации Корейского полуострова следует урегулировать исключительно политическими средствами с должным учетом интересов и озабоченностей всех заинтересованных сторон.
Уважаемые делегаты,
Моя страна всегда была последовательным сторонником превентивной дипломатии и посредничества на мировой арене.
Еще в 1992 году Первый Президент Казахстана с этой трибуны предложил созвать Совещание по взаимодействию и мерам доверия в Азии в качестве платформы для выработки коллективных подходов к решению проблем безопасности. Со временем СВМДА доказало свою востребованность и жизнеспособность. Мы благодарны всем нашим партнерам, поддержавшим этот процесс.
Растущая экономическая мощь Азии требует более интегрированной архитектуры континентальной безопасности.
Настало время преобразовать СВМДА в полноценную региональную организацию по безопасности и развитию. В качестве председателя СВМДА в 2020 году, мы сосредоточим свои усилия в этом направлении.
В статусе непостоянного члена Совета Безопасности ООН в течение предыдущих двух лет мы сосредоточили свое внимание на укреплении безопасности, нераспространения и регионального сотрудничества, подтверждая нашу приверженность делу мира.
Казахстан вносит вклад в миротворческие операции ООН, развернув совместно с индийскими партнерами подразделение численностью 120 военнослужащих в рамках Временных сил ООН в Ливане, а также направляя военных наблюдателей.
Мы гордимся тем, что Казахстан превратился в глобальный центр диалога религий и цивилизаций. С 2003 года моя страна была удостоена чести созывать каждые 3 года Съезд лидеров мировых и традиционных религий при поддержке ООН.
Дамы и господа,
Все мы с тревогой наблюдаем за развитием событий на Ближнем Востоке - колыбели человеческой цивилизации, - которая страдает от взаимной ненависти и насилия. В этой связи мы готовы поддержать двусторонние и многосторонние действия, направленные на поиск жизнеспособных решений для установления мира и укрепления доверия.
В качестве хорошего примера нашей приверженности инклюзивному диалогу, Казахстан предоставляет площадку для межсирийских переговоров. В нашей столице прошли тринадцать соответствующих раундов.
Благодаря Астанинскому процессу, который дополняет Женевские переговоры, было достигнуто прекращение военных действий. Созданы также зоны деэскалации с условиями для безопасного возвращения беженцев.
Все мы знаем, что конфликты разрушительны и порождают терроризм и экстремизм. Эти вызовы можно преодолеть только совместными действиями в рамках Глобальной антитеррористической сети под эгидой ООН.
В качестве контртеррористической меры, Казахстан инициировал Кодекс поведения по достижению мира, свободного от терроризма, к столетию ООН в 2045 году, и призвал присоединиться к нему.
В этом году Казахстан успешно провел специальную гуманитарную миссию «Жусан» в сотрудничестве с нашими международными партнерами. В результате 595 казахстанцев, попавших в ловушку террористической пропаганды, в том числе 406 детей, вернулись обратно домой из зон боевых действий в Сирии. Мы готовы поделиться своим опытом с другими странами и призываем их предпринять аналогичные шаги.
Господин Председатель,
На протяжении десятилетий государства Центральной Азии имели слабые экономические связи, что препятствовало их устойчивому росту. Теперь же, исходя из общих интересов и вызовов, наш регион вступил в новый этап развития.
В этом отношении тесный и конструктивный политический диалог между всеми пятью странами региона будет способствовать торговому, экономическому, инвестиционному и межчеловеческому взаимодействию. Новые возможности для региона появились после первых неофициальных консультаций на высшем уровне, проведенных в нашей столице в прошлом году.
Я абсолютно убежден в том, что Центральная Азия становится «глобальным акционером». Нас связывают прочные узы общего исторического и культурного наследия, а также общее будущее. Казахстан, как крупнейшая экономика Центральной Азии, жизненно заинтересован в дальнейшем укреплении взаимовыгодного взаимодействия между всеми государствами.
На наш регион напрямую влияет ситуация в Афганистане. Мы надеемся, что принадлежащий афганцам и возглавляемый ими мирный процесс, при содействии всех основных заинтересованных сторон, обеспечит устойчивый мир и процветание для этой страны.
Казахстан продолжит поддержку афганскому народу в восстановлении своего государства. Прочные глобальные и региональные партнерства, долгосрочные инвестиции и региональная сопряженность имеют ключевое значение для обеспечения мирного будущего этой страны.
Уважаемые делегаты,
Способность ООН выполнять свою основную задачу сталкивается с серьезным испытанием.
По этой причине смелое и четкое видение Генерального секретаря по реформе ООН заслуживает широкой поддержки всеми государствами-членами.
Мы уделяем особое внимание полной имплементации Повестки дня до 2030 года, стремясь избежать пресловутой ловушки стран со средним уровнем дохода.
ЦУР на 80% интегрированы в наши стратегические государственные программы.
В мае этого года я открыл новое здание Международных организаций в Казахстане. В нем разместились 16 агентств ООН.
В качестве следующего шага мы предлагаем создать на его базе Центр ООН по ЦУР с мандатом оказания содействия странам Центральной Азии и Афганистану.
Являясь одной из крупнейших транзитно-транспортных территорий в Евразии, Казахстан неизменно будет играть ключевую роль в продвижении трансконтинентальной торговли в качестве участника Евразийского Экономического Союза и надежного партнера «Одного пояса, Одного пути».
Дамы и господа,
В эти непростые времена нам следует продолжить движение по пути всестороннего преобразования нашего общества под девизом «Преемственность, справедливость, прогресс».
Моя формула для политической системы Казахстана - это сильный и дальновидный Президент, влиятельный Парламент и подотчетное Правительство. Я твердо убежден, что эта концепция отвечает основным потребностям нашей нации и гарантирует ее мирное и устойчивое будущее.
Как новый Президент, я, в первую очередь, привержен построению современного государства всеобщего благосостояния.
Моей главной целью является создание условий для того, чтобы миллионы моих соотечественников извлекли выгоду из широкомасштабных реформ, пользовались плодами инклюзивного общества, динамичной экономики, высококачественного образования и передового здравоохранения.
Казахстан не достигнет успеха в своем социально-экономическом развитии без завершения глубоких политических преобразований.
В то же время, следует помнить, что демократия в Казахстане все еще находится в процессе развития и требует постоянного анализа. Мы постоянно ищем пути ее совершенствования, опираясь на позитивный опыт и учась на ошибках прошлого.
В рамках своей программы реформ, я учредил Национальный совет общественного доверия для содействия конструктивному диалогу между правительством и обществом.
Мое видение основано на концепции «разные мнения - одна нация». Именно через обмен мнениями и диалог мы и должны двигаться вперед.
Серьезные изменения коснутся правоохранительных органов и судов для обеспечения верховенства закона во всех сферах и повседневной жизни наших граждан.
Популизм - это посредственная политика. Я намерен не давать пустые обещания, а осуществлять конкретные дела.
Я буду твердо реализовывать свою программу реформ.
Дамы и господа,
В следующем году семья ООН отметит важную веху в своей истории.
Это событие должно придать новый импульс нашим совместным усилиям по содействию всеобъемлющему международному сотрудничеству для искоренения враждебности, недоверия и воинственности.
Я призываю международное сообщество и всех наших партнеров собраться вместе, чтобы укрепить мир в его стремлении к безопасности, сотрудничеству и взаимному доверию.
Мы все должны заботиться о наших будущих поколениях, чтобы обеспечить их справедливое участие в развитии новой экономики и технологий.
Мы должны заботиться об окружающей среде, продвигать научное развитие, гарантировать доступ к здравоохранению и образованию для всех.
Будущее наших грядущих поколений заслуживает быть намного лучше того, что мы имеем сейчас в этом хрупком мире.
Являясь ответственным членом международного сообщества, Казахстан продолжит вносить свой посильный вклад в коллективные усилия по продвижению мира и обеспечению прав, достоинства и процветания человека.
Благодарю за внимание!
 </t>
  </si>
  <si>
    <t>https://www.zakon.kz/redaktsiia-zakonkz/4987589-vystuplenie-prezidenta-respubliki.html</t>
  </si>
  <si>
    <t>Г-н Председатель,
Г-н Генеральный секретарь,
Ваши Превосходительства,
Уважаемые делегаты,
75-летняя годовщина Организации Объединенных Наций, которую мы отмечаем в этом году, проходит в полное драматизма и критических вызовов время.
Главным из них остается пандемия COVID-19. Она наносит серьезный ущерб глобальной экономике и выступает источником многочисленных бедствий и страданий людей во всем мире.
На фоне этой беспрецедентной в истории человечества трагедии, хочу выразить от имени моих соотечественников искреннюю благодарность и признательность медикам и всем профессионалам, самоотверженно защищающим нас на передовой от смертоносного вируса.
Нынешняя чрезвычайная ситуация в мире, спровоцировавшая обрушение систем здравоохранения, гуманитарные и социально-экономические потрясения, стала для всех нас серьезным испытанием на прочность. COVID-19 безжалостно высветил все наши прошлые ошибки и просчеты.
В рамках кризисного реагирования мы наблюдаем рост торгового протекционизма и политического национализма, вызвавшие системные сбои в международном сотрудничестве и нарастание «глобальной дисфункции».
Сегодня вся планета находится в тревожном ожидании новой волны драматических событий с необратимыми последствиями. Нарастающий дефицит взаимного доверия, искаженное восприятие конкуренции наций, усиливающиеся торговые войны и санкции подрывают перспективы устойчивого развития, лишая миллиарды людей надежды на лучший мир.
Будем откровенны – после завершения Холодной войны мы упустили уникальный шанс построить по-настоящему справедливую систему международных отношений, которая бы фокусировалась на продвижении интересов простых граждан. Судьбы будущих поколений зависят от глубинного осознания истинных причин возникновения подобной ситуации, в первую очередь, нами – лидерами государств.
Нам всем необходимо задуматься над выполнением общего морального долга, связанного с выстраиванием парадигмы «Нового мира». Считаю, что сейчас для человечества наступил важный переломный момент истории.
Великий казахский поэт и философ Абай Кунанбайулы, который родился за сто лет до учреждения ООН, предложил свою формулу успешного глобального взаимодействия: «Адамзатқа не керек: сүймек, сезбек, кейімек, қарекет қылмақ, жүгірмек, ақылмен ойлап сөйлемек». Смысл этого высказывания можно передать следующим образом: «Для достижения гармонии человечеству необходимы любовь и сострадание в чувствах, взвешенность и настойчивость в делах, благоразумие и мудрость в словах».
В данном контексте позвольте мне поделиться рядом соображений о нашем коллективном ответе на текущие вызовы.
Господин Председатель,
Сразу после внезапной вспышки коронавируса различные фонды и программы ООН были незамедлительно мобилизованы на борьбу с кризисом.
Однако международному сообществу следует предпринять гораздо больше усилий в этом направлении.
Во-первых, задача создания мощной глобальной системы здравоохранения потребует модернизации национальных институтов и медицинских учреждений развивающихся стран посредством своевременной и скоординированной поддержки со стороны развитых государств и агентств ООН.
Во-вторых, недопустимы попытки политизации темы разработки вакцины от COVID-19. Необходимо достичь всеобъемлющего международного соглашения об инвестициях и торговле в этом важном вопросе, которое бы способствовало глобальному производству вакцины и эффективности логистических цепочек в ее поставках.
В-третьих, стоит подумать о пересмотре Международных медико-санитарных правил с целью укрепления потенциала как Всемирной организации здравоохранения, так и отдельных государств в области профилактики и противодействия пандемиям.
В-четвертых, мы предлагаем внимательно изучить идею создания Сети региональных центров по контролю за заболеваниями и биобезопасности под эгидой ООН. Один из них Казахстан готов разместить на своей территории.
И последнее, но крайне важное: в свете бушующей в мире глобальной пандемии как никогда актуальными становятся разработка и запуск системы контроля над биологическим оружием.
Казахстан предлагает учредить подотчетный Совету Безопасности ООН специальный многосторонний орган – Международное агентство по биологической безопасности, которое в своей деятельности будет базироваться на Конвенции о запрещении разработки, производства и накопления запасов бактериологического (биологического) и токсинного оружия и об их уничтожении 1972 года.
Уважаемые делегаты,
Для динамичного восстановления мировой экономики нам необходимо срочно предпринять согласованные действия.
Я присоединяюсь к призыву Генерального секретаря о необходимости реализации пакета мер по стимулированию экономического роста общей стоимостью в 10% от мирового ВВП, а также разделяю его мнение о том, что ответ на пандемию должен основываться на Новом глобальном соглашении, нацеленном на создание равных и более широких возможностей для всех.
Мы считаем, что меры по замораживанию выплат долгов беднейшими странами будут содействовать нейтрализации негативных факторов и купированию неопределенности на мировых рынках. Международным финансовым учреждениям следует активнее внедрять инновационные решения в свою деятельность. В частности, имею в виду формулу «долговые послабления в обмен на инвестиции в национальные системы здравоохранения».
Надеюсь, что предстоящее Заседание высокого уровня по финансированию глобального развития увенчается принятием конкретных и действенных решений.
Развивающиеся страны, не имеющие выхода к морю, особенно сильно пострадали от COVID-19, нанесшего серьезный ущерб торговле и транспортно-логистическому комплексу.
Как действующий председатель Группы развивающихся стран, не имеющих выхода к морю, Казахстан предложил принять Дорожную карту ООН с целью придания нового импульса реализации Венской программы действий.
Высокие ожидания наших граждан связаны с достижением практических результатов в соответствии с Повесткой дня устойчивого развития на период до 2030 года.
Восстановление прежних темпов совместной работы в рамках Десятилетия действий по достижению Целей устойчивого развития потребует быстрых и хорошо скоординированных шагов. В этом контексте ближайшие 10 лет являются критически важными для нашего поколения.
Безоговорочно должна быть достигнута главная фундаментальная цель – полное искоренение голода на планете.
В этом связи мы отмечаем значимость созыва Саммита по продовольственным системам в 2021 году.
Созданная по инициативе Казахстана Исламская организация по продовольственной безопасности готова оказать всемерное содействие в формировании продовольственных резервов для проведения масштабной международной гуманитарной кампании.
Мы должны подтвердить свои обязательства «не оставлять никого без поддержки и помощи», особенно детей, молодежь, женщин, пожилых людей и граждан с особыми потребностями, по которым кризис ударил наиболее сильно.
Следует не допустить превращения крупнейшего в современной истории сбоя систем образования в «катастрофу поколения».
Ключевое значение в эффективном решении насущных проблем современности играет активное участие гражданского общества и частного сектора.
В этом году волонтерское движение явило многочисленные примеры вдохновляющей человеческой солидарности во всем мире.
В знак признания роли добровольцев предлагаю ООН провозгласить Международный год мобилизации волонтеров в целях развития. В Казахстане Годом волонтеров был объявлен 2020 год.
Господин Председатель,
В тени пандемии на нас надвигаются еще два суровых вызова.
Один из них – кризис ядерного нераспространения и разоружения.
Сегодня Казахстан является для всего мира примером и образцом для подражания как ответственное государство, добровольно отказавшееся от своего ракетно-ядерного арсенала и закрывшее крупнейший в мире атомный испытательный полигон.
Однако продолжающаяся эрозия режима нераспространения ставит нас в крайне уязвимое и опасное положение.
В этой связи Казахстан ожидает, что все государства-члены поддержат его призыв к ядерным державам принять все необходимые и неотложные меры для спасения человечества от ядерной катастрофы.
В этом отношении мы высоко ценим активную роль соответствующих учреждений ООН, включая Организацию Договора о всеобъемлющем запрещении ядерных испытаний.
Считаем, что юридически обязательные негативные гарантии безопасности должны быть предоставлены каждому государству, не обладающему ядерным оружием. Мы призываем все страны «ядерной пятерки» ратифицировать соответствующие Протоколы к Договорам о зонах, свободных от ядерного оружия, включая Семипалатинский договор.
Изменение климата – еще один экзистенциальный кризис для нашей цивилизации. Эта проблема опасна не только сама по себе, но и выступает в качестве своеобразного «катализатора» других угроз.
В борьбе с этим глобальным вызовом человечество пока проигрывает. Тем не менее, в условиях пост-коронавирусного восстановления у нас появилась уникальная возможность поставить вопрос защиты окружающей среды во главу угла международной повестки дня. Мы должны объединиться вокруг плана ООН – шесть позитивных шагов по улучшению климата.
Вопросы экологии очень чувствительны для Казахстана. Трагедии Аральского моря и Семипалатинского полигона, быстрое таяние ледников и опустынивание угрожают не только нашей стране и региону Центральной Азии, но и всему миру.
Несмотря на высокую зависимость от ископаемого топлива и предстоящий долгий путь к достижению целей Парижского соглашения по климату, приверженность нашего государства развитию безуглеродной экономики не имеет альтернативы.
Мы сократим выбросы парниковых газов на 15% к 2030 году за счет системной трансформации экономики и модернизации промышленности.
Параллельно с этим, в ближайшие пять лет мы планируем высадить в нашей стране более двух миллиардов саженцев деревьев.
Преодоление этих глобальных вызовов возможно только через восстановление атмосферы доверия между государствами-членами ООН и последовательное укрепление многосторонних институтов.
Существующий сегодня между странами дефицит доверия крайне токсичен для развития международных отношений.
Сегодня наш общий моральный долг – продемонстрировать приверженность основным целям и принципам Устава ООН.
В связи со стремительно растущим спросом на меры по укреплению доверия, Казахстан намерен преобразовать Совещание по взаимодействию и мерам доверия в Азии в полноценную организацию по вопросам безопасности и развития в этом стратегически важном регионе.
Считаем, что мировое сообщество должно более настойчиво продвигать идеологию терпимости, взаимопонимания и культурного разнообразия. Это ключ к эффективному противодействию ненависти и нетерпимости.
Мы еще раз подчеркиваем необходимость создания широкой коалиции для противостояния другой глобальной угрозе – международному терроризму.
Приглашаем все страны присоединиться к Кодексу поведения по достижению мира, свободного от терроризма.
Казахстан одним из первых репатриировал своих женщин и детей из истерзанных войной Сирии и Ирака. Данное решение было сложным, но абсолютно необходимым.
Мы твердо убеждены в том, что ООН должна координировать международные усилия по преодолению последствий пандемии, ускорению экономического восстановления и улучшению глобального управления.
Поэтому каждому ее агентству нужно доказать свою эффективность и востребованность в свете стоящих перед современным миром задач.
У нас нет иной альтернативы, кроме как выстраивание более эффективной и функциональной модели ориентированной на будущее ООН.
Критика в ее адрес зачастую несправедлива. Сегодня Организация делает ровно столько, сколько ей позволяет политическая воля государств-членов.
Ваши Превосходительства,
Каждый из этих трех кризисов, несмотря на существенные различия, де-факто является следствием проблем в системах государственного управления. Достижение подлинно справедливого и ориентированного на чаяния людей глобального мира возможно только при гармоничном сочетании эффективных международных мер с энергичными усилиями на национальном уровне.
Казахстан преисполнен решимости построить экономически сильное, демократически развитое и сфокусированное на удовлетворение потребностей каждого гражданина «слышащее государство».
В этой связи мы осуществляем масштабные политические и экономические реформы, призванные придать новый импульс развитию в интересах всего нашего народа.
Мы декриминализовали клевету, приняли новые законы о политических партиях и мирных собраниях.
С целью защиты фундаментального права на жизнь и достоинство человеческой личности, принято решение о подписании Второго Факультативного протокола к Международному пакту о гражданских и политических правах, направленного на отмену смертной казни.
Еще один важный приоритет – обеспечение равных возможностей для женщин и молодежи, полноценная защита прав детей.
Мы вдвое снизили наш показатель в мировом Индексе гендерного неравенства и ввели обязательную 30-процентную квоту для женщин и молодежи в избирательных списках партий.
Мы оказали существенную помощь 4,5 миллионам наших сограждан, временно лишившимся доходов во время пандемии, выделив на эти цели 1,1 миллиарда долларов. Более миллиона человек получили продуктово-бытовые наборы. Данные меры не имеют прецедентов в нашей части мира.
В центре нашего внимания неизменно находится региональное сотрудничество. В данный момент Центральная Азия переживает стремительную трансформацию благодаря значительному расширению взаимодействия между странами региона в различных сферах.
Уверен, процветающая, сильная и сплоченная Центральная Азия отвечает интересам как местных, так и глобальных заинтересованных сторон.
В контексте региональной стабильности важную роль играет рациональное использование трансграничных водных ресурсов. Поэтому мы предлагаем создать Региональный водно-энергетический консорциум.
Для координации повестки дня в области развития в Центральной Азии мы также намерены институализировать Региональный Центр ООН по целям устойчивого развития в Алматы.
Господин Председатель,
Важно всегда помнить, что любой кризис открывает окно новых возможностей. Используя их эффективно, мы можем выстроить более сбалансированный, справедливый и инклюзивный мир.
В решении глобальных проблем нам важно сконцентрироваться на первопричинах и активно продвигать практику превентивных мер для бережного сохранения ограниченных ресурсов планеты.
Все наши усилия должны руководствоваться моральным императивом – «Все во имя людей».
Казахстан был и остается твердым приверженцем ООН, нацеленным на деятельное участие в созидании более светлого и счастливого для всех будущего.
Благодарю за внимание.</t>
  </si>
  <si>
    <t>https://www.inform.kz/ru/polnyy-tekst-vystupleniya-prezidenta-kazahstana-na-obschepoliticheskih-debatah-75-y-sessii-genssamblei-oon_a3698149</t>
  </si>
  <si>
    <t>Уважаемый господин председатель, уважаемый господин Генеральный секретарь, дамы и господа, я поздравляю вас, господин председатель, с вступлением на пост председателя семьдесят шестой сессии.
В своем выступлении я в первую очередь намерен сфокусироваться на тройной угрозе, с которой мы все сталкиваемся: восстановление после COVID-19; климатический кризис и гуманитарная ситуация в Афганистане.
За последний год вследствие пандемии COVID-19 число подтвержденных случаев стремительно возросло с 32 миллионов до 225 миллионов.
Мы глубоко признательны всем работникам сферы здравоохранения, ученым и производителям, которые за столь короткое время смогли создать безопасные и эффективные вакцины.
Но экономические и социальные последствия продолжают оставаться очень тяжелыми. Резко выросла безработица, сотни миллионов людей остались без средств к существованию. Сегодня более 130 миллионов человек живут в условиях крайней нищеты. Десятилетия прогресса в области развития могут быть сведены на нет.
Во многих отношениях пандемия выявила нашу уязвимость и подчеркнула решающее значение мультилатерализма и международной солидарности. Мы должны восстановить более справедливый, устойчивый и гуманный мир.
Мы должны начать с обеспечения всеобщего и справедливого доступа к вакцинам. Этот вопрос должен быть решен с точки зрения глобальной этики и солидарности. Несправедливое «неравенство в вакцинах» усугубляет данный разрыв.
Реклама
zagonbrand.com
МВФ отмечает, что восстановление экономики не является глобальным из-за увеличивающегося разрыва между развитыми «вакцинированными» и развивающимися «непривитыми» экономиками. Это может привести к сокращению совокупного мирового ВВП на 4,5 трлн долларов к 2025 году.
Мы должны незамедлительно расширить глобальный доступ к вакцинам. Казахстан успешно произвел собственную вакцину QazVac. В разработке находятся еще две вакцины. Мы готовы поделиться ими на двусторонней основе или в рамках системы COVAX.
Всемирная торговая организация играет ведущую роль в обеспечении стабильных цепочек поставок основных медицинских товаров и справедливого доступа к вакцинам. В качестве Председателя 12-й Министерской конференции ВТО в предстоящем ноябре Казахстан призывает членов ВТО предпринять результативные меры в ответ на пандемию COVID-19.
Также необходимо более целенаправленное сотрудничество между правительствами и фармацевтической промышленностью по вопросам лицензий, передачи технологий и технической поддержки.
В то же время восстановление экономики зависит от многих других «известных неизвестных» факторов, включая напряженность в  сфере технологий. Сценарий «экономического железного занавеса», при котором различные технологии и правила разделяют мировую экономику, становится все более вероятным.
Такой сценарий может создать серьезные препятствия тем государствам, которые хотят вести глобальную торговлю и обеспечивать поставки в сфере технологий. Стремясь избежать принятия чьей-либо стороны, они могут быть вынуждены сформировать «Движение технологического неприсоединения» с тем, чтобы уменьшить риски на стыке технологий и геополитики.
Дамы и господа, уровень углекислого газа достиг рекордно высоких показателей. Лесные пожары, циклоны, наводнения и засухи стали новой повседневной реальностью, разрушительной для населения и причиняющей страдания людям.
Климат Казахстана как наиболее крупной страны, не имеющей выхода к морю, изменяется быстрее, чем в среднем по миру, что угрожает нашему населению и экономике.
За последние 75 лет средняя годовая температура повысилась на 2°C, в настоящее время серьезные засухи случаются дважды каждые пять лет.
В связи с этим Казахстан намерен достичь углеродной нейтральности к 2060 году. В следующем месяце мы запускаем национальную стратегию низкоуглеродного развития до 2050 года, направленную на снижение энергоемкости ВВП на 50 % по сравнению с уровнем 2008 года.
Поскольку почти 70 % производства электроэнергии в Казахстане зависит от угля, энергетический переход грозит серьезными проблемами.
Решающее значение для этого перехода будет иметь доступ к экологичному финансированию и «зеленым» технологиям. Мы ожидаем, что предстоящая конференция по климату КС 26 в Глазго продемонстрирует четкую приверженность этим принципам. Без достаточного финансирования амбициозные действия по изменению климата останутся пустой риторикой.
Мы также придаем большое значение 15-му Совещанию сторон Конвенции по биологическому разнообразию, которая состоится в октябре 2021 года в Куньмине.
Что касается Афганистана, мы поддерживаем призыв Совета Безопасности ООН к образованию путем переговоров нового правительства, которое было бы инклюзивным и представительным.
Необходимо создать систему, основанную на консенсусе, в которой группы с различными ценностями или этническим, религиозным и гендерным происхождением могут сосуществовать в одной стране.
В целом Казахстан видит будущий Афганистан как подлинно независимое и суверенное государство, живущее в мире с собой и со своими соседями. Афганистан должен продолжать выполнять свои международные обязательства и обеспечить, чтобы его территория не превратилась в плацдарм для террористов, наркотрафика и торговцев людьми.
Невзирая на наши политические или личные убеждения, мы не должны сейчас бросать народ Афганистана на произвол судьбы.
Острая гуманитарная ситуация должна быть нашим главным приоритетом. Учреждения ООН и другие гуманитарные организации должны иметь немедленный, безопасный и беспрепятственный гуманитарный доступ.
Казахстан обеспечил временную передислокацию МООНСА и других отделений ООН в Афганистане. Мы готовы предоставить логистическую платформу для доставки гуманитарной помощи в Афганистан и внести собственный посильный вклад.
Казахстанская инициатива по созданию Регионального хаба ООН в Алматы может содействовать выполнению этой важнейшей миссии. Мы готовы тесно сотрудничать с ООН, соседями и организациями.
Будущая стабильность Афганистана зависит от его экономического развития. Афганистан - это не угроза, а возможность. Если страна будет единой и стабильной, то это сможет способствовать развитию Центральной Азии.
Ваши Превосходительства, я также хотел бы затронуть несколько других важных вопросов повестки ООН, включая необходимость активизации деятельности в области разоружения.
29 августа мы отметили 30-ю годовщину закрытия по инициативе Первого Президента господина Нурсултана Назарбаева Семипалатинского ядерного полигона и отказа от четвертого по величине ядерного арсенала в мире.
Казахстан вновь настоятельно призывает государства, обладающие ядерным оружием, взять на себя обязательство полностью избавиться от ядерного оружия к 2045 году, столетию Организации Объединенных Наций.
Аналогичным образом еще предстоит проделать большую работу по борьбе с экзистенциальными биологическими угрозами. В прошлом году я предложил создать Международное агентство по биологической безопасности. Это смелая и амбициозная идея, которую мы считаем своевременной. Открытый и транспарентный диалог со всеми заинтересованными сторонами продолжается.
Реализация Повестки дня на период до 2030 года и ЦУР столкнулась с серьезными вызовами.
Наименее развитые страны, развивающиеся страны, не имеющие выхода к морю, малые островные развивающиеся государства – в общей сложности около 91 страны – в непропорционально большой степени пострадали от пандемии, учитывая их ограниченные средства реагирования на потрясения и уязвимость перед долговым кризисом.
Как председатель Группы РСНВМ на глобальном уровне, Казахстан обращается ко всем учреждениям ООН с призывом работать сообща для осуществления Дорожной карты 2024 года по ускоренной реализации Венской программы действий.
Повестка дня на период до 2030 года будет оставаться недостижимой до тех пор, пока все страны не будут обладать финансовыми возможностями для инвестирования в устойчивое и инклюзивное будущее. В этой связи мы призываем, в частности,  всех партнеров по развитию к совместному решению проблемы международной ликвидности и уязвимости с точки зрения долгового бремени.
По оценкам Всемирной продовольственной программы, в этом году 270 миллионов человек столкнутся с нехваткой продовольствия.
Казахстан является крупным производителем и экспортером зерна и одним из основателей Исламской организации по продовольственной безопасности, четвертая Генеральная ассамблея которой состоялась в прошлом месяце в нашей столице.
Мы приглашаем иностранных инвесторов присоединиться к нам для создания лучшего, светлого будущего для устойчивого сельского хозяйства.
Устойчивое развитие зависит не только от экономического роста, но и от социального и политического развития.
В свои 30 лет Казахстан уже является зрелым и опытным государством. За последние несколько лет мы начали переход от государственного строительства по принципу «сверху-вниз», который оказался чрезвычайно эффективным в период ранней государственности, к развитию демократии «снизу-вверх». Мы стремимся укрепить нашу приверженность демократии и содействовать более широкому участию граждан в управлении.
Например, мы впервые ввели прямые выборы сельских акимов. Это предоставит гораздо больше возможностей более чем 40% гражданам Казахстана. Мы сделаем то же самое для районных акимов в 2024 году.
В соответствии с концепцией «Слышащего  государства» с 2019 года моя администрация приступила к осуществлению четырех пакетов важнейших демократических реформ в целях укрепления прав человека, верховенства закона и борьбы с коррупцией.
Например, недавно я предложил ввести 30-процентные квоты для женщин и молодежи в избирательных партийных списках окончательного состава парламента.
Мы не можем останавливаться на достигнутом. Наша цель – дальнейшее повышение эффективности государства, прозрачности и конкурентности политического процесса. Политические и экономические реформы будут иметь дальнейшее динамичное развитие.
В январе этого года Казахстан ратифицировал Второй Факультативный протокол к Международному пакту о гражданских и политических правах, отменяющий смертную казнь.
В июне Правительство утвердило План первоочередных мер в области прав человека, в котором заложена долгосрочная институциональная основа.
В тесном сотрудничестве с нашими международными партнерами мы прилагаем все усилия для искоренения торговли людьми, что требует исключительного глобального сотрудничества.
Мы выдвинули свою кандидатуру в состав Совета ООН по правам человека на 2022-2024 годы. В случае избрания Казахстан будет стремиться внести реальный вклад в работу Совета.
Мы также намерены продвигать взаимосвязь «демократия – религия – развитие» в ходе седьмого Съезда лидеров мировых и традиционных религий, который состоится в апреле следующего года в Казахстане.
Что касается Центральной Азии, то, несмотря на вызовы стабильности и безопасности, мы отмечаем постепенное укрепление политического и экономического сотрудничества. Три неформальных центрально-азиатских саммита, последний из которых состоялся в прошлом месяце, способствовали созданию более сплоченного и устойчивого региона.
Наша региональная политика направлена на постепенную замену политики «с нулевым результатом» и принципа права на стороне сильного «Большой игры» подлинным сотрудничеством и Большой Выгодой для народов в Сердце Азии.
Это создает возможности для более активного взаимодействия мирового сообщества с Казахстаном и Центральной Азией. Мы возлагаем большие надежды на региональные диалоги в формате «С5+» с основными внерегиональными игроками.
В рамках таких партнерских отношений мы фокусируемся на проблемах Центральной Азии, связанных с водными ресурсами, включая нехватку воды, ухудшение ее качества и неэффективное использование. Водная безопасность нашего региона неразрывно связана с энергетикой, продовольствием и окружающей средой.
Несмотря на различные интересы других государств, Казахстан по-прежнему предлагает создать региональный водно-гидроэнергетический консорциум в целях координации имеющихся стратегий для достижения общих целей.
Господин председатель, дамы и господа, находясь на евразийском перекрестке цивилизаций, Казахстан по-прежнему привержен своей сбалансированной, конструктивной внешней политике. У нас хорошие отношения со всеми нашими ближайшими соседями, западными странами, ЕС, азиатскими и ближневосточными государствами.
Таков дух Совещания по взаимодействию и мерам укрепления доверия в Азии. В следующем году Казахстан, который будет председательствовать в СВМДА, проведет саммит, посвященный 30-летию Совещания.
Наш мир одновременно взаимосвязан и хрупок. Мы отчаянно нуждаемся в конструктивном мультилатерализме, который приносит результаты людям и способствует реальному проявлению глобальной солидарности.
Нам необходимо гораздо более активное участие и подлинное сотрудничество со стороны международных организаций, финансовых учреждений, гражданского общества, бизнеса, местных и региональных властей в целях служения общему благу.
Ничто другое не обеспечит наше общее будущее. Ни одна нация не сможет преуспеть или процветать в одиночку – для этого нет вакцины или стены.
Настоящий момент предоставляет коллективную возможность для изменения мира к лучшему.
Благодарю за внимание.</t>
  </si>
  <si>
    <t>https://www.nur.kz/politics/universe/1933470-poyavilsya-polnyy-tekst-vystupleniya-tokaeva-na-debatah-76-y-sessii-genassamblei-oon/</t>
  </si>
  <si>
    <t>неполные вырезки</t>
  </si>
  <si>
    <t>https://www.akorda.kz/ru/prezident-kazahstana-kasym-zhomart-tokaev-vystupil-na-obshchih-debatah-77-y-sessii-generalnoy-assamblei-oon-2083031</t>
  </si>
  <si>
    <t>– Суть угрозы исходит из одновременной эрозии основополагающих принципов международного права, воплощенных в Уставе ООН. Разрушение этих столпов ложится все более тяжелым бременем на существующую систему международных отношений и порождает конфронтацию. Практика несоблюдения, приостановки и выхода из ключевых международных правовых документов вызывает крайнюю озабоченность, поскольку может привести к точке невозврата. Такая ситуация нарушает работу торговой системы, ослабляет цепочки поставок, которые являются двигателем экономики, а также наносит ущерб продовольственной безопасности и ускоряет инфляцию. Сложившиеся негативные тенденции еще более усугубляют страдания людей. 108 млн человек являются вынужденными переселенцами, более 1 млрд живут в нищете, 2 млрд не имеют доступа к основным лекарственным средствам. Конечным результатом может стать потеря человечеством уверенности в стабильном развитии мира в будущем. Молодое поколение больше не верит, что мир, который они унаследуют, будет лучше. Поэтому Казахстан считает необходимым вновь заявить о своей непоколебимой приверженности принципам Устава ООН, – подчеркнул Президент.
По его словам, собравшиеся на сессию Генеральной Ассамблеи ООН лидеры несут ответственность за судьбу и будущее человечества.
– Диалог – это единственный способ создать благоприятную среду, позволяющую достичь согласия по новым принципам и нормам. Несмотря на все предпринимаемые усилия, конфликты продолжаются во многих регионах мира. Мы призываем все стороны искать дипломатическое решение конфликтов на основе Устава ООН и общепризнанных норм международного права. В этой связи Казахстан высоко оценивает все усилия и планы, предлагаемые различными государствами и группами стран в поддержку политического урегулирования украинского кризиса. В разрешении международных споров всегда должны преобладать дипломатия и диалог. Поэтому мы должны сообща приложить максимум усилий для стабилизации единственной существующей системы глобальных институтов, – отметил Касым-Жомарт Токаев.
Наряду с этим Глава государства высказал мнение, что без всеобъемлющей реформы Совета Безопасности не удастся справиться с этими вызовами.
– Глубоко убежден, что голоса «средних держав» и всех развивающихся стран в Совете должны быть усилены и четко услышаны. Поскольку Совет Безопасности, по-видимому, не в состоянии выйти из тупика, он должен стать более представительным, чтобы другие страны, включая Казахстан, могли играть более значительную роль в поддержании мира и безопасности. В нашем регионе растущая активность стран-участниц стала позитивным фактором в превращении Совещания по взаимодействию и мерам доверия в Азии в полноценную международную организацию, способную внести вклад в посредничество и миротворчество на континенте. Аналогичным образом Казахстан как действующий председатель Шанхайской организации сотрудничества выдвинул Инициативу о мировом единстве за справедливый мир и согласие. Эта инициатива, к которой мы приглашаем вас присоединиться, включает в себя новую парадигму безопасности, справедливую экономическую среду и чистую планету. Открытый диалог между Глобальным Югом и Глобальным Севером является его центральным пунктом, – сказал Президент Казахстана.
Касым-Жомарт Токаев указал, что из всех вызовов, с которыми сталкивается человечество, пожалуй, самым разрушительным является угроза применения ядерного оружия. 30 лет назад Казахстан добровольно отказался от четвертого по величине унаследованного ядерного арсенала. 
– Именно поэтому логика ядерной повестки дня должна быть пересмотрена. Только взаимное доверие и сотрудничество между ядерными державами на пути к миру, свободному от ядерного оружия, могут обеспечить глобальную стабильность. В этой связи Казахстан заявляет о своей неизменной приверженности Договору о запрещении ядерного оружия. Мы поддерживаем развитие новых механизмов в области разоружения и нераспространения. Стратегический план полного отказа от ядерного оружия к 2045 году вполне может стать самым значительным вкладом нынешнего поколения лидеров в обеспечение глобальной безопасности, – заявил лидер Казахстана.
Глава государства напомнил, что COVID-19 продемонстрировал нашу уязвимость перед будущими биологическими рисками и угрозами. В связи с этим Казахстан обратился к Генеральному секретарю и Председателю данной Ассамблеи с призывом запустить процесс создания Международного агентства по биологической безопасности.
– Мы приветствуем "Новую повестку дня для мира" Генерального секретаря. Этот стратегический документ должен противостоять вакууму доверия и растущей враждебности в мире. На предстоящем в следующем году Саммите будущего Казахстан будет играть конструктивную и поддерживающую роль в принятии Пакта будущего. Но поиск мира – это не только запрет оружия или подписание деклараций. Ключевую роль в формировании культуры мира играет межрелигиозный и межконфессиональный диалог. Поэтому мы обеспокоены недавними актами глубокого неуважения к священным книгам. Подобные варварские действия в отношении Ислама или любой другой религии не могут быть восприняты как выражение свободы, свободы слова и демократии. Все священные книги, включая Коран, заслуживают правовой защиты от вандализма. Наконец, культура мира может быть основана только на принципах единства в многообразии и взаимного уважения. Поэтому я горжусь значимой ролью Съезда лидеров мировых и традиционных религий, проводимого в Астане, – подчеркнул Президент.
Касым-Жомарт Токаев заявил, что Казахстан – миролюбивое государство, которое отстаивает свои национальные интересы и находится в постоянном поиске мирного решения международных проблем.
– Независимость, территориальная целостность и суверенитет – основные принципы, которыми мой народ будет руководствоваться и сейчас, и в будущем. Мы будем продолжать сотрудничество с нашими основными союзниками по всем стратегическим вопросам, – отметил Глава государства.
Лидер Казахстана акцентировал внимание на необходимости новых оценок, которые позволит решить насущные глобальные экономические проблемы, обеспечивая при этом право на развитие.
– Для этого нам необходима открытая, прозрачная и инклюзивная многосторонняя торговая система, основанная на принципах и правилах ВТО. Нам также необходимо подумать о совершенствовании системы глобальной продовольственной безопасности. В прошлом году почти 10% населения Земли столкнулось с проблемой голода. Следует активизировать добровольный обмен информацией о продовольственной безопасности, включая объемы производства, а также экспорта и импорта продовольственных товаров. Мы должны совместно обеспечить прозрачный мониторинг финансирования международным сообществом мер реагирования на продовольственные кризисы. Казахстан готов выступить в качестве регионального хаба поставок продовольствия. Для этого у нас есть все необходимые ресурсы, инфраструктура и логистика. Казахстан уже является надежным звеном, через которое проходит около 80% сухопутных транзитных перевозок между Азией и Европой. Транскаспийский международный транспортный маршрут – так называемый «Средний коридор» – может значительно укрепить взаимодействие между Востоком и Западом. Этот маршрут позволит увеличить темпы торговли между важнейшими рынками, сократив почти вдвое время, необходимое для транспортировки грузов морским путем, – предложил Касым-Жомарт Токаев.
Значительное внимание в выступлении было уделено проблеме изменения климата.
– Даже если мы успешно ограничим повышение глобальной температуры до 1,5 градусов к 2030 году, что выглядит все менее вероятным, в Центральной Азии мы столкнемся с повышением температуры на 2-2,5 градуса. Несмотря на долгий путь, пройденный Парижским соглашением по климату, мы все должны сохранять приверженность безуглеродному будущему. Климатическая повестка дня не должна использоваться для введения мер, ограничивающих торговое и инвестиционное сотрудничество. Вместо этого мы должны сосредоточиться на позитивных изменениях, таких как Позитивные меры по борьбе с изменением климата, определенные ООН, включая инвестиции в создание «зеленых» рабочих мест, прекращение субсидирования использования ископаемых видов топлива и обеспечение справедливости, инклюзивности и участия женщин во всех климатических действиях на различных уровнях. Однако без должного финансирования амбициозные планы по борьбе с изменением климата останутся нереализованными, – сказал Президент.
Казахстанской стороной предложено запустить в нашей стране программу Партнерства по справедливому энергетическому переходу (Just Energy Transition Partnership). Глава нашего государства считает, что постепенный, устойчивый и социально ответственный переход от использования угля стал бы большим преимуществом для достижения глобальных целей в области изменения климата.
– Инициатива Казахстана по открытию в Алматы Проектного офиса для Центральной Азии по изменению климата и зеленой энергетике может способствовать решению этих вопросов. Мы с нетерпением ждем проведения в Казахстане в 2026 году Регионального климатического саммита под эгидой ООН, – сообщил лидер Казахстана.
В выступлении было подчеркнуто, что в Центральной Азии нехватка воды создает серьезные экономические и другие вызовы в бассейнах трансграничных рек. Подобная ситуация будет наблюдаться во всем мире: к 2040 году глобальный спрос на воду может превысить предложение на 40%.
– Мы должны объединить политическую волю и экономические ресурсы для решения этой важнейшей глобальной проблемы наряду с мерами по борьбе с изменением климата. В следующем году Казахстан будет председательствовать в Международном фонде спасения Арала. Мы продолжим работу по предотвращению дальнейшей деградации окружающей среды и влияния этого на жизнедеятельность вокруг озера, которое когда-то было четвертым по величине на планете. Сегодня крупнейшее в мире озеро – Каспийское море – также сталкивается с экологическими проблемами, включая обмеление, отвод воды, загрязнение флоры и фауны. Спасение Каспийского моря должно стать вопросом общего приоритета, требующим долгосрочного международного сотрудничества, – отметил Глава государства.
По его словам, Казахстан привержен дальнейшему укреплению многопланового сотрудничества со странами Центральной Азии. Наш регион может играть более активную роль в качестве «сплоченной и независимой» части международного сообщества, внося свой вклад в глобальные процессы развития.
Касым-Жомарт Токаев подчеркнул, что Афганистан должен стать стабильным, процветающим государством и надежным торговым партнером. Он призвал поддержать инициативу о создании Регионального центра ООН по ЦУР для Центральной Азии и Афганистана в Алматы.
Президент Казахстана также представил краткую информацию о внутренних реформах, внесении поправок в Конституцию, перезагрузке политической и экономической системы. Он подчеркнул, что в основе этих реформ лежат принципы справедливости, равенства, непредвзятости и свободы.
– Мое личное кредо – верховенство закона – должно преобладать при любых обстоятельствах. Мы понимаем, что только политические реформы и инвестиции в человеческий капитал могут сделать нашу экономику более устойчивой и прочной, – сказал лидер Казахстана.
Глава государства заявил, что Казахстан добился значительного прогресса в достижении гендерного равенства, расширении прав и возможностей женщин и девочек.
В своем недавнем Послании народу Президент представил новую экономическую политику, которая направлена, прежде всего, на предоставление всем гражданам необходимых возможностей для достойной жизни.
– Здоровье, благополучие и хорошее образование подрастающего поколения являются ключевыми приоритетами государственной политики Казахстана. Я возлагаю свои надежды на молодое поколение, которое поведет нашу страну в будущее. На родине и за рубежом мы работаем ради этого лучшего будущего. Давайте возродим дух единства и коллективных действий, который лежит в основе Организации Объединенных Наций. Будем помнить, что общая приверженность построению лучшего мира должна быть выше наших различий. Казахстан готов сотрудничать со всеми государствами – членами ООН в деле построения более светлого, справедливого и устойчивого мира, – подытожил свое выступление Касым-Жомарт Токаев.</t>
  </si>
  <si>
    <t>https://www.akorda.kz/ru/prezident-kasym-zhomart-tokaev-vystupil-na-obshchih-debatah-v-ramkah-78-y-sessii-generalnoy-assamblei-oon-2081958</t>
  </si>
  <si>
    <t>Нуртлеу </t>
  </si>
  <si>
    <t>Г-н Председатель!
Г-н Генеральный секретарь!
Ваши превосходительства, дамы и господа!
Позвольте вначале поздравить Его Превосходительство Филемона Янга с избранием на должность председателя 79-й сессии.
Уверяю его в полной поддержке со стороны моей страны и желаю ему всяческих успехов в его благородных начинаниях.
Пока мы собираемся здесь, глобальная система находится на опасной грани разрушения. Десятки наших государств-членов, представленных в этом зале, охвачены конфликтами и нестабильностью, унесшими тысячи жизней. Целые континенты страдают от климатического кризиса. Многосторонность с трудом справляется с вызовами. И всё же Организация Объединённых Наций по-прежнему является незаменимой универсальной Организацией. Почти восемь десятилетий спустя она остаётся важнейшей платформой для диалога и сотрудничества по наиболее острым вопросам нашего времени. Этот неоспоримый факт обязывает государства продолжать работать через ООН ради устойчивого мира. Он укрепляет нашу решимость добиваться глобального мира и стабильности. А эта трибуна, этот зал напоминают нам о том, что ни одна страна, несмотря на свою могущественность, не может справиться с глобальными проблемами в одиночку.
Тяжёлое положение миллионов жертв конфликтов по всему миру, на Ближнем Востоке, в Восточной Европе и некоторых частях Африки, требует немедленных, решительных и коллективных действий. Однако процесс принятия решений в Совете Безопасности ООН парализован. Как подчеркнул Генеральный секретарь, эта печальная реальность подрывает доверие, легитимность и эффективность Организации в целом. Ежегодные обсуждения реформирования глобальных институтов больше недостаточны. Настало время для перемен, в которых так отчаянно нуждается наш мир. В прошлом году, с этой трибуны, Президент Казахстана Касым-Жомарт Токаев представил Инициативу мирового единства ради справедливого мира и гармонии. Эта дальновидная концепция направлена на укрепление мира, стабильности и безопасности через значимое и справедливое взаимодействие между Глобальным Югом и Глобальным Севером. Голоса средних держав и развивающихся стран жизненно важны для преодоления разногласий и создания более эффективной международной архитектуры безопасности. Именно в этом духе я приглашаю все страны поддержать инициативу моей страны. Вместе мы можем проложить путь к более гармоничному и объединённому миру.
Растущая угроза новой гонки ядерных вооружений усугубляет геополитическую поляризацию. Более сорока лет народ и земля Казахстана подвергались разрушительным последствиям 456 ядерных испытаний. Ядерное разоружение и нераспространение являются ключевыми столпами внешней политики моей страны. Казахстан в этой связи глубоко обеспокоен усиливающейся риторикой ядерных угроз. Мы призываем все ядерные государства соблюдать Договор о нераспространении ядерного оружия и Договор о всеобъемлющем запрещении ядерных испытаний. Я также призываю те страны, которые ещё не присоединились к Договору о запрещении ядерного оружия (ДЗЯО), сделать это как можно скорее ради безопасности, стабильности и выживания нашего мира. В качестве председателя 3-го заседания по ДЗЯО мы будем способствовать созданию Международного фонда помощи жертвам ядерных испытаний.
Ещё одна экзистенциальная угроза, которую ни одно государство не может игнорировать, - это изменение климата. Этот год, по прогнозам, станет самым жарким в истории. Засухи, наводнения и другие климатические катастрофы продолжают уносить жизни и наносить ущерб экономикам по всему миру. В этой связи мы вновь призываем страны «Группы двадцати» и многосторонние банки развития разделить ответственность, предоставляя зелёные технологии и льготное финансирование странам с низким и средним уровнем доходов в соответствии с Парижским соглашением. Наш регион находится на передовой глобального потепления, несмотря на то, что на неё приходится всего 1 процент мировых выбросов. Центральная Азия столкнётся с увеличением температуры на 2,5 градуса выше среднего уровня к 2050 году. Этот суровый факт укрепил нашу приверженность борьбе с изменением климата. Именно поэтому наша страна проведёт Региональный саммит по климату в 2026 году, направленный на дальнейшее углубление сотрудничества между членами ООН по вопросам климатической устойчивости и зелёного перехода.
Одним из последствий изменения климата является нехватка воды по всему миру. Это подрывает продовольственные, энергетические и экологические системы на всех континентах. Сегодня каждый четвёртый человек не имеет доступа к безопасной питьевой воде. Если эта тенденция продолжится, к 2050 году более пяти миллиардов человек могут столкнуться с дефицитом воды. В Центральной Азии к тому времени нехватка воды затронет 25-30% населения. Решение этой проблемы требует как серьёзной политической воли, так и научных и экономических ресурсов. В качестве действующего председателя Международного фонда спасения Аральского моря Казахстан работает с региональными партнёрами над созданием долгосрочного и устойчивого механизма сотрудничества для эффективного использования водных и энегетических ресурсов Центральной Азии. Наш подход учитывает интересы всех сторон в вопросах орошения, гидроэнергетики и охраны окружающей среды.
Будучи крупнейшей страной, не имеющей выхода к морю, Казахстан активно продвигает интересы всех стран, не имеющих выхода к морю, в решении многообразных проблем, с которыми сталкивается наша группа. Несмотря на значительные успехи, мы всё ещё далеки от полной реализации Венской программы действий. Мы отстаём по ключевым показателям, особенно в отношении внедрения инновационных технологий для облегчения торговли и развития транзитных и транспортных коридоров. Эти вызовы усиливают уязвимость стран, не имеющих выхода к морю, сдерживают инвестиции, сокращают торговлю и увеличивают долговую нагрузку. Кроме того, наши географические ограничения мешают нам полноценно интегрироваться в глобальные торговые и экономические процессы на равных условиях. Мы преданы продвижению жизненно важных интересов нашей группы на глобальном и региональном уровнях. Моя страна уже является мостом для 80% транзитных грузов, перевозимых по суше между Азией и Европой. Казахстан стремится укрепить синергию между проектом «Один пояс, один путь», инициативой «Глобальный ворота», а также международными транспортными коридорами Север-Юг и Транскаспийского маршрута. Вместе мы обладаем уникальным потенциалом для превращения нашего статуса стран, не имеющей выхода к морю, в статус связанной с глобальными транспортными путями.
Саммит будущего ясно подчеркнул, что цифровая трансформация является движущей силой повестки дня до 2030 года. Однако ключом к этому переходу является обеспечение равного доступа всех стран к передовым технологиям. Быстрое развитие искусственного интеллекта усиливает киберугрозы и порождает новые вызовы. Это включает в себя его потенциальное использование в военных действиях, последствия для защиты данных, риски его злоупотребления для информационных войн, создания дипфейков и многого другого. Казахстан считает, что ООН может и должна играть ведущую роль в этом революционном направлении. Мы призываем технологически и цифрово-продвинутые государства активно участвовать в разработке общих этических норм и стандартов для управления ИИ наиболее ответственным и мирным способом. Создание Офиса ООН по вопросам искусственного интеллекта было бы важным шагом в этом направлении.
В нынешней геополитической обстановке Центральная Азия всё больше утверждает себя на мировой арене. Наш регион является не только перекрёстком культур и экономик, но и стремительно превращается в мост для сотрудничества между Востоком и Западом. Мы придерживаемся формулы: «Успешная Центральная Азия — успешный Казахстан». Вместе с нашими партнёрами мы строим более связанный и устойчивый Центральноазиатский регион через набор диалоговых платформ «С5+». Сегодня наша региональная повестка также включает развитие Афганистана в стабильное и предсказуемое государство, надёжного торгового партнёра. В этом контексте Региональный центр ООН по устойчивому развитию для Центральной Азии и Афганистана, который будет создан в Алматы, станет решающей инициативой для скоординированного достижения целей устойчивого развития. Мы надеемся, что эта инновационная инициатива получит широкую поддержку со стороны государств-членов.
Отстаивание прав человека — это не просто стремление, а одно из ключевых условий устойчивого развития. Это также лучшее средство против тех неравенств, которые часто становятся причиной нестабильности и конфликтов. Наши национальные реформы направлены на построение Справедливого Казахстана, основанного на инклюзивности, прозрачности и верховенстве закона. Моя страна отменила смертную казнь, внедрила политику нулевой терпимости к пыткам и укрепила национальные превентивные механизмы. Чтобы усилить нашу приверженность ценностям жизни и гуманности, Казахстан вместе с нашими центральноазиатскими соседями и Монголией выступает с инициативой сделать наш регион первым, полностью свободным от смертной казни. Защита прав женщин и обеспечение безопасности детей - это главные приоритеты моего Президента и правительства. Мы продвигаем повестку дня Совета ООН по правам человека, предлагая эффективные резолюции, направленные на образование детей и борьбу с насилием в семье. Будучи одним из лидеров по репатриации женщин и детей из зон конфликтов на Ближнем Востоке, Казахстан в 2025 году проведёт Международную конференцию по лучшим практикам в области репатриации и реинтеграции. Благодаря партнёрству с Добровольцами ООН мы создаём новые возможности для молодёжи и активно продвигаем 2026 год как Международный год добровольцев для устойчивого развития.
Дамы и господа,
Как на национальном уровне, так и на глобальной арене Казахстан и его народ остаются привержены строительству мирного, процветающего и устойчивого будущего. В центре этой миссии - наша непоколебимая приверженность Повестке дня до 2030 года, которая воплощает наши общие стремления к человечеству. Так как мы идём к 80-й годовщине Организации Объединённых Наций в следующем году, я призываю все государства объединиться для полной реализации этой амбициозной повестки. У нас есть шанс превратить этот предстоящий исторический рубеж в настоящее торжество общих достижений. Пусть Саммит будущего и эта сессия Генеральной Ассамблеи ООН станут началом трансформационного пути к светлому и более инклюзивному будущему для всех нас, наших детей и будущих поколений.
Благодарю вас за внимание.</t>
  </si>
  <si>
    <t>https://prg.kz/Document/?doc_id=36401014</t>
  </si>
  <si>
    <t xml:space="preserve">     Уважаемая госпожа Президент!
Господин Генеральный секретарь!
Уважаемые делегаты!
На протяжении восьми десятилетий Организация Объединенных Наций играет ключевую роль в решении глобальных проблем человечества.
Все эти годы ООН возглавляла наши совместные усилия, направленные на укрепление коллективной безопасности, нераспространение ядерного оружия, поддержание мира, обеспечение прогресса, сокращение бедности, устойчивое развитие и защиту прав человека.
Но мы также должны признать правду: мир вокруг нас претерпел глубокие изменения, и, к сожалению, он меняется не в лучшую сторону.
Именно поэтому Организация Объединенных Наций и сегодня остается символом надежды для миллионов людей по всей планете.
Эта историческая встреча – уникальная возможность вновь подтвердить приверженность основополагающим принципам и целям нашей универсальной и поистине незаменимой организации.
Однако мы не можем закрывать глаза на реальный кризис доверия к многосторонним институтам.
Серьезные нарушения международного права стали "новой нормой", подрывая мировую стабильность и ослабляя доверие между народами, политическими лидерами и государствами.
В это непростое время мы все должны способствовать укреплению позиции ООН, чтобы она могла лучше адаптироваться к реалиям сегодняшнего непредсказуемого мира.
Дух взаимопонимания и стремление к сотрудничеству должны преобладать над разжиганием войны. Лидеры государств несут ответственность за продвижение к миру.
Нынешнее поколение лидеров не имеет права на бездействие, поскольку будущим поколениям придется заплатить за это гораздо более высокую цену.
В этой связи всеобъемлющая реформа Организации Объединенных Наций является стратегической необходимостью, а не предметом бесконечных размышлений.
Нам необходимо создать новую группу единомышленников, которые будут высокопрофессионально и без колебаний выдвигать конкретные предложения по реформированию ООН, чтобы она лучше соответствовала вызовам сегодняшнего дня и задачам завтрашнего.
Центральным элементом этих решительных усилий по обновлению ООН должна стать реформа Совета безопасности.
Крупные государства Азии, Африки и Латинской Америки должны быть представлены в Совете безопасности на основе  ротации.
Кроме того, Казахстан твердо убежден в том, что голоса ответственных средних держав также должны быть серьезно усилены в Совете безопасности.
Фактически, средние державы уже начали играть более значительную позитивную роль в международных отношениях, обеспечивая баланс и укрепляя доверие. 
Они могут стать мостами внутри ООН, в то время как великие державы разобщены или не способны решить насущные проблемы, волнующие всех.
Прежде всего, для поддержания авторитета ООН в XXI веке государства-члены должны предпринять реальные шаги к прочному миру и безопасности.
В противном случае ООН будет обречена вечно устранять последствия, а коренные причины проблем будут бесконечно множиться.
Мы можем начать этот процесс уже сегодня, вновь подтвердив нашу непреклонную приверженность Уставу Организации Объединенных Наций.
Основополагающие принципы суверенитета, территориальной целостности и мирного урегулирования споров должны соблюдаться неукоснительно, без каких-либо исключений. Выборочное применение устава подрывает его авторитет.
Миру нужен новый консенсус, основанный на доверии, открытости и общей ответственности.
Например, положения устава, касающиеся "вражеских государств", являющиеся историческим наследием Второй мировой войны, уже признаны устаревшими подавляющим большинством международного сообщества.
Поэтому пришло время серьезно обсудить вопрос о пересмотре Устава.
Сегодня мы сталкиваемся с тревожной реальностью: рушатся договоры об ограничении вооружений, а вместе с ними – и основы стратегической стабильности.
В 2024 году мировые военные расходы достигли рекордных 2,7 триллиона долларов. Насилие обходится человечеству почти в 20 триллионов долларов.
Поэтому восстановление надежной глобальной архитектуры безопасности должно оставаться главным приоритетом для международного сообщества.
Мы выступаем за возобновление диалога на высоком уровне между ядерными державами и за активизацию многосторонних действий, направленных на значительное снижение угрозы применения ядерного оружия.
В более широком плане мы должны приступить к сложной работе по искоренению воинственного менталитета. Мы можем сделать это, внимательно отслеживая, сколько наши страны инвестируют в мир.
Казахстан готов принять новый диалог по ядерному разоружению и нераспространению. Мы можем сосредоточиться на неформальных всеобъемлющих дискуссиях, которые укрепят Договор о нераспространении ядерного оружия (ДНЯО) и обеспечат прогресс в реализации Договора о всеобъемлющем запрещении ядерных испытаний (ДВЗЯИ). 
Мы также призываем к реализации нашего предложения об учреждении Международного агентства по биологической безопасности. 
Казахстан по-прежнему обеспокоен кризисом вокруг Украины, который продолжает наносить серьезный ущерб гражданским лицам, подрывать глобальное доверие и ослаблять международную безопасность.
Тем не менее следует продолжать двусторонние и международные дипломатические усилия по разрешению данного конфликта, проявлять политическую гибкость, что отвечает долгосрочным интересам обоих государств.
Территориальные споры никогда не бывают легкими для разрешения, они требуют взаимной сдержанности и ответственности ради будущих поколений.
Психология вражды затягивает всех участников конфликтов в пропасть, не оставляя шансов на достижение мира.
Гуманитарный кризис в Газе достиг ужасающих масштабов, которые невозможно игнорировать.
Этот конфликт имеет сложные исторические корни. Мы не можем игнорировать первопричину этой вражды.
Казахстан призывает к полной защите всех гражданских лиц и обеспечению беспрепятственного доступа к гуманитарной помощи в строгом соответствии с международным гуманитарным правом.
Мы вновь подтверждаем нашу поддержку решения на основе сосуществования двух государств при центральной роли ООН.
Казахстан признает дипломатические инициативы, направленные на региональное примирение на Ближнем Востоке, включая Арабскую мирную инициативу, Нью-Йоркскую декларацию, Соглашения Авраама и другие.
Они демонстрируют, что лидерство и политическая воля могут превратить разделение в сотрудничество и общую выгоду.
Мы также приветствуем нормализацию отношений между Азербайджаном и Арменией при посредничестве президента Соединенных Штатов. 
Это доказывает, что даже застарелые конфликты можно урегулировать с помощью дипломатии и здравого смысла. 
Руководствуясь этим принципом, Казахстан неизменно выступает за дипломатию вместо эскалации и за диалог вместо силы. 
Нынешняя геополитическая напряженность порой подталкивает некоторых лидеров к утверждению о неизбежности столкновения цивилизаций. 
Однако это разделение — не данность и не судьба. Это политический выбор. 
Глобальные общественные блага, такие как наука, медицина, спорт, религия и культура, не должны становиться предметом геополитического раскола и санкций. 
Эти сферы человеческой деятельности объединяют нас под эгидой гуманизма.
Когда политические лидеры делают безответственные заявления или предпринимают опрометчивые решения, манипулируя религией и идентичностью в целях политической выгоды, они фактически подрывают доверие и добрую волю в стремлении к миру.
Политическое лидерство должно быть основано на взаимопонимании и уважении, а не на взаимной подозрительности и высокомерии.
Толерантность и мудрость, являющиеся основой прочного мира, должны опираться на верховенство права.
Уважаемые коллеги!
Мы наблюдаем растущую фрагментацию и политическую ангажированность инвестиционных потоков.
В результате объем прямых иностранных инвестиций в мире в прошлом году сократился до 1,5 триллиона долларов. Казахстан решительно выступает за расширение международного сотрудничества в области инвестиций. За 30 лет независимости в нашу экономику было привлечено более 400 миллиардов долларов.
Наша приверженность принципам открытого рынка абсолютно тверда и останется краеугольным камнем нашей государственной политики.
Расположенный в самом центре Евразии, Казахстан призван играть ключевую роль в качестве логистического хаба, обслуживающего 80% всего сухопутного транзита между Азией и Европой.
Мы инвестируем десятки миллиардов долларов в транспортную и транзитную инфраструктуру, включая инициативу "Один пояс, один путь", транспортный коридор "Север-Юг" и Транскаспийский транзитный коридор. 
Казахстан продолжит развивать региональные цепочки поставок, которые являются сердцем формирующейся глобальной транспортной сети.
К 2029 году мы планируем построить 5 тысяч километров новых железнодорожных линий.
Казахстан провозгласил Цели в области устойчивого развития одним из основных приоритетов своей национальной повестки дня, интегрировав их задачи в государственное планирование и формирование бюджета.
При поддержке генерального секретаря ООН и государств-партнеров в Казахстане открыт новый Региональный центр Организации Объединенных Наций по ЦУР для Центральной Азии и Афганистана в Алматы.
Сегодня Центральная Азия демонстрирует обновленное чувство единства и взаимного доверия, становясь активным участником международного мира и прогресса. 
"Центральноазиатская пятерка" укрепляет сотрудничество, доказывая, что региональная солидарность может быть мощной силой для развития и безопасности. 
Это позволило нашему региону вести диалог с ключевыми глобальными партнерами в уникальном формате "Центральная Азия плюс".
Казахстан считает, что инклюзивное развитие Афганистана является залогом долгосрочного мира и стабильности в регионе.
Мы продолжаем оказывать поддержку афганскому народу посредством гуманитарной помощи и сотрудничества в области торговли, продовольственной безопасности, инфраструктуры и транспортного сообщения.
Уважаемые делегаты!
Прошлый год стал самым жарким за всю историю человечества. При этом Центральная Азия нагревается вдвое быстрее средних общемировых темпов. 
Таяние ледников в горах Алатау ускоряется, что многократно увеличивает угрозы водной и продовольственной безопасности миллионов людей.
Казахстан извлек важные уроки из трагедии Аральского моря. Благодаря нашим последовательным усилиям, в том числе на международном уровне, нам удалось сохранить северную часть моря.
В качестве председателя Международного фонда спасения Арала Казахстан продолжит активно работать в этом приоритетном направлении.
Тем временем Каспийское море стремительно мелеет. Это уже не просто региональная проблема, это глобальный сигнал тревоги.
Поэтому мы призываем к срочным мерам по сохранению водных ресурсов Каспия совместно с нашими партнерами в регионе и всем международным сообществом.
В прошлом году Казахстан совместно с Францией, Саудовской Аравией и Всемирным банком организовал One Water Summit.
Для предотвращения будущих водных кризисов необходимы более тесная координация, инвестиции и устойчивые решения.
В целях продвижения этой повестки Казахстан в партнерстве с ООН и другими международными организациями в апреле следующего года проведет в Астане Региональный экологический саммит.
В рамках наших более широких обязательств в области охраны окружающей среды Казахстан реализует общенациональную кампанию "Таза Қазақстан".
Это общенациональное движение объединяет миллионы волонтеров, которые участвуют в акциях по уборке, снижению количества отходов и экологическому просвещению.
По инициативе Казахстана ООН объявила 2026 год Международным годом волонтеров в целях устойчивого развития. Мы призываем все государства-члены к сотрудничеству в этом важном начинании.
В связи с этим я предлагаю Генеральной ассамблее принять резолюцию, провозглашающую 22 апреля Международным днем озеленения планеты.
Дорогие друзья!
Казахстан рассматривает искусственный интеллект не просто как технологическое достижение, а как прорыв, способный стать двигателем прогресса человечества.
Однако развитие ИИ несет в себе риски, в частности, углубление технологического, экономического и геополитического неравенства.
Мы также не должны допустить, чтобы этические нормы отставали от этой эволюции.
Актуальные вопросы справедливости, ответственности и защиты прав человека должны решаться оперативно и решительно.
Мы должны прилагать коллективные усилия, чтобы каждая страна смогла воспользоваться преимуществами ИИ.
Казахстан приветствует создание под эгидой ООН Глобального диалога по управлению ИИ.
Мы готовы активно участвовать в работе этой платформы, чтобы обеспечить безопасность, инклюзивность и человекоцентричность в сфере ИИ.
В Казахстане искусственный интеллект будет интегрирован во все секторы экономики и государственные услуги.
Базовая инфраструктура для реализации этого плана уже формируется, и наша талантливая молодежь готова воплотить эти замыслы в реальность.
Наша стратегическая цель – в течение трех лет превратить Казахстан в полностью цифровую державу.
Масштабная цифровизация и широкое использование ИИ стали национальным приоритетом в нашей стране.
Электронное правительство является ключевым элементом нашей национальной стратегии развития.
Порядка 90% государственных услуг уже оказываются в цифровом формате.
Недавно в Казахстане был запущен самый мощный национальный суперкомпьютер.
Однако ИИ и автоматизация могут поставить под угрозу рабочие места во многих странах.
Именно поэтому цифровой прогресс должен идти рука об руку с профессиональным образованием.
Исходя из этого, Казахстан считает крайне важным не только увеличивать занятость, но и повышать ценность технических профессий.
Дамы и господа!
В условиях глобальной турбулентности мы проводим  смелую политику преобразований с целью построения Справедливого Казахстана.
За последние три года были проведены беспрецедентные для нашего региона политические и экономические реформы.
В ходе общенационального референдума был утвержден однократный семилетний президентский срок, что укрепило демократическую подотчетность.
Мы придерживаемся формулы "Сильный президент – влиятельный парламент – подотчетное правительство".
Руководствуясь стремлением модернизировать Казахстан, я также предложил вынести на общенациональный референдум вопрос о создании однопалатного парламента.
Наша цель – постоянное совершенствование политической системы для повышения ее прозрачности, эффективности и соответствия запросам общества.
Главный принцип этих реформ: закон и порядок должны быть превыше всего.
Мы считаем, что только управление, основанное на здравом смысле и верховенстве права, может обеспечить общественный порядок и защитить права всех граждан.
Это создает благоприятные условия для международных инвестиций, торгового сотрудничества и динамичного развития страны в более широком контексте.
Защита интересов законопослушных граждан – наш главный приоритет, основанный на справедливости, подотчетности и взаимном уважении. Экономика Казахстана демонстрирует устойчивость и стабильность.
Ожидается, что в текущем году экономический рост превысит 6%, что подтверждает устойчивость нашей экономики, являющейся крупнейшей в регионе.
Но мы не намерены останавливаться на достигнутом. Мы продолжим наши усилия, направленные на обеспечение долгосрочного роста.
Энергетическая стратегия Казахстана основана на четырех столпах: нефти и газе, угле, уране и критически важных минералах. Эти ценные ресурсы являются основой надежного энергетического партнерства.
Изменение климата и "зеленая" повестка не могут быть приняты всеми странами, обладающими огромными энергетическими ресурсами, включая уголь, использование которого сегодня может быть значительно чище благодаря передовым технологиям.
Именно поэтому мы взяли на себя обязательство провести декарбонизацию нашей страны в течение 35 лет. Возобновляемая энергия сама по себе не является решением всех энергетических проблем.
Сельское хозяйство является еще одной движущей силой нашего развития с огромным потенциалом для мировых рынков.
Экспортный зерновой потенциал Казахстана оценивается в 12 миллионов тонн, охватывая большое количество международных рынков и создавая новые возможности для расширения торговли за счет улучшения транспортного сообщения.
Мы продолжим наше сотрудничество со всеми основными международными партнерами и заинтересованными сторонами в регионе в целях дальнейшей диверсификации нашей внешней торговли, обеспечения ее большей инклюзивности и устойчивости.
Ваши превосходительства!
Мы будем твердо следовать выбранному курсу, углубляя реформы государственного управления внутри страны и поддерживая глобальное управление за ее пределами.
Казахстан продолжит выступать в роли посредника и миротворца. Наш выбор – баланс, а не доминирование, сотрудничество, а не конфронтация, мир, а не война.
Мы готовы в партнерстве с другими членами международного сообщества подтвердить, что Организация Объединенных Наций – маяк мира, справедливости и сотрудничества.
Спасибо!</t>
  </si>
  <si>
    <t>https://inbusiness.kz/index.php/ru/news/polnyj-tekst-vystupleniya-tokaeva-na-obshih-debatah-80-j-sessii-generalnoj-assamblei-oon</t>
  </si>
  <si>
    <t>Уважаемый председатель Люккетофт,
Поздравляю Вас с избранием на почетную должность председателя 70-й сессии Генеральной Ассамблеи Организации Объединенных Наций. Уверен, что под Вашим председательством эта юбилейная сессия оправдает ожидания всех нас.
Уважаемые делегаты!
Дамы и господа!
Поздравляю всех нас с 70-летием Организации Объединенных Наций. Создание этой организации является одним из величайших достижений человечества, она сплотила народы, объединив их вокруг общих устремлений и принципов. Прошедшие 70 лет охарактеризовались важнейшими позитивными развитиями: был положен конец колониализму, расовой дискриминации и апартеиду. Народам мира была дана возможность самоопределиться, построить государственность и распоряжаться своей судьбой в ими же созданных государствах, доведя число членов ООН с 51-го до 193-х.
Наряду со всеми этими достижениями мы должны признать, что в настоящее время мир стоит перед новыми вызовами: терроризм, экстремизм, нетерпимость, экономические кризисы, изменение климата, незаконный оборот наркотиков и оружия, траффикинг людей и человеческих органов, миграционный кризис и др. Ряд этих вызовов длинный. И именно необходимость борьбы с ними обязывает нас решительно подтвердить нашу совместную приверженность миссии этой организации и ее Уставу.
Дамы и господа!
В прошлом году, накануне 100-летней годовщины Геноцида армян, я с этой трибуны поименно поблагодарил страны, признавшие Геноцид армян, призвав все международное сообщество посредством признания и осуждения придать новый размах борьбе против повторения геноцидов.
Сегодня с этой же трибуны я благодарю Папу Римского Франциска и говорю об отслуженной им исторической мессе, Европейский парламент и говорю о принятой им резолюции, Президента Германии и заверяю, что его известное выступление отныне будет на страницах истории нашего народа, законодательные органы Австрии, Боливии, Бразилии, Люксембурга, Нидерландов, Чили, провинциальные и городские советы многочисленных стран, а также десятки и сотни общественно-политических структур.
Благодарю президентов России, Франции, Кипра, Сербии, а также делегации многочисленных стран за участие 24 апреля в Ереване в церемонии поминовения жертв Геноцида армян.
О нашей решимости держать предотвращение геноцидов в международной повестке дня свидетельствуют резолюции, периодически предлагаемые нами в Совете по правам человека, последняя из которых была принята в этом году. На этом основании эта Ассамблея недавно провозгласила 9 декабря Международным днем памяти и достоинства жертв преступления геноцида и предотвращения этого преступления.
Уважаемые присутствующие!
Мирное урегулирование нагорно-карабахской проблемы продолжает оставаться одним из важнейших вопросов в нашем регионе. Должен отметить, что в результате проводимой Азербайджаном агрессивной политики сегодня не только нет существенного прогресса в переговорном процессе по урегулированию проблемы, но и зафиксирована тенденция роста напряженности. Для удушения народного гнева, зреющего в условиях пошатнувшейся построенной на нефти экономики, диктаторский режим этой страны сделал позорные притеснения инструментом, который, однако, отныне считает недостаточным. Сейчас ему нужны отвлекающие внимание своего общества картины с линии соприкосновения. Хочу привлечь внимание Ассамблеи к тому факту, что Азербайджан, в дополнение к разнообразным провокационным действиям, уже начал применять крупнокалиберную артиллерию, держа под огнем мирные населенные пункты приграничных районов как Республики Армения, так и Нагорно-Карабахской Республики. Всего несколько дней назад в приграничной зоне Армении жертвами азербайджанской бомбардировки стали три женщины, мирно работавшие в своем доме, в своем саду армянские женщины. Вопрос: может ли кто разумный найти в подобном зверстве неизвращенную логику? Для нас уже очевидно: руководство Азербайджана безвозвратно утратило не только чувство реальности, но и все человеческие нормы.
В случае продолжения подобной агрессивной политики Азербайджаном, полностью игнорирующим 5 совместных заявлений президентов США, России и Франции и усилия Минской группы ОБСЕ, Армении не остается иного выбора: мы осуществим необходимые правовые и военно-политические шаги для обеспечения безопасности и мирного развития Республики Армения и Нагорно-Карабахской Республики.
Хотя всем давно очевидно, какая из сторон провоцирует нарушения перемирия, приведу всего несколько фактов.
Разве не странно, что Азербайджан годами упорно отказывается от предложения сопредседателей Минской группы ОБСЕ – отвести снайперов и создать механизм расследования нарушений перемирия. Возникает вопрос: чего боится Азербайджан?
Разве не странно, что в ходе проведенных в Азербайджане Европейских игр, когда им была необходима картина стабильности, на границе не прозвучало почти ни одного выстрела, в то время как сразу после игр они возобновились с новой силой. Не ожидаю, что вы поверите утверждениям какой-либо стороны, всего лишь ожидаю, что будете полагаться на логику.
Разве не странно, что в 21-м веке наш сосед каждый день, неустанно гордится огромным накоплением вооружений и резким ростом военного бюджета, что упорно продолжает выступать с угрозами возобновления войны, причем делает это на уровне главы государства.
Думаю, что сейчас всем очевидно, почему Армения годами последовательно призывает международное сообщество делать не обобщенные, а адресные заявления о нарушениях перемирия. Мы должны понимать, что попытки скрыть угрожающие миру и безопасности симптомы могут иметь катастрофические последствия.
Уважаемые коллеги!
Сегодня мы является очевидцами творимых на Ближнем Востоке нечеловеческих зверств. Религиозная нетерпимость привела к необратимым последствиям. Мы самым непосрественным образом ощущаем происходящие зверства, поскольку по их причине не только уничтожаются образцы армянского духовного и культурного наследия, но и погибают и становятся беженцами проживающие в Ираке и Сирии многочисленные армяне. В тяжелый для народа Сирии период трудности с ним разделяет также веками живущее на этих территориях армянство. Мы в меру своих сил пытаемся помочь беженцам, по сей день Армения приняла более 16 тысяч беженцев из Сирии. По числу принятых беженцев Армения является одной из первых в Европе.
Армянам хорошо знакома эмигрантская судьба беженцев. Число жертв Геноцида армян было бы несравнимо большим, а судьба переживших – намного более жестокой, если бы в этот тяжелый период рядом с нашим народом не стояли наши дружественные страны. Сегодня нужно воздать должное Германии, Швеции и другим странам за проявляемый гуманизм. Давая убежище сотням тысяч беженцев, они подтвердили, что помощь обязательна как с правовой, так и гуманитарной точки зрения.
Уважаемые коллеги!
В этом году мы все стали свидетелями того, как в результате единых и соразмерных действий стало возможным урегулировать один из сложных вопросов международного значения. Вокруг ядерной программы нашего непосредственного соседа – Исламской Республики Иран было достигнуто соглашение исторического значения. Эта переломная договоренность будет несомненно способствовать разрешению кризисных ситуаций на мировом уровне и укреплению взаимного доверия, что стало возможным благодаря длительным и последовательным политическим и дипломатическим усилиям.
Все это свидетельствует о том, что при наличии соответствующей воли, благодаря сглаживанию противоречий и акцентированию духа сотрудничества действительно можно найти решения сложнейших проблем. С этой трибуны хочу еще раз акцентировать важность приложения дипломатических усилий, особенно с целью исключения закрытых границ. Армения, соседи которой осуществляют незаконную блокаду, считает недопустимой в 21-м веке недальновидную политику, препятствующую межкультурным, человеческим контактам и создающую искусственные препятствия для торговых связей. В этом контексте придаем важное значение периодическому проведению форумов ООН по вопросам развивающихся стран, не имеющих выхода к морю. Мы готовы приложить наши усилия в этом деле, в том числе также проводя промежуточные рабочие семинары по данной теме.
Господин председатель!
Завершая свою речь, хочу присоединиться ко всем тем выступающим, которые призывают к единой борьбе против тьмы, вандализма и ненависти. В этой борьбе нет больших и маленьких стран, каждая имеет свою роль. Армения готова принять участие в нашей общей борьбе.
Спасибо.</t>
  </si>
  <si>
    <t>https://www.president.am/ru/statements-and-messages/item/2015/09/29/President-Serzh-Sargsyan-UN-General-Assembly-speech/</t>
  </si>
  <si>
    <t>Налбандян</t>
  </si>
  <si>
    <t xml:space="preserve">Господин Председатель, 
Генеральный секретарь,
Дамы и господа,
Я хотел бы поздравить и пожелать удачи господину Питеру Томсону, Председателю этой сессии Генеральной Ассамблеи, и выразить благодарность его предшественнику Могенсу Ликетофту.
Пользуясь случаем, я хотел бы также выразить нашу высокую признательность Генеральному секретарю ООН Пан Ги Муну за умелое руководство.
Господин Председатель,
Два дня назад Армения отметила 25-летие своей независимости. За этот сравнительно короткий промежуток времени многое было сделано для укрепления демократических институтов, верховенства закона, эффективного управления, защиты прав человека и продвижения экономических реформ.
Нам удалось зафиксировать значительный прогресс в плане повестки социально-экономического развития. Тем не менее все еще существуют нерешенные проблемы. Потребности социально незащищенных лиц были положены в основу перспективного развития стратегии Армении на 2014-2025 годы. Вместе с тем мое правительство дало старт Плану действий для Национальной стратегии по защите прав человека. В этом плане Армения продолжает активно работать со всеми механизмами по защите прав человека ООН, включая особые процедуры и договорные органы.
Наша новая конституционная реформа, проведенная после широких инклюзивных общественных дискуссий, направлена на достижение новой и лучшей системы управления, с повышенной прозрачностью и подотчетностью. Она была одобрена на всенародном референдуме в декабре прошлого года и приветствовалась соответствующими международными органами.
Господин Председатель,
ООН играет значительную роль в изменении атмосферы, способствующей нетерпимости, расовой дискриминации, ксенофобии, насильственного экстремизма и терроризма.
Армения неоднократно осуждала преступления, совершаемые ДАИШ и другими террористическими группами, которые угрожают безопасности народов региона и за его пределами. Война в Сирии оказывает разрушительное воздействие на гражданское население страны, в том числе на национальные и религиозные меньшинства, которые сталкиваются с экзистенциальными угрозами из-за преступлений на почве идентичности. Насилие не обошло и сирийских армян, многие из которых погибли. Армянские поселения, церкви, школы и культурные учреждения были разрушены. Сто лет назад, после Геноцида армян, армянские беженцы нашли убежище во многих арабских странах. Сегодня тысячи армян, вместе с другими народами Ближнего Востока, вновь вынуждены покинуть свои дома. Более 20 тысяч человек, только из Сирии, нашли убежище в Армении. Поэтому, нам хорошо знакомо, что значит быть беженцем, и что такое принимать у себя беженцев.
Правительство Армении предприняло значительные меры по оказанию помощи беженцам и содействию их интеграции. Мы считаем, что необходимо установить более широкое международное сотрудничество для адекватного решения проблем, связанных с массовым перемещением. Полноценное выполнение Нью-Йоркской декларации по беженцам и мигрантам, принятой этим высоким органом несколько дней назад, является важной вехой на этом пути.
Мы хотели бы подчеркнуть важность устранения коренных причин массовых перемещений людей путем предотвращения преступлений против человечества, мирного урегулирования конфликтов и достижения долгосрочных политических решений.
Господин Председатель,
Армения постоянно поддерживает и вносит свой вклад в разработку механизмов предупреждения, в частности, регулярно инициируя резолюции по предупреждению геноцида в Совете по правам человека.
Как нация, пережившая первый геноцид 20-го века и продолжающая сталкиваться с отрицанием этого ужасающего злодеяния, Армения вновь подтверждает свою решительную поддержку борьбе против безнаказанности геноцида. В 2016 году будет отмечаться первая годовщина принятой по инициативе Армении резолюции Генеральной Ассамблеи ООН, по которой 9 декабря отмечается как Международный день памяти жертв геноцида.
По мере того как угроза насилия продолжает распространяться в разных частях мира, крайне объединить усилия для более эффективного обеспечения мира и безопасности. Именно в этом понимании Армения принимает участие в ряде миротворческих операций ООН или проходящих под мандатом ООН, таким образом внося свой активный вклад в дело построения международного мира и безопасности. Как отметил помощник Генерального секретаря ООН, «поддержка Армении важна не только в контексте ее вклада, но и для армянской истории и преодоленных в ее ходе вызовов». Действительно, история учит нас, что безопасность одного тесно связана с безопасностью других.
Господин Председатель,
В этом году отмечается 50-ая годовщина принятия Международного пакта о гражданских и политических правах, а также 30-ая годовщина Декларации о праве на развитие. Эти важные документы провозглашают, что «все народы имеют право на самоопределение. В соответствии с этим правом они свободно определяют свой политический статус и осуществляют свое экономическое, социальное и культурное развитие». Широко известно, что Устав ООН подчеркивает уважение к принципу равноправия и самоопределения народов в качестве целей этой организации.
Агрессивный военный ответ государства на мирные устремления народов к осуществлению своего права на самоопределение лишь узаконивает подобное стремление и лишает агрессора любых притязаний на власть над этим народом. Эксперт ООН по поощрению демократического и справедливого международного порядка справедливо отметил, что вместо того, чтобы воспринимать самоопределение как источник конфликта, вооруженный конфликт следует рассматривать как следствие нарушения права на самоопределение.
Азербайджан упрямо отказывается признавать право народа Нагорного Карабаха на самоопределение. В рамках азербайджанской политики этнических чисток и агрессии, начиная с конца 1980-х и начала 1990-х годов, армяне подверглись бойне и были изгнаны из своих домов. Лауреат Нобелевской премии мира Андрей Сахаров назвал это угрозой нового геноцида армянского народа.
В этом году в начале апреля грубейшим образом нарушив соглашение о прекращении огня, Азербайджан развязал еще одну крупномасштабную агрессию против Нагорного Карабаха, без разбора беря на прицел гражданскую инфраструктуру и население. Среди жертв были 12-летний мальчик и 92-летняя женщина. Взятые в плен трое солдат вооруженных сил Нагорного Карабаха были обезглавлены в стиле ДАИШ, что впоследствие было продемонстрировано в городах и селах и распространено посредством социальных сетей. Кроме того, лидер Азербайджана публично наградил исполнителей этого преступления. В ходе обмена телами погибших между Нагорным Карабахом и Азербайджаном, осуществлявшегося при посредничестве Международного комитета Красного Креста, было зарегистрировано, что на телах, переданных азербайджанской сторонoй, были неоспоримые следы пыток и глумлений. Подобные зверства выходят за рамки элементарных норм цивилизованного мира и представляют собой вопиющие нарушения норм международного гуманитарного права.
Апрельская агрессия серьезно подорвала мирный процесс. Для того, чтобы восстановить доверие к мирному разрешению конфликта, должны быть предприняты меры для предотвращения применения силы и создания благоприятных условий для продвижения мирного процесса. Это было главной целью двух саммитов на высшем уровне по Нагорному Карабаху, состоявшихся в Вене в мае и в Санкт-Петербурге в июне. Прежде всего, необходимо осуществить то, что было особенно подчеркнуто и согласовано на этих саммитах на высшем уровне: во-первых, полноценное соблюдение трехсторонних бессрочных соглашений о прекращении огня 1994-1995 гг.; во-вторых, создание механизма по расследованию нарушений режима прекращения огня; в-третьих, расширение полномочий личного представителя Действующего председателя ОБСЕ.
Несмотря на все препятствия, народ Нагорного Карабаха сумел защитить себя и создать свободное и демократическое общество.
Армения вместе со странами-посредниками - Россией, Соединенными Штатами и Францией - сопредседателями Минской группы ОБСЕ, продолжит работать в направлении исключительно мирного урегулирования нагорно-карабахского конфликта.
Сопредседатели предложили достаточно цивилизованную формулу для урегулирования - бюллетени вместо патронов. Предложение, представленное президентами стран-сопредседателей Минской группы, предусматривает определение в будущем окончательного правового статуса Нагорного Карабаха путем юридически обязывающего волеизъявления его населения. Менталитет, который поддерживает средневековое варварство, свидетельством чего мы стали в апреле, вряд ли может принять цивилизованные подходы современного мира.
Господин Председатель,
Армения приветствует включение Венской программы действий для развивающихся стран, не имеющих выхода к морю, в «Повестку 2030» в качестве важного шага по продвижению устойчивого и инклюзивного развития. Для обеспечения результативного выполнения Венской программы действий и ее включения в нашу работу, правительство Армении недавно одобрило Национальную стратегию по ее реализации. Мы осуждаем политику, которые предусматривают односторонние экономические меры в качестве инструмента политического давления.
«Повестка 2030» вновь подтверждает, что подобные меры наносят ущерб устойчивому развитию. Осуществляемая Турцией в отношении Армении односторонняя сухопутная блокада является серьезным нарушением международного права. Это продолжает серьезно тормозить региональные транзитные коммуникационные пути, экономическое сотрудничество и интеграцию.
Господин Председатель,
Армения признает и приветствует центральную роль ООН в имплементации новой долгосрочной повестки. Мы не недооцениваем вызовы, с которыми сталкиваемся все вместе, и одновременно нам не следует преуменьшать возможности. Спустя более чем семь десятилетий мы должны продемонстрировать ту же проницательность и видение для защиты будущего этой Организации и обеспечения наилучшего будущего для народов Объединенных Наций. Армения полностью привержена этим целям.
Благодарю вас.
 </t>
  </si>
  <si>
    <t>https://www.mfa.am/ru/speeches/2016/09/23/unga71/6491</t>
  </si>
  <si>
    <t xml:space="preserve">Уважаемый председатель Генеральной Ассамблеи,
Уважаемые дамы и господа,
Поздравляю и желаю успеха господину Мирославу Лайчаку в связи с избранием председателем 72-ой сессии Генеральной Ассамблеи.
Пользуясь случаем, вновь поздравляю господина Антонио Гутереша с избранием Генеральным секретарём ООН. Уважаемый господин Генеральный секретарь, мы желаем Вам успеха в реализации этой важной миссии. Провозглашённые Вами приоритеты пользуются поддержкой Армении.
Уважаемые дамы и господа,
2017 год для нас ознаменован 25-ой годовщиной членства Армении в Организации Объединённых Наций. 2 марта 1992 года в этой центральной штаб-квартире семьи Объединённых Наций был поднят армянский триколор, как логический и желанный результат реализации основополагающего права нашего народа на самоопределение.
В течение прошедших лет Армения стала полноправным и ответственным членом международного сообщества. Вызовов было много, однако мы им с честью противостояли. Самым важным и трудным был Нагорно-Карабахский конфликт.
Я уже в пятый раз выступаю с этой высокой трибуны и вновь вынужден говорить о Нагорно-Карабахском конфликте. Я бы предпочёл говорить о мире, прогрессе и сотрудничестве, однако, к сожалению, мы ещё очень далеки от этого этапа. Следовательно, я считаю своим долгом объяснить, почему мы так далеки от этого желанного пристанища.
Новый этап борьбы народа Арцаха за самоопределение начался почти 30 лет назад. В ответ на мирные призывы к осуществлению неотъемлемого права армянства Арцаха на самоопределение и осуществляемые в этом направлении шаги Азербайджан прибег к применению силы.
Вершиной этой политики официального Баку были погромы армянского населения Азербайджана, этнические чистки и массовые выселения. Из целых районов, некогда армянонаселённых, армяне изгнаны, а правительство Азербайджана продолжает последовательно уничтожать находящееся под его контролем огромное культурное и духовное армянское наследие.
Очевидно, что в этих условиях народ Арцаха не имел иного выбора, кроме как обратиться к самообороне.
Тяжёлая война 1992-1994 годов, её последствия и затем ведущиеся переговоры не стали уроком для Азербайджана. Развязанная Азербайджаном в апреле прошлого года четырёхдневная война доказала, что Азербайджан продолжает преследовать свою цель истребления народа Арцаха.
В ходе развёрнутых в 2016 году действий вооружённые силы Азербайджана совершили ряд военных преступлений в отношении гражданского населения и военнопленных. Не могу здесь не отметить, что один совершивший подобное варварство военнослужащий удостоился высокой государственной награды. Эту награду ему перед видеокамерами вручил лично президент Азербайджана.
Уважаемый господин председатель,
Уже на протяжении лет армянофобия в Азербайджане превратилась в основополагающий и неотъемлемый компонент государственной политики. Она глубоко укоренилась в школьных учебниках и отравляет мышление молодого поколения этой страны. Уже на протяжении лет мы сигнализируем об этом в ряде занимающихся вопросами расизма и ксенофобии профессиональных межправительственных и неправительственных организаций.
Всё это приводит нас к тому убеждению, что реализация права народа Арцаха на самоопределение имеет жизненное значение. В этом вопросе я выражаю единую точку зрения не только Армении и Арцаха, но и армянства всего мира. Я привёз этот мессидж из Еревана, где в эти дни проходит конференция Армения-Диаспора.
Все должны осознать, что теперь Азербайджан для развивающегося демократическим путём Арцаха, просто, является символом средневековой отсталости. Азербайджан не имеет никаких правовых и нравственных оснований для представления претензий в отношении Арцаха. Арцах никогда не был частью независимого Азербайджана, следовательно, несправедливы устремления насильственно прицепить Арцах к этому государственному образованию.
Уважаемые дамы и господа,
Свободный Арцах сегодня состоявшееся демократическое общество. Наш общий девиз и обязательство "Никто не должен быть обделён вниманием", должен стать краеугольным камнем деятельности этой семьи Объединённых наций. Именно по этой причине, я уверен, народ Арцаха никогда не будет изолирован от реализации целей стабильного развития.
Я глубоко убеждён, что нерешённость Нагорно-Карабахского конфликта не должна иметь никакого влияния на права населения Арцаха. Я говорю, в первую очередь, о неотъемлемом праве любого человеческого существа. Я говорю о праве на жизнь, о праве на организацию общественной жизни, о праве свободно формировать собственную власть, о праве свободно общаться с внешним миром и о многих других правах.
Армения способствовала и будет последовательно способствовать улучшению жизни народа Арцаха, его стабильному и демократическому развитию. Никто не имеет права препятствовать осуществляемым в этих направлениях инициативам и программам. Правовой статус Арцаха, а более точно, отсутствие международного юридического признания, не является препятствием для реализации прав живущих там женщин и мужчин.
Мы убеждены, что мирное урегулирование Нагорно-Карабахского конфликта не имеет альтернативы. Сейчас с этой высокой трибуны подтверждаю нашу решимость в этом плане.
В то же время, все должны осознавать, что проблема Нагорного Карабаха - это проблема прав человека. Она может решиться только посредством одного из основополагающих и неотъемлемых прав человека - свободного самоопределения народа.
К какому бы варианту урегулирования мы ни пришли, всё равно, Республика Арцах не может иметь более низкий статус и пользоваться меньшей свободой, чем имеет сегодня. Азербайджан должен признать и уважать право народа Арцаха определять своё будущее путём свободного волеизъявления, а безопасность арцахских армян должна быть гарантирована всеми возможными международными и внутренними механизмами.
Все остальные вопросы производны. Все остальные вопросы найдут своё логическое и справедливое решение параллельно с урегулированием проблемы.
Уважаемый господин председатель,
В последний раз, говоря с этой высокой трибуны, я коснулся процесса международного признания Геноцида армян и счёл своим долгом поимённо выразить благодарность всем тем странам, которые признали это чудовищное преступление, совершённое в Османской империи против моего народа.
С этой высокой трибуны Чести и Ответственности считаю своим долгом выразить благодарность тем странам, которые признали или подтвердили свою позицию относительно Геноцида армян.
Спасибо, независимо от формата этого признания и использованных формулировок.
Спасибо всем тем деятелям, государственным органам, территориальным объединениям или организациям многих и многих стран, которые во всеуслышание называют вещи своими именами. Это действительно важно, поскольку забвение открывает путь для новых преступлений геноцида.
В этой связи мы должны вспомнить, что в будущем году семья Объединённых наций будет отмечать 70-летие Конвенции о предупреждении преступления Геноцида и наказании за него. Армения в этой связи выступит с новой инициативой, и мы приглашаем всех присоединиться к нам и поддержать эту инициативу.
При этом, мы никогда признание Геноцида армян не превращали в предварительное условие для урегулирования двусторонних отношений Армении и Турции. Более того, именно благодаря инициированному Арменией процессу в октябре 2009 года подписали Цюрихские протоколы.
Эти документы до сегодняшнего дня не ратифицированы и отложены Анкарой в тёмные ящики. Правительство Турции выдвигает абсурдные предусловия для их ратификации, которые совершенно не вытекают из буквы и духа протоколов. Я выразил чёткое отношение армянского народа ко всему этому три года назад с этой высокой трибуны.
Сейчас пришло время дать дополнительное разъяснение. Руководство Турции ошибается, если думает, что оно может вечно держать в заложниках эти документы и ратифицировать по удобному для них случаю. Переговоры по протоколам велись в нынешних условиях, для нахождения решений существующих проблем.
В условиях продолжительного отсутствия какого-либо позитивного сдвига в направлении их претворения в жизнь Армения объявит эти два протокола недействительными и не имеющими никакой юридической силы. Мы вступим в весну 2018 года без этих, как показал опыт, к сожалению, тщетных протоколов.
Армения, тем не менее, остаётся уверенной, что любые два соседних государства обязаны наладить и иметь регулярные отношения, для обсуждения всех возможных между ними разногласий и с целью найти их решения.
Мы руководствуемся именно этой убеждённостью, реализуя своё участие в самых разных интеграционных процессах. Армения сегодня является активным членом Евразийского экономического союза и своим заинтересованным участием старается способствовать стимулированию усилий по созданию для людей ещё больших благ, путём беспрепятственного перемещения товаров и услуг на этом крупном экономическом пространстве. Позитивные результаты мы уже имеем, что внушает хорошие надежды на будущее. Мы также планируем в ноябре месяце подписать с Евросоюзом Соглашение о всеобъемлющем и расширенном партнёрстве, которое, по нашему убеждению, поможет нам придать новую энергию реализуемым в Армении институциональным реформам.
Уважаемые дамы и господа,
К сожалению, продолжает оставаться серьёзным вызовом существующая на Ближнем Востоке нестабильность.
Мы с большой болью следим за Сирийским кризисом и гуманитарной ситуацией, от которой страдает гражданское население, в том числе также армянская община страны. Армения в рамках своих возможностей стремится в какой-то мере смягчить страдания сирийского народа, оказывая гуманитарную помощь. Мы также готовы участвовать в возможных обсуждениях вокруг формирования миротворческих усилий в Сирии под эгидой и соответствующим мандатом ООН.
Уважаемый господин председатель,
Не сомневаюсь, что наша семья Объединённых Наций может обеспечить то новое качество сотрудничества, которое позволит противостоять современным глобальным и региональным вызовам. Именно с этой целью Армения участвует в ряде миротворческих миссий ООН. Более того, мы готовы увеличить своё участие в миссиях в ЮНИФИЛ в Ливане и МИНУСМА в Мали.
Армения, будучи расположенной в трудном регионе страной, не имеющей выхода к морю, обладая ограниченными природными ресурсами, постоянно заявляла, что её самым ценным ресурсом является человек. Вероятно, не только в Армении, но и во всей семье Объединённых Наций в центре всего нужно держать человека, нужно стремиться к миру и достойной жизни для всех на стабильной планете.
Спасибо.
***
Президент Серж Саргсян 19 сентября после выступления на 72-ой сессии Генеральной ассамблеи ООН в центральной штаб-квартире организации встретился с представителями организаций армянских общин США и предстоятелями церковных епархий, которые пришли послушать выступление Президента Республики.
Деятели общины побеседовали с Президентом о ряде вопросов общеармянского значения, коснулись тем, обсуждавшихся в рамках повестки VI Всеармянской конференции Армения-Диаспора. Президент Серж Саргсян ответил также на интересовавшие участников встречи вопросы.
</t>
  </si>
  <si>
    <t>https://www.president.am/ru/press-release/item/2017/09/20/President-Serzh-Sargsyan-attended-UN-General-Assembly/</t>
  </si>
  <si>
    <t>Уважаемая госпожа председатель Генеральной ассамблеи,
Ваше превосходительство,
Дамы и господа,
Для меня большая честь выступить перед вами как лидер, который недавно стал премьер-министром Армении в результате народной революции, которая сейчас известна как “Армянская бархатная революция”.
Я хочу коротко представить вам историю нашей победы над авторитарными властями. Народу Армении удалось добиться успеха в беспрецедентной революции без насилия, без жертв и беспорядков.
И это неслучайно. Нашим намерением было осуществление революции любви и солидарности. С самого начала мы объявили, что исключаем любое насилие. Мы заявили о том что даже если будет применяться насилие в отношении нас, мы не будем отвечать насилием на насилие. Мы заявили о том, что нашим ответом будут поднятые вверх руки, улыбки и любовь.
Мы начали этот политический процесс с несколькими десятками людьми, совершив шествие из второго по величине города Армении Гюмри в столицу. Когда мы пришли в Ереван и проявили нашу приверженность принципу ненасилия, вся наша страна восстала против правящего режима в единстве и солидарности. Мы победили исключительно путем мирных демонстраций, без единого выстрела, без единой жертвы. Мы добились успеха несмотря на все ожидания. Даже известные эксперты и передовые центры скептически относились к нашей победе.
Несмотря ни на что меня избрали премьер-министром. Я был избран в парламенте, где у меня было всего 4 надежных голоса, включаю мой собственный. Тем не менее это стало возможным. Все это произошло потому, что люди были полны решимости в своих требованиях, и парламент, который был избран год назад, не имел иного выбора кроме как выполнить волю народа.
В настоящее время парламент продолжает работать, однако он не представляет волю нашего народа точно так же, как это было до и в ходе революции. Почему это так? Ответ прост. Потому, что его избрали в ходе выборов с применением массового подкупа голосов, использованием административных ресурсов и применением давлений.
Важным испытанием для проведения действительно свободных и справедливых выборов стали выборы в Совет старейшин Еревана, которые прошли перед моим приездом в Нью-Йорк. Тот факт, что все кандидаты впервые с момента обретения независимости Армении поздравили кандидата, который победил, и не поставили под сомнение официальные результаты выборов, говорит о создании абсолютно новой политической культуры в Армении.
В том же духе мы готовимся к парламентским выборам. В Армении свободные, справедливые и прозрачные выборы должны стать неизбежной реальностью, которая позволит нам создать крепкие и эффективные демократические институты, функционирующую систему противовесов. Защита прав человека, обеспечение свободы слова, выражение мнения и собраний наших граждан является ключевым фактором повестки нашего правительства. Отныне не будет возможности фальсифицировать выборы и
подрывать доверие граждан.
Кроме того я бы хотел подчеркнуть, что текущее положение в Армении - это не просто смена правительства или правящей партии. Речь идет о создании новой политической системы управления, которую мы называем народным правлением и прямым народовластием. Для того, чтобы институционализировать эту систему, мы планируем гарантировать волеизъявление народа не только посредством выборов, но и посредством местных и национальных референдумов, чтобы задействовать людей в процесс принятия решений.
Я был политзаключенным и поэтому понимаю, насколько важно иметь возможность высказывать свое мнение и определять свою собственную судьбу. Наша команда, взяв на себя ответственность, имеет четкое видение и сильную политическую волю, чтобы проводить основополагающие реформы, направленные на искоренение коррупции, создания прозрачного, подотчетного и эффективного управления, соблюдение прав человека и верховенство права, обеспечение независимости судебной системы и продвижение экономического роста посредством свободной и конкурентоспособный бизнес среды и благоприятной атмосферы для инвестиций.
Несмотря на коренные преобразования во внутриполитической жизни, наша повестка внешнего курса имеет чёткое направление. Последовательность внешней политики Армении свидетельствует о том, что наша страна является прогнозируемым и надежным партнером. Наши международные обязательства не являются предметом пересмотра. Наша позиция заключается в том, что Армения готова проводить конструктивный диалог и сотрудничать со всеми партнерами. Мы не планируем осуществлять взаимодействие с одним партнером в ущерб другому. Мы подчеркиваем важность роли многосторонности на глобальном и региональном уровнях.
Под эгидой ООН Армения вовлечена во всеобъемлющие и жизнеспособные программы. Позвольте мне, не вдаваясь в подробности, упомянуть наш вклад в глобальный мир под эгидой ООН в операции по поддержанию мира в беспрецедентно широких географических масштабах - от Афганистана до Ливана, Косово, Мали и др. Это имеет особую значимость для нашей страны, которая сама сталкивается с серьёзными угрозами в области безопасности, и мы понимаем, что безопасность одной страны неразрывно связана с безопасностью других государств, а глобальный мир требует согласованных действий.
Наша нация воистину глобальная, по всему миру насчитываются сотни наших общин. Этим вызвана чувствительность Армении перед лицом глобальных угроз, которые ставят армян под угрозу в различных частях мира. Существование армянской общины Сирии находится под экзистенциальной угрозой из-за продолжающегося кризиса. Армения стремилась вносить вклад посредством оказания гуманитарной помощи. Мы готовы расширять гуманитарную миссию Армении, которая направлена на удовлетворение насущных нужд нашей общины в Сирии. Как страна, которая пережила ужасы геноцида, мы понимаем, насколько важно обеспечивать безопасность народа, и мы готовы сделать все возможное для их защиты.
Мирное урегулирование нагорно-карабахского конфликта продолжает оставаться во главе нашей политической повестки дня. Статус и безопасность Республики Арцах - это абсолютный приоритет для Республики Армения. В процессе переговоров любые попытки урегулировать конфликт с помощью военных средств представляют прямую угрозу региональной безопасности, демократии и правам человека. Армения продолжит конструктивное взаимодействие в процессе мирного урегулирования конфликта в формате сопредседателей Минской группы ОБСЕ. Это единственный орган на международном уровне, который имеет мандат для урегулирования этого конфликта. Азербайджан должен изменить свое неуважительное поведение по отношению к переговорам, должен отказаться от любой идеи военного решения и выполнить все предыдущие соглашения.
Более того, если Азербайджан действительно привержен процессу строительства мира, то должен начать переговоры с основной стороной этого конфликта - Нагорным Карабахом. Азербайджан заявляет по каждому случаю, что Карабах должен быть частью его территории. В то же время он заявляет о том, что не будет вступать в переговоры с Нагорным Карабахом. Вопрос в том, как может Азербайджан высказывать претензии в отношении Нагорного Карабаха и при этом не говорить с ним. Как это возможно? Это возможно только в том случае, если правительство Азербайджана хочет получить территорию, а не народ. Таким образом становится очевидно, что намерением руководства Азербайджана является очистка Карабаха от армян, как это было сделано в Нахичеване. Это дает право народу Нагорного Карабаха утверждать, что быть частью Азербайджана для народа Карабаха означает быть полностью уничтоженным. Следовательно, Карабах не должен быть частью Азербайджана, чтобы предотвратить новый геноцид армянского народа.
Подводя итоги, позвольте мне еще раз констатировать: конфликт может и должен быть урегулирован только посредством взаимного компромисса всех сторон в благоприятной для мира, а не для войны атмосфере.
И в конце позвольте мне также выразить благодарность Генеральному секретарю ООН в связи с его непоколебимой поддержкой усилиям и подходам сопредседателей Минской группы ОБСЕ.
Тема наших обсуждений “Сделать Организацию Объединенных Наций значимой для всех: Глобальное лидерство и общая ответственность в интересах построения мирного, справедливого и самодостаточного общества во всех странах” подразумевает последовательный подходе к “Повестке 2030” и ее целям устойчивого развития.
ООН и Повестка ее развития должны быть актуальными и доступными для всех. Никто не может быть игнорирован, что требует наших коллективных усилий.
Ранее, в июле этого года, Армения представила первый добровольный национальный доклад о достижении целей устойчивого развития на политическом форуме высокого уровня. Эта важная инициатива совпала с определяющим политическим периодом, который характеризовался активными демократическими процессами и проведением широкомасштабных реформ.
Армения привержена созданию и разработке основанных на знаниях инновационных платформ, которые позволят обеспечить положительные последствия и ускорить реализацию Повестки развития. В этой связи мы признаем ключевую роль ООН и ее специализированных учреждений, а также роль сотрудничества с потенциальными партнерами. Как новоизбранный член ECOSOC и Совета по правам человека Армения будет делать все возможное для того, чтобы способствовать всеобъемлющему и стабильному росту, защите прав и основных свобод человека.
Дамы и господа,
2018 год - это год, когда мы будем отмечать 70-летие двух важных документов в области прав человека: Всеобщей декларации прав человека и Конвенции ООН о предупреждении преступления геноцида и наказании за него. Каждый из этих международных документов имеет свою историю, каждый из них стал краеугольным камнем развития международного права.
Они служили основой для Армении для инициации серии заседаний Глобального форума против преступления геноцида. В этом году форум будет посвящен вопросам предупреждения геноцида посредством образования, культуры и музеев. Я призываю вас внести свой вклад в работу форума и принять в нем участие.
Дамы и господа,
“Жить вместе” - это тема 17-го саммита Международной организации Франкофонии, который состоится в октябре в Ереване. Это столица Армении, которой 2800 лет. Для нас большая честь и привилегия быть частью большой семьи франкофонии, поощрять терпимость и взаимное уважение посредством сотрудничества в области культуры, образования, инноваций. Я вновь приглашаю всех на саммит Франкофонии. На полях саммита планируется провести многочисленные мероприятия.
Благодарю вас за внимание</t>
  </si>
  <si>
    <t>https://www.primeminister.am/ru/statements-and-messages/item/2018/09/26/Nikol-Pashinyan-speech/</t>
  </si>
  <si>
    <t>Господин председатель,
Ваши превосходительства,
Дамы и господа,
Мне хотелось бы начать свое выступление с поздравления его превосходительства Тиджани Мухаммада-Банде в связи с его избранием на должность председателя Генеральной ассамблеи Организации Объединенных Наций. Господин председатель, хочу заверить Вас во всесторонней поддержке Армении в ходе Вашего председательства в Генеральной ассамблея.
Я также хочу выразить глубокую признательность председателю 73-й сессии Марие Фернанде Эспиноса Гарсес за ее эффективное председательство и оставленное нам важное наследие.
Это вторая для меня возможность представлять свою страну в этом высшем органе в качестве премьер-министра Армении. После моего последнего выступления на Генеральной ассамблее ООН в нашей стране произошли исторические изменения.
В декабре прошлого года в Армении состоялись парламентские выборы. Впервые за примерно 25 лет эти выборы и их результаты были полностью приняты нашей общественностью и не оспаривались какой-либо политической силой. Эти выборы получили самую лучшую оценку международных наблюдателей, которые охарактеризовали их как свободные, справедливые и транспарентные. Это стало одним из самых больших достижений ненасильственной бархатной народной революции 2018 года.
В результате произошедшей в прошлом году мирной революции международные СМИ назвали Армению надеждой всемирной демократии. Учитывая наши демократические достижения, The Economist признал Армению страной года.
У нас есть непоколебимая воля продвигаться по пути демократии и реформ. Она зиждется на прочном мандате, которым нас наделил наш народ, перед которым мы обязались осуществить реформы, нацеленные на обеспечение справедливости, улучшение экономических и социальных условий, а также развитие нашей страны.
Наши демократические преобразования сталкиваются внутри страны с определенным сопротивлением прежней коррумпированной элиты, которые пытаются препятствовать принятой новым правительством политике абсолютной нетерпимости в отношении коррупции. Они пытаются избежать правосудия, используя свои обширные финансовые ресурсы и бросая вызов нашим демократическим достижениям и избранному демократическим путем правительству Армении, которое не осуществило перераспределения имущества и собственности.
Наши СМИ полностью свободны от государственного контроля или вмешательства. Тем не менее, некоторые из них подчиняются некоторым представителям прежнего правительства, распространяя ложные новости и внушая недоверие к истокам и целям бархатной революции. Несмотря на эту проблему, наша решимость поощрять и защищать свободу СМИ непоколебима.
Высказывались сомнения относительно характера и цели нашей революции. Некоторые считали, что эта революция была спровоцирована их глобальными конкурентами в нашем регионе. Другие спрашивали: если не они стоят за этой революцией, то кто же еще мог бы сделать это?
Я хочу с этой высокой трибуны еще раз повторить, что бархатная революция в Армении была совершена ее гордыми гражданами как проявление их воли отвергнуть коррупцию, злоупотребление властью, монополию на экономическую и политическую власть, постоянные фальсификации на выборах и политические манипуляции. Не надо рассматривать выражение воли армянского народа, который является носителем высшего суверенитета в нашей стране, в контексте конкуренции мировых держав.
Политические преобразования были направлены на реализацию мечты о свободной, демократической и счастливой стране - мечте, которая родилась на закате Холодной войны в 1980-х годах и принесла независимость нашему народу.
Дамы и господа,
Армянская ненасильственная бархатная революция доказала, что демократические перемены возможны в современном мире. Однако революция была только началом нашей миссии и, вероятно, самой легкой ее стадией. Сейчас мы находимся на другом, более важном и сложном этапе нашей миссии. Мы должны доказать, что демократические преобразования в Армении необратимы.
Мы гордимся тем, что у нас уже есть некоторые результаты. Наша экономика растет стабильно и довольно быстро. Этому росту способствовала очень важная идеологическая трансформация, которая произошла в нашей стране. Индивидуальные усилия каждого гражданина важны - эта идея является движущей силой нашей экономической революции. И самая важная миссия нашего правительства состоит в том, чтобы вдохновлять и убеждать наших граждан верить в свой талант и свою способность к реальным переменам.
Индивидуальные усилия были ключевой формулой успеха нашей политической революции. До революции была лишь небольшая группа людей, которая верила, что индивидуальные усилия могут привести к политическим изменениям в нашей стране. Но сегодня этой идеей руководствуется подавляющее большинство граждан Армении. Следовательно, наша общая цель - осуществить экономическую революцию тем же путем, которым была осуществлена политическая революция.
Реформы и институциональное развитие являются мощными инструментами, которые мы должны использовать для решения стоящих перед демократической Арменией задач. Сразу после прихода к власти мы приступили к осуществлению пакета беспрецедентных радикальных шагов по созданию демократических институтов. К ним относятся, например, усилия по созданию равных условий для всех участников экономической и политической жизни и созданию независимых судебных и антикоррупционных органов. Расширение прав и возможностей женщин является еще одной сферой, в которой мы предприняли смелые шаги для достижения видимых результатов.
Одним из важнейших направлений наших институциональных реформ является образование. Мы считаем, что только благодаря стимуляции образования мы можем сделать демократию необратимой и добиться устойчивого экономического роста. Наше видение состоит в том, чтобы сделать обучение на протяжении всей жизни общенациональной практикой для всех слоев нашего общества - от детей до взрослых.
Правительство Армении намерено решительно продолжать институциональные реформы, но мы также надеемся, что международное сообщество поддержит новорожденную демократию Армении в противостоянии существующим вызовам. Нам необходим лучший международный опыт в плане экономии времени и ресурсов. Мы должны избегать ошибок, допущенных другими развивающимися демократиями, чтобы сделать наши демократические реформы более эффективными.
Пользуясь случаем, хочу поблагодарить наших международных партнеров, которые действительно привержены поддержке нашей повестке реформ. В частности, мы благодарны Программе развития Организации Объединенных Наций, Европейскому союзу и Совету Европы. По сути, я упомянул ООН - нашу глобальную организацию, в которую входит почти все международное сообщество, и я надеюсь, что все члены международного сообщества хотели бы, чтобы армянская демократия имела успех.
Дамы и господа,
К сожалению, в этом году наша планета не стала для нас более безопасным местом. Трудно найти какой-либо регион в мире, который не дестабилизирован или не пострадал из-за напряженности в соседнем регионе. Две из четырех границ Армении, в том числе и граница с Турцией, закрыты на протяжении уже почти трех десятилетий. Отказываясь устанавливать дипломатические отношения с Арменией, поддерживая Азербайджан против Армении и Нагорного Карабаха, Турция остается серьезной угрозой безопасности для армянского народа, который однажды уже стал жертвой геноцида и стал свидетелем отрицания исторической правды и ожесточенного сопротивления.
Господин председатель,
Напраженность в отношениях между нашими соседями и нашими стратегическими партнерами ставят нас в очень неудобное положение. Россия - наш главный стратегический партнер и союзник, Грузия и Иран - наши стратегические соседи. У нас есть стратегическая повестка и партнерские отношения с США, Европейским союзом и его государствами-членами.
Для нас является серьезным вызовом находиться в запутанном клубке разногласий между нашими партнерами, потому что мы постоянно подвергаемся риску быть непонятыми некоторыми из них или, что еще хуже, всеми ними. Мы делаем все возможное, чтобы быть надежным партнером и хорошим другом для всех, без ущерба для наших отношений с кем-либо другим. И мы продолжим прилагать усилия, чтобы сделать геополитическую среду в нашем регионе более безопасной.
Дамы и господа,
Мирное урегулирование нагорно-карабахского конфликта имеет ключевое значение для стабильности и безопасности нашего региона. С самого первого дня моего пребывания в должности я предпринял шаги именно в этом контексте. С этой целью я выступил с заявлением о том, что любой вариант урегулирования нагорно-карабахского конфликта должен быть приемлемым для народов Армении, Нагорного Карабаха и Азербайджана.
Примечательно, что я был первым армянским лидером, который высказал такую позицию по урегулированию конфликта. В моей стране меня жестко критиковали за эту формулу, которая ставит знак равенства между тремя сторонами конфликта. Тем не менее, я верю, что это ключ к мирному урегулированию конфликта, поскольку он предполагает возможность для компромисса, взаимного уважения и баланса.
Я представил эту формулу не только общественности, но и в рамках переговоров под сопредседательством Минской группы ОБСЕ. Я ожидал аналогичного заявления со стороны Азербайджана, чтобы двигаться вперед. Однако власти Азербайджана остались при своих позициях, стремясь найти такое решение карабахской проблемы, которое было бы приемлемым только для народа Азербайджана.
Что это означает на самом деле ? Это означает, что власти Азербайджана не намерены разрешать этот конфликт. Вместо этого они хотят одержать победу над народом Нагорного Карабаха. Они не хотят идти на компромисс. Их цель - отомстить за неудавшиеся попыткы агрессии против народа Нагорного Карабаха в 1990-х гг. и в 2016 г. Именно поэтому они разжигают антиармянские настроения среди своего народа, именно поэтому они тратят огромные ресурсы на вооружения, и именно поэтому армянофобия уже стала официальной политикой Азербайджана.
Фактически, наши противники хотят вернуть статус, который был у Нагорного Карабаха в советские времена. Но это тщетная попытка, так как народ Нагорно-Карабахской автономной области в советскую эпоху провозгласил свою независимость и самоопределился точно так же, как это сделал Азербайджан, выйдя из состава Советского Союза. Эта позиция Азербайджана равносильна идее о восстановлении Советского Союза.
Правительство Азербайджана представляет нагорно-карабахский конфликт как территориальный спор между Арменией и Азербайджаном. Мы абсолютно не согласны с такой интерпретацией конфликта. Это не спор между Арменией и Азербайджаном. Этот спор не о территориальных претензиях. Речь идет о людях, мужчинах, женщинах и их праве жить на своей родине так же, как их предки жили веками.
К сожалению, власти Азербайджана не хотят разговаривать с этими людьми и вести с ними переговоры, потому что им нужны территории, а не люди. Точнее, им нужны территории без людей.
Дамы и господа,
Считаю важным объяснить, почему я затрагиваю эту тему. Может показаться, что я хочу способствовать усилению напряженности в регионе. Конечно, нет. Наоборот, я хочу сказать, что нагорно-карабахский конфликт является очень сложной и болезненной проблемой для народов региона, и его невозможно решить без серьезной и последовательной работы, без компромисса, взаимного уважения и сбалансированного подхода.
Поэтому я настоятельно призываю моего коллегу - президента Ильхама Алиева, принять формулу, создать условия для прогресса в мирном процессе. Любое решение нагорно-карабахского конфликта должно быть приемлемым для народа Армении, для народа Нагорного Карабаха и для народа Азербайджана. Мы должны работать вместе, чтобы сделать эту формулу реальностью.
Дамы и господа,
Несколько дней назад мы отмечали День независимости Армении. 28 лет назад Армения как суверенное государство стала полноправным членом международного сообщества, восстановив свое место и роль на мировой арене.
Мы являемся бенефициаром международного сотрудничества и в то же время инвестором в повестку в области безопасности, развития и прав человека. Мы придаем большое значение эффективному мультилатерализму. Мы работаем со всеми нашими партнерами на международном и региональном уровнях, чтобы стимулировать глобальную безопасность, борьбу с международным терроризмом, нераспространение ядерного оружия, ядерную безопасность и миротворческие операции.
Армения принимает участие в миротворческих операциях в Мали, Ливане, Косово и Афганистане и выполняет гуманитарную миссию по оказанию медицинской помощи и разминированию.
Преимущества эффективного мультилатерализма отражены в глобальных усилиях по достижению Целей устойчивого развития. Процесс национализации Целей устойчивого развития в Армении дополняется стартом амбициозной стратегии преобразований до 2050 г, которая включает в себя 16 мегацелей.
Приоритеты образования, инноваций и смарт-развития, инклюзивная политическая и экономическая среда подчеркивают взаимосвязь между развитием и правами человека. Дальнейшее увеличение роли женщин и молодежи имеет первостепенное значение для Армении. Мы продолжим концентрироваться на всех этих вопросах как внутри страны, так и в международной повестке.
Я также хотел бы подчеркнуть важность интеграции экономической и экологической политики. Армения уже испытывает негативное влияние изменения климата: зафиксирован рост средней температуры на 1,3 градуса по Цельсию. Для того чтобы противостоять этой глобальной проблеме, мы работаем над созданием инновационного механизма финансирования климата в рамках национальной приверженности Армении Саммиту по климатическим действиям под эгидой генерального секретаря.
Устойчивое развитие и защита прав человека должны быть инклюзивным процессом. Он должен быть доступен каждому, независимо от его политического статуса и географического положения. Никто, включая народ Нагорного Карабаха, не должен оставаться в стороне от инструментов устойчивого развития. Как и другие, Нагорный Карабах должен получить международную финансовую и техническую поддержку для укрепления прав человека, преодоления бедности, улучшения образования, реагирования на изменение климата и построения инклюзивного общества.
Будучи демократической страной и надежным и предсказуемым членом международного сообщества, Армения будет и впредь вносить свой вклад в международное сотрудничество по поддержанию глобального мира и безопасности, содействию устойчивому развитию и защите прав человека и фундаментальных свобод.
Мы привержены продолжению конструктивного диалога со всеми нашими международными партнерами для решения глобальных задач и обеспечения прогресса и процветания наших народов.
Мы против разделительных линий и политики конфронтации. Мы против закрытых границ, которые являются несуразицей в 21-м веке, но все еще существуют в нашем регионе.
Как нация, пережившая ужас геноцида, мы выступаем за взаимопонимание и мир в нашем нестабильном регионе.
Политика эскалации и гонки вооружений, основанная на иллюзорных надеждах на военное превосходство, не имеет будущего на Южном Кавказе.
Народы нашего региона заслуживают того, чтобы жить в мире и процветании, свободно реализовывать свои права и свободы, чтобы строить более светлое будущее для себя и своих детей.
Спасибо за внимание</t>
  </si>
  <si>
    <t>https://www.primeminister.am/ru/statements-and-messages/item/2019/09/26/Nikol-Pashinyan-74th-session-of-UN-General-Assembly/</t>
  </si>
  <si>
    <t xml:space="preserve">Многоуважаемый председатель Генеральной ассамблеи,
Ваши Превосходительства,
Дамы и господа,
В этом году мы отмечаем 75-летие основания Организации Объединенных Наций: организация, рожденная на пепелище Второй мировой войны. Мы помним принесенные нашими дедами жертвы, невзгоды и страдания, которые они перенесли во имя мира и будущего человечества.
Сегодня впервые Генеральная ассамблея ООН проходит в режиме онлайн. Каким бы неудобным и нежелательным он ни был, встречи в таком формате демонстрируют решимость человечества продолжать международное сотрудничество, а также нашу приверженность и верность принципам ООН и многостороннему сотрудничеству.
Эпидемия действительно оказала беспрецедентное влияние на все сферы жизни человека. Для решения глобальных проблем всем странам необходимо вернуться в сферу эффективной многосторонности и на поле международного сотрудничества под эгидой Организации Объединенных Наций.
Мы высоко ценим ведущую роль Организации Объединенных Наций, особенно Всемирной организации здравоохранения и ПРООН, в глобальной борьбе с Covid-19. Мы благодарны всем нашим странам-партнерам, которые поддержали Армению. Мы также оказали свою долю помощи другим нашим партнерам. Эти коллективные усилия являются важнейшим проявлением международной солидарности.
Руководствуясь духом нашего коллективного обязательства - никого не оставлять позади, мы разделяем то убеждение, согласно которому справедливый доступ к медицинским технологиям и продуктам, необходимым для борьбы с вирусом, должен быть глобальным приоритетом, и каждый, включая тех, кто живет в зонах конфликтов, должен иметь беспрепятственный и никак не ограниченный доступ к средствам по противодействию Covid-19.
Точно так же вакцины против COVID-19 являются общественным благом мирового значения и должны быть доступны всем народам без дискриминации.
Позвольте мне еще раз подтвердить безоговорочную поддержку Армении призыву генерального секретаря к глобальному прекращению огня и резолюции 2532 Совета безопасности ООН по COVID-19, в которой содержится призыв к полному и немедленному прекращению боевых действий во всех ситуациях.
Дамы и господа,
Хотя усилия человечества в наши дни сосредоточены на преодолении Covid-19, мы стали свидетелями прискорбных попыток дестабилизации мира и безопасности в нашем регионе.
В июле Азербайджан начал очередную агрессивную операцию. Вооруженные силы Азербайджана совершили нападение в направлении приграничной Тавушской области Армении.
Армения призвала к немедленному ослаблению напряженности и согласилась прекратить боевые действия через несколько часов после их вспышки, однако Азербайджан продолжал обстреливать мирных жителей, инфраструктуру и непрерывные атаки на приграничные районы Армении с использованием артиллерии, тяжелого оружия, беспилотных летательных аппаратов и крупных пехотных дивизий.
Более того, власти Азербайджана еще более активизировали свою милитаристскую риторику, переступив все возможные границы представлений о цивилизованности. Министерство обороны Азербайджана даже пригрозило нанести ракетный удар по Армянской АЭС, что равносильно угрозе “ядерного терроризма”.
Июльские бои развеяли миф о военном превосходстве Азербайджана и подтвердили, что карабахский конфликт не имеет военного решения. Необходимость того, чтобы руководство Азербайджана признало этот факт, назрела давно, следовательно, они должны воздерживаться от применения силы или угроз в контексте мирного урегулирования конфликта путем переговоров.
Армения подтверждает свою приверженность исключительно мирному урегулированию нагорно-карабахского конфликта. В основе мирного процесса должно лежать право народа Нагорного Карабаха на самоопределение, которое было признано международным сообществом и международными посредниками, в частности, сопредседателями Минской группы ОБСЕ.
В силу этого права народ Нагорного Карабаха должен иметь возможность определять свой статус без каких-либо ограничений. Следовательно, избранные ими органы власти должны иметь возможность участвовать в переговорах. Проблемы и потребности людей, живущих в зоне конфликта, должны стать приоритетом в повестке дня переговоров.
Другой ключевой приоритет для Армении - обеспечение всесторонней безопасности подвергающегося экзистенциальным угрозам народа Арцаха.
Свобода, демократия и уважение фундаментальных прав человека являются необходимыми предусловиями в процессе создания благоприятной среды для длительного и всеобъемлющего урегулирования конфликта. Только законно избранные правительства могут по-настоящему выражать интересы своего народа и идти на компромисс.
Власти Азербайджана последовательно используют конфликт для легитимации долговечности своей власти. В течение десятилетий руководство Азербайджана рассматривало Армению и армян как врагов, чтобы оправдать низкий уровень жизни, отсутствие демократии и массовые нарушения прав человека в своей стране.
Прекращение огня должно быть подкреплено конкретными действиями на местах. В этом отношении решающее значение имеют отказ от милитаристской риторики и языка ненависти, расширение наблюдательской миссии ОБСЕ на границе и линии соприкосновения, создание механизмов для расследования нарушений режима прекращения огня и установление прямых линий связи между местными командирами.
Дамы и господа,
Призывы международного сообщества во время июльской эскалации в основном касались соблюдения режима прекращения огня, диалога и сдержанности сторон. Турция, тем не менее, в соответствии со своей дестабилизирующей политикой расширения своего влияния, не пожалела также энергии и усилий для повышения напряженности как в соседних регионах - в Средиземноморье, Северной Африке и на Ближнем Востоке, так и на Южном Кавказе.
Поддерживая в одностороннем порядке Азербайджан и расширяя там свое военное присутствие, Турция подрывает усилия по установлению мира и стабильности в регионе, а также инициативы сопредседателей Минской группы ОБСЕ в этом направлении.
Турция напрямую угрожает Армении и демонстративно проявляет воинственную позицию, проводя провокационные совместные военные учения с Азербайджаном в непосредственной близости от Армении и Нагорного Карабаха.
Турция строит свою политику в нашем регионе на племенных связях, эксплуатации конфликтов, оправдании Геноцида армян и безнаказанности за это преступление. Турция представляет собой угрозу безопасности Армении и всего региона.
В этом контексте Армения продолжит активно участвовать в региональных и международных усилиях по поддержанию мира и безопасности посредством диалога и сотрудничества.
Ваши Превосходительства,
Несмотря на вставшие перед нами в этом году вызовы, Армения продолжает участвовать в международных операциях по поддержанию мира и безопасности. Армянские миротворцы, несущие службу в Ливане, Мали, Косово и Афганистане, внесли свой вклад в обеспечение там безопасности и стабильности. Мы готовы расширять свое участие в миротворческих миссиях под эгидой ООН.
Дамы и господа,
Армения придает важность эффективному выполнению Повестки дня в области устойчивого развития на период до 2030 года.
10 июля 2020 года Армения представила второй национальный добровольный обзор достижения Арменией целей устойчивого развития. Тема политического форума высокого уровня в этом году - Ускоренные действия и пути преобразования, полностью отражает национальные приоритеты и политику, объявленные Арменией после ненасильственной бархатной революции 2018 года.
Пользуясь полной поддержкой народа, наше правительство преисполнено решимости продолжить свою амбициозную повестку реформ, направленных на построение конкурентоспособного и инклюзивного демократического общества посредством сильных государственных институтов. Повестка реформ охватывает все сферы общественной жизни с упором на права человека, верховенство закона, борьбу с коррупцией, независимую судебную систему и улучшение управления.
Мы привержены широкомасштабной программе экономического и социального развития, опираясь на высокотехнологичные, экологические и образовательные стандарты. На этой неделе наше правительство ввело в оборот проект Стратегии трансформации Армении до 2050 года, в которой перечислено 16 сверхцелей, основанных на смелом видении современности и прогресса.
Дамы и господа,
75-летие Организации Объединенных Наций заставляет нас признать наличие множества вызовов, угрожающих человеческому достоинству и правам человека. Как член Совета по правам человека Армения продолжит вносить большой вклад в международное сотрудничество, направленное на защиту и укрепление прав человека.
В повестке дня как внутренней, так и внешней политики Армения придает важность равноправию всех граждан и активному участию женщин и молодежи в политической и общественной жизни.
Защита прав женщин в зонах конфликтов и их участие на всех этапах разрешения конфликтов имеет очень важное значение. Выполнение положений резолюции 1325 Совета Безопасности ООН является одним из ключевых приоритетов нашего правительства.
Предупреждение геноцидов всегда было для Армении абсолютным приоритетом. Как народ, переживший ужасы геноцида, мы несем моральную ответственность перед человечеством в плане сохранения памяти о жертвах геноцидов и содействия усилиям международного сообщества по предотвращению повторения этого ужасного преступления.
Мы ценим поддержку международного сообщества усилиям Армении по продвижению международной повестки дня по эффективному предотвращению посредством Совета по правам человека.
Армения поддерживает создание инклюзивных платформ для диалога между правительствами, парламентами, международными организациями, научными кругами и гражданским обществом по вопросам предотвращения геноцида. Одной из площадок для такого диалога стал Глобальный форум против геноцида, который периодически проводится в Армении.
Ваши Превосходительства,
75-я годовщина Организации Объединенных Наций является хорошим поводом еще раз подтвердить важность трех взаимосвязанных столпов: мира, развития и прав человека.
Текущие конфликты, продолжающееся наличие радикализма и нетерпимости, транснациональные и глобальные вызовы раскрывают наши коллективные слабости и взаимозависимость.
Как всегда, нам нужна эффективная многосторонность, и, следовательно, сильная, реформированная Организация Объединенных Наций для обеспечения лучшего будущего, мира и безопасности для будущих поколений.
Спасибо за внимание.
 </t>
  </si>
  <si>
    <t>https://www.primeminister.am/ru/statements-and-messages/item/2020/09/25/Nikol-Pashinyan-General-Assembly/</t>
  </si>
  <si>
    <t>Многоуважаемый господин генеральный секретарь,
Дамы и господа,
Рад снова направить послание Генеральной Ассамблее Организации Объединенных Наций.
Прежде всего, я хотел бы поздравить г-на Абдуллу Шахида с избранием на пост председателя сессии Генеральной Ассамблеи, а также г-на Антониу Гутерриша с переизбранием на пост генерального секретаря Организации Объединенных Наций. Уверен, что Ваше председательство поможет нам преодолеть большие вызовы, с которыми мы сталкиваемся.
Сегодня в своем выступлении я хотел бы коснуться ситуации в регионе Южного Кавказа, представить наши взгляды и предложения по решению существующих проблем.
Как вам известно, осенью 2020 года Нагорный Карабах подвергся агрессии. Война, продолжавшаяся сорок четыре дня, унесла жизни нескольких тысяч человек. Десятки тысяч жителей Нагорного Карабаха были вынуждены покинуть свои дома. Агрессия сопровождалась многочисленными грубыми нарушениями международных норм со стороны азербайджанских вооруженных сил, включая преднамеренные атаки на мирных жителей и жизненно важные объекты инфраструктуры, внесудебные казни военнопленных, пытки и многие другие задокументированные преступления. В результате этих действий на тех участках Нагорного Карабаха, которые перешли под контроль Азербайджана, армянский народ подвергся полной этнической чистке. К сожалению, международное сообщество и здесь не смогло предотвратить массовые преступления. Сегодня ни один армянин не живет и практически не может жить на территориях, находящихся под контролем Азербайджана.
Благодаря посредническим усилиям Российской Федерации кровопролитие удалось остановить. 9 ноября было подписано трехстороннее заявление о прекращении огня. В Нагорном Карабахе размещены миротворческие силы Российской Федерации, которые сегодня являются гарантом стабильности и безопасности.
Уважаемые коллеги,
Месяц назад правительство Республики Армения утвердило План действий правительства на 2021-2026 годы, одним из ключевых положений которого является открытие эры мирного развития для нашей страны и региона. Более того, по результатам внеочередных парламентских выборов, состоявшихся 20 июня 2021 года, народ Армении дал нашему правительству мандат на продвижение к этой ключевой цели. Следует подчеркнуть, что наше правительство получило этот важный мандат по результатам выборов, которые проводились с целью преодоления внутриполитического кризиса в стране.
Это были вторые выборы в нашей стране после Ненасильственной бархатной народной революции в Армении в 2018 году, и обе они были оценены международными наблюдателями как конкурентные, прозрачные и соответствующие демократическим стандартам.
Итак, как мы собираемся достичь цели открытия эры мирного развития для нашей страны и региона? Путем диалога, путем постепенного преодоления атмосферы болезненной вражды в нашем регионе. Мы понимаем, что путь будет трудным и долгим. К сожалению, почти каждый день происходят инциденты, цель которых состоит в том, чтобы лишить легитимности мирную повестку дня, не только углубить атмосферу враждебности, но и сделать ее более систематической. Нарушения режима прекращения огня, агрессивные и оскорбительные высказывания в адрес Армении и армянского народа продолжают накалять атмосферу.
Действием против мира является тот факт, что вопреки пункту 8 заявления от 9 ноября, Азербайджан не только до сих пор удерживает в неволе несколько десятков граждан Республики Армения, но и по сфабрикованным обвинениям приговорил многих из них к лишению свободы на срок от 6 до 20 лет. Кроме того, есть граждане, пленение которых Азербайджан до сих пор не подтверждает, хотя есть явные свидетельства того, что они находятся в плену. Это становится еще более неприемлемым на фоне того, что осенью 2020 года азербайджанские пользователи разместили видеозаписи захвата нескольких армянских солдат, а позже были обнаружены обезглавленные или расстрелянные тела этих солдат. У нас есть неопровержимые доказательства пыток наших пленников.
Ярким примером углубления атмосферы вражды является открытие так называемого парка трофеев в Баку, куда азербайджанских школьников водят на экскурсии, чтобы показать им манекены пленных, убитых или истекающих кровью армянских солдат.
Эти и другие шаги предпринимаются для того, чтобы продемонстрировать невозможность мира в нашем регионе, но мы будем последовательно продвигать эту повестку дня, используя все существующие и создавая новые возможности, чтобы открыть эру мира для нашего региона.
В этом смысле считаю чрезвычайно важным открытие региональных коммуникаций, о чем говорится в 9-м пункте трехстороннего заявления, подписанного президентом Российской Федерации, президентом Азербайджана и премьер-министром Армении от 9 ноября 2020 года, и в заявлении от 11 января 2021 года.
Результатом решения этой важнейшей задачи станет то, что страны региона будут связаны между собой транспортными артериями. Будет создана возможность для установления экономических связей, что является одной из важных предпосылок для мирного развития.
Исследуя тему открытия дорог, мы обнаружили, что есть варианты, которые нацелены на достижение региональной изоляции и враждебности, но есть также варианты, которые подчеркивают региональную взаимосвязанность и могут помочь шаг за шагом преодолеть проблему враждебности. Мы сторонники последнего варианта.
Если откроется также железная дорога, соединяющая Турцию с Арменией, тема открытия региональных коммуникаций будет иметь более широкий размах.
Многоуважаемый господин Генеральный секретарь,
Армения готова к конструктивному диалогу, который должен привести к установлению прочного и длительного мира в регионе. В связи с этим предлагаем без промедления завершить процесс возвращения заложников и других удерживаемых лиц.
Также необходимо возобновить процесс мирного урегулирования нагорно-карабахского конфликта под эгидой сопредседателей Минской группы ОБСЕ.
Нет сомнений в том, что ситуация, сложившаяся вследствие применения силы, не может получить легитимность с точки зрения международного права. Право народа Арцаха на самоопределение не может быть приостановлено посредством силы; конфликт не может считаться разрешенным с помощью силы. Нагорно-карабахский конфликт ожидает справедливого урегулирования. Об этом свидетельствуют заявления стран-сопредседателей, в которых подчеркивается необходимость возобновления переговорного процесса на основе известных принципов.
Считаем также, что контакты при посредничестве сопредседателей позволят сторонам найти точки соприкосновения, откроют площадку для поиска ответов на многие сложные вопросы.
Далее идет вопрос демаркации и делимитации армяно-азербайджанской границы. Должен с сожалением констатировать, что сложно представить процесс демаркации границы, в условиях, когда на армяно-азербайджанской границе почти каждый день слышны выстрелы, происходят различные провокации, в условиях, когда подразделения вооруженных сил Азербайджана 12 мая на участке Сотк-Хознавар вторглись на суверенную территорию Республики Армения. Чтобы выйти из этой ситуации, мы предложили следующие действия: в указанном участке вооруженные силы как Армении, так и Азербайджана зеркально отводятся от границы, унаследованной от советских времен, международные наблюдатели размещаются вдоль этой границы и под международной эгидой мы начинаем работы по делимитации и демаркации. Мы готовы реализовать это предложение в любой момент.
Уважаемые коллеги,
В своем выступлении я затронул жизненно важные для нашей страны и региона вопросы, которые сегодня требуют срочного решения и пристального внимания международного сообщества.
В то же время, завершая свое выступление, я хотел бы еще раз подтвердить, что Армения, как ответственный член международного сообщества и надежный партнер, будет продолжать вносить свой вклад в укрепление всеобъемлющего международного правопорядка, международного сотрудничества на основе целей и принципы Устава ООН, способствуя устойчивому развитию и защите основных прав человека.
Мы настроены на конструктивный, инклюзивный диалог со всеми нашими партнерами.
Армения готова приложить все усилия, чтобы внести свой вклад в преодоление текущих глобальных вызовов, таких как изменение климата, пандемия COVID-19, вопросы международного мира, безопасности и устойчивого развития.
На этом позвольте мне завершить свое выступление, пожелав успехов работе 76-й сессии Генеральной Ассамблеи ООН.
Спасибо за внимание.</t>
  </si>
  <si>
    <t>https://www.primeminister.am/ru/statements-and-messages/item/2021/09/24/Nikol-Pashinyan-Speech-at-the-76th-General-Assembly-of-the-Unite/</t>
  </si>
  <si>
    <t>Уважаемая госпожа председатель Генеральной ассамблеи,
Ваше превосходительство,
Дамы и господа,
Для меня большая честь выступить перед вами как лидер, который недавно стал премьер-министром Армении в результате народной революции, которая сейчас известна как “Армянская бархатная революция”.
Я хочу коротко представить вам историю нашей победы над авторитарными властями. Народу Армении удалось добиться успеха в беспрецедентной революции без насилия, без жертв и беспорядков.
И это неслучайно. Нашим намерением было осуществление революции любви и солидарности. С самого начала мы объявили, что исключаем любое насилие. Мы заявили о том что даже если будет применяться насилие в отношении нас, мы не будем отвечать насилием на насилие. Мы заявили о том, что нашим ответом будут поднятые вверх руки, улыбки и любовь.
Мы начали этот политический процесс с несколькими десятками людьми, совершив шествие из второго по величине города Армении Гюмри в столицу. Когда мы пришли в Ереван и проявили нашу приверженность принципу ненасилия, вся наша страна восстала против правящего режима в единстве и солидарности. Мы победили исключительно путем мирных демонстраций, без единого выстрела, без единой жертвы. Мы добились успеха несмотря на все ожидания. Даже известные эксперты и передовые центры скептически относились к нашей победе.
Несмотря ни на что меня избрали премьер-министром. Я был избран в парламенте, где у меня было всего 4 надежных голоса, включаю мой собственный. Тем не менее это стало возможным. Все это произошло потому, что люди были полны решимости в своих требованиях, и парламент, который был избран год назад, не имел иного выбора кроме как выполнить волю народа.
В настоящее время парламент продолжает работать, однако он не представляет волю нашего народа точно так же, как это было до и в ходе революции. Почему это так? Ответ прост. Потому, что его избрали в ходе выборов с применением массового подкупа голосов, использованием административных ресурсов и применением давлений.
Важным испытанием для проведения действительно свободных и справедливых выборов стали выборы в Совет старейшин Еревана, которые прошли перед моим приездом в Нью-Йорк. Тот факт, что все кандидаты впервые с момента обретения независимости Армении поздравили кандидата, который победил, и не поставили под сомнение официальные результаты выборов, говорит о создании абсолютно новой политической культуры в Армении.
В том же духе мы готовимся к парламентским выборам. В Армении свободные, справедливые и прозрачные выборы должны стать неизбежной реальностью, которая позволит нам создать крепкие и эффективные демократические институты, функционирующую систему противовесов. Защита прав человека, обеспечение свободы слова, выражение мнения и собраний наших граждан является ключевым фактором повестки нашего правительства. Отныне не будет возможности фальсифицировать выборы и
подрывать доверие граждан.
Кроме того я бы хотел подчеркнуть, что текущее положение в Армении - это не просто смена правительства или правящей партии. Речь идет о создании новой политической системы управления, которую мы называем народным правлением и прямым народовластием. Для того, чтобы институционализировать эту систему, мы планируем гарантировать волеизъявление народа не только посредством выборов, но и посредством местных и национальных референдумов, чтобы задействовать людей в процесс принятия решений.
Я был политзаключенным и поэтому понимаю, насколько важно иметь возможность высказывать свое мнение и определять свою собственную судьбу. Наша команда, взяв на себя ответственность, имеет четкое видение и сильную политическую волю, чтобы проводить основополагающие реформы, направленные на искоренение коррупции, создания прозрачного, подотчетного и эффективного управления, соблюдение прав человека и верховенство права, обеспечение независимости судебной системы и продвижение экономического роста посредством свободной и конкурентоспособный бизнес среды и благоприятной атмосферы для инвестиций.
Несмотря на коренные преобразования во внутриполитической жизни, наша повестка внешнего курса имеет чёткое направление. Последовательность внешней политики Армении свидетельствует о том, что наша страна является прогнозируемым и надежным партнером. Наши международные обязательства не являются предметом пересмотра. Наша позиция заключается в том, что Армения готова проводить конструктивный диалог и сотрудничать со всеми партнерами. Мы не планируем осуществлять взаимодействие с одним партнером в ущерб другому. Мы подчеркиваем важность роли многосторонности на глобальном и региональном уровнях.
Под эгидой ООН Армения вовлечена во всеобъемлющие и жизнеспособные программы. Позвольте мне, не вдаваясь в подробности, упомянуть наш вклад в глобальный мир под эгидой ООН в операции по поддержанию мира в беспрецедентно широких географических масштабах - от Афганистана до Ливана, Косово, Мали и др. Это имеет особую значимость для нашей страны, которая сама сталкивается с серьёзными угрозами в области безопасности, и мы понимаем, что безопасность одной страны неразрывно связана с безопасностью других государств, а глобальный мир требует согласованных действий.
Наша нация воистину глобальная, по всему миру насчитываются сотни наших общин. Этим вызвана чувствительность Армении перед лицом глобальных угроз, которые ставят армян под угрозу в различных частях мира. Существование армянской общины Сирии находится под экзистенциальной угрозой из-за продолжающегося кризиса. Армения стремилась вносить вклад посредством оказания гуманитарной помощи. Мы готовы расширять гуманитарную миссию Армении, которая направлена на удовлетворение насущных нужд нашей общины в Сирии. Как страна, которая пережила ужасы геноцида, мы понимаем, насколько важно обеспечивать безопасность народа, и мы готовы сделать все возможное для их защиты.
Мирное урегулирование нагорно-карабахского конфликта продолжает оставаться во главе нашей политической повестки дня. Статус и безопасность Республики Арцах - это абсолютный приоритет для Республики Армения. В процессе переговоров любые попытки урегулировать конфликт с помощью военных средств представляют прямую угрозу региональной безопасности, демократии и правам человека. Армения продолжит конструктивное взаимодействие в процессе мирного урегулирования конфликта в формате сопредседателей Минской группы ОБСЕ. Это единственный орган на международном уровне, который имеет мандат для урегулирования этого конфликта. Азербайджан должен изменить свое неуважительное поведение по отношению к переговорам, должен отказаться от любой идеи военного решения и выполнить все предыдущие соглашения.
Более того, если Азербайджан действительно привержен процессу строительства мира, то должен начать переговоры с основной стороной этого конфликта - Нагорным Карабахом. Азербайджан заявляет по каждому случаю, что Карабах должен быть частью его территории. В то же время он заявляет о том, что не будет вступать в переговоры с Нагорным Карабахом. Вопрос в том, как может Азербайджан высказывать претензии в отношении Нагорного Карабаха и при этом не говорить с ним. Как это возможно? Это возможно только в том случае, если правительство Азербайджана хочет получить территорию, а не народ. Таким образом становится очевидно, что намерением руководства Азербайджана является очистка Карабаха от армян, как это было сделано в Нахичеване. Это дает право народу Нагорного Карабаха утверждать, что быть частью Азербайджана для народа Карабаха означает быть полностью уничтоженным. Следовательно, Карабах не должен быть частью Азербайджана, чтобы предотвратить новый геноцид армянского народа.
Подводя итоги, позвольте мне еще раз констатировать: конфликт может и должен быть урегулирован только посредством взаимного компромисса всех сторон в благоприятной для мира, а не для войны атмосфере.
И в конце позвольте мне также выразить благодарность Генеральному секретарю ООН в связи с его непоколебимой поддержкой усилиям и подходам сопредседателей Минской группы ОБСЕ.
Тема наших обсуждений “Сделать Организацию Объединенных Наций значимой для всех: Глобальное лидерство и общая ответственность в интересах построения мирного, справедливого и самодостаточного общества во всех странах” подразумевает последовательный подходе к “Повестке 2030” и ее целям устойчивого развития.
ООН и Повестка ее развития должны быть актуальными и доступными для всех. Никто не может быть игнорирован, что требует наших коллективных усилий.
Ранее, в июле этого года, Армения представила первый добровольный национальный доклад о достижении целей устойчивого развития на политическом форуме высокого уровня. Эта важная инициатива совпала с определяющим политическим периодом, который характеризовался активными демократическими процессами и проведением широкомасштабных реформ.
Армения привержена созданию и разработке основанных на знаниях инновационных платформ, которые позволят обеспечить положительные последствия и ускорить реализацию Повестки развития. В этой связи мы признаем ключевую роль ООН и ее специализированных учреждений, а также роль сотрудничества с потенциальными партнерами. Как новоизбранный член ECOSOC и Совета по правам человека Армения будет делать все возможное для того, чтобы способствовать всеобъемлющему и стабильному росту, защите прав и основных свобод человека.
Дамы и господа,
2018 год - это год, когда мы будем отмечать 70-летие двух важных документов в области прав человека: Всеобщей декларации прав человека и Конвенции ООН о предупреждении преступления геноцида и наказании за него. Каждый из этих международных документов имеет свою историю, каждый из них стал краеугольным камнем развития международного права.
Они служили основой для Армении для инициации серии заседаний Глобального форума против преступления геноцида. В этом году форум будет посвящен вопросам предупреждения геноцида посредством образования, культуры и музеев. Я призываю вас внести свой вклад в работу форума и принять в нем участие.
Дамы и господа,
“Жить вместе” - это тема 17-го саммита Международной организации Франкофонии, который состоится в октябре в Ереване. Это столица Армении, которой 2800 лет. Для нас большая честь и привилегия быть частью большой семьи франкофонии, поощрять терпимость и взаимное уважение посредством сотрудничества в области культуры, образования, инноваций. Я вновь приглашаю всех на саммит Франкофонии. На полях саммита планируется провести многочисленные мероприятия.
Благодарю вас за внимание”</t>
  </si>
  <si>
    <t>Мирзоян </t>
  </si>
  <si>
    <t>Уважаемый господин председатель, 
Превосходительства,
Дамы и господа,
Прежде всего, позвольте мне поздравить господина Денниса Фрэнсиса со вступлением на пост председателя 78-й сессии Генеральной Ассамблеи Организации Объединенных Наций.
Я буду не первым и определенно не последним, который выступит на этой сессии и обозначит глобальные угрозы демократии, вызовы безопасности, нарушения принципов и целей Устава ООН, включая неприменение силы и мирное разрешение конфликтов, как основной источник нестабильности и напряженности в мире.
Разрушительные события последних лет,  подорвавшие архитектуру безопасности в мире, особенно в Европе, нанесли значительный ущерб принципам многосторонности. Если пару лет назад мы размышляли об упадке мультилатерализма, то сегодня мы наблюдаем эрозию самого этого принципа и его основ, как, например, международное право, права человека и безопасность на основе сотрудничества.
Это не просто теоретический вывод, а реальность, в которой армянский народ на Южном Кавказе живет на протяжении последних трех лет. Повторяющиеся агрессии Азербайджана против суверенной территории Республики Армения и военные нападения на народ Нагорного Карабаха существенно подрывают мир и стабильность в нашем регионе, чрезвычайным образом нарушают права человека и гуманитарное право, ставя под угрозу существование армян.
Правительство моей страны, искренне веря и стремясь установить мир и стабильность в нашем регионе, предприняло значительные усилия с этой целью, которые были должным образом зафиксированы. Увы, мы имеем дело не с партнером, который стремится к миру, а со страной, которая открыто заявляет, что “сильный всегда прав” и постоянно применяет силу для срыва мирного процесса. Буквально год назад именно с этой сцены премьер-министр Армении говорил о факте агрессии и оккупации суверенных территорий Республики Армения соседним Азербайджаном. С тех пор ситуация только усугубилась, и сегодня я должен представить еще один факт совсем недавнего акта крупномасштабного наступления, на этот раз против коренного населения Нагорного Карабаха, что является вопиющим нарушением международного права и Трехстороннего заявления от 9 ноября 2020 года.
Речь идет о событиях  этой недели, и время было выбрано неслучайно. Это свидетельствует об открытом пренебрежении и вызове Азербайджана международному сообществу, собравшемуся здесь, в Нью-Йорке. Посыл ясен: “вы можете говорить о мире, а мы можем начать войну, а вы ничего не сможете изменить”. 120 000 человек, чье единственное стремление - мирно и достойно жить и созидать на родной земле своих предков, и которые страдают вследствие блокады Азербайджаном на протяжении уже более 9 месяцев, подверглись военному нападению десятков тысяч военнослужащих. В ходе этого бесчеловечного нападения вся территория Нагорного Карабаха, Степанакерта и других городов и поселений подверглась интенсивному и избирательному обстрелу из тяжелого вооружения, как, например, ракеты, артиллерия, боевые беспилотники, авиация, включая запрещенные кассетные боеприпасы.
Это чудовищное крупномасштабное наступление, унесшее сотни жизней, в том числе женщин и детей, было цинично обозначено как локальная контртеррористическая операция. Согласно последней информации, имеются подтвержденные случаи более чем 200 убитых и 400 раненых, в том числе среди гражданского населения, женщин и детей, подтвержденные в том числе Министерством иностранных дел Азербайджана. Судьба сотен людей остается неопределенной.
Пока я выступаю сегодня, 30 процентов населения Нагорного Карабаха перемещены. Все население Нагорного Карабаха остается без каких-либо средств к существованию, поскольку в Нагорный Карабах смогла поступить лишь ограниченная гуманитарная помощь. У них нет ни еды, ни лекарств, ни крова, им некуда идти, они разлучены со своими семьями, запуганы и боятся за свою жизнь.
Дамы и господа,
Политический курс и действия Азербайджана в последние 10 месяцев наглядно демонстрируют заранее спланированный и хорошо организованный характер этого массового преступления. 12 декабря 2022 года Азербайджан заблокировал Лачинский коридор - единственную дорогу жизни, соединяющую Нагорный Карабах с Арменией и внешним миром, грубо нарушив свои обязательства по международному гуманитарному праву и Трехстороннему заявлению от 9 ноября 2020 года. Блокада усугубилась сооружением незаконного контрольно-пропускного пункта 23 апреля, а также в полное прекращение какого бы то ни было движения по Лачинскому коридору, даже для гуманитарной помощи с 15 июня.
Блокада Нагорного Карабаха, продолжающаяся уже больше 9 месяцев, вызвала острую нехватку продовольствия, медикаментов, топлива и других товаров первой необходимости, практически истощив ресурсы, необходимые для выживания населения. Блокада сопровождалась преднамеренным нарушением электроснабжения и поставок природного газа, что еще больше усугубило ситуацию, превратив ее в полноценный гуманитарный кризис.
Я хотел бы подчеркнуть, что 22 февраля 2023 года Международный Суд ООН вынес решение о временной мере, согласно которой “Азербайджан должен принять все меры для обеспечения беспрепятственного передвижения лиц, транспортных средств и грузов по Лачинскому коридору в обоих направлениях”. Позднее это решение было подтверждено решением Суда от 6 июля.
Ряд государств-партнеров, международных организаций, включая специальных докладчиков ООН, Международный комитет Красного Креста, такие организации, как Human Rights Watch, Freedom House, Amnesty International, Transparency International постоянно выражали обеспокоенность ухудшением ситуации на местах. Более того, 16 августа, в ходе экстренного заседания Совета Безопасности Организации Объединенных Наций, созванного по требованию Армении, большинство государств - членов СБ ООН выразили четкую позицию относительно необходимости разблокирования Лачинского коридора и прекращения страданий народа Нагорного Карабаха и обеспечения его фундаментальных прав. Тем не менее, в ответ на эти однозначные призывы Азербайджан лишь обострил свои бесчеловечные действия, начав это военное нападение на народ Нагорного Карабаха.
21 сентября 2023 года Совет Безопасности Организации Объединенных Наций вновь собрался, чтобы обсудить катастрофическую ситуацию в Нагорном Карабахе. Большинство членов СБ ООН выразили свою позицию относительно необходимости прекращения Азербайджаном боевых действий, открытия Лачинского коридора, обеспечения международного гуманитарного доступа и решения прав и безопасности народа Нагорного Карабаха.
Дамы и господа 
Хронология поистине катастрофических событий в нашем регионе доказывает, что проблемы нельзя решить одними заявлениями и обобщённым призывами. Армения неоднократно предупреждала международное сообщество о необходимости конкретных и практических действий, включая направление в Нагорный Карабах миссии ООН по оценке потребностей и установлению фактов. Однако за 9 месяцев, 285 дней международное сообщество, Организация Объединенных Наций не смогли прийти на помощь людям.
Использование голода в качестве метода ведения войны, лишение людей средств к существованию, обструкция и отказ в гуманитарном доступе учреждений ООН, препятствование гуманитарной деятельности МККК представляют собой тревожные признаки жестокого преступления. Ряд международных правозащитных организаций, юристов, исследователей геноцида, авторитетных независимых экспертов, включая бывшего прокурора МУС и бывшего Специального советника Генерального секретаря ООН по предотвращению геноцида, уже охарактеризовали ситуацию на местах в Нагорном Карабахе как угрозу геноцида. Буквально вчера Специальный советник Генерального секретаря ООН по предотвращению геноцида Алиса Вайриму Ндериту подчеркнула: “Военные действия могут только способствовать эскалации и без того напряженной ситуации и подвергнуть гражданское население в этом районе угрозе насилия, включая риск геноцида и связанных с ним массовых преступлений. Необходимо приложить все усилия для предотвращения насилия и поддержания мира”.
Позвольте мне обратить Ваше внимание на тот факт, что после провала усилий по предотвращению геноцида в Руанде Организации Объединенных Наций удалось создать механизмы предотвращения, тем самым превратив "никогда больше" в значимое обязательство. Но сегодня мы стоим на пороге очередного провала.
Народ Нагорного Карабаха, оказавшийся в ловушке этой бесчеловечной блокады и военных действий, развязанных Азербайджаном, и находящийся под угрозой своего существования, все еще надеется, что предотвращение геноцида будет не просто пустым звуком, но будет осуществлено на практике. 
Утверждения о том, что Организация Объединенных Наций не представлена на местах и поэтому не имеет возможности проверить ситуацию, не могут быть оправданием бездействия. Организация Объединенных Наций - это универсальный орган, который должен поддерживать жертв массовых преступлений во всем мире, независимо от статуса территории, вместо того чтобы выступать с пренебрежительными заявлениями.
Мы надеемся, что международное сообщество, а именно ООН, продемонстрирует твердую политическую волю, осудив возобновление боевых действий и нанесение ударов по гражданским поселениям и инфраструктуре, а также потребовав полного соблюдения обязательств по международному гуманитарному праву, включая те, которые связаны с защитой гражданского населения, в частности женщин и детей, а также критически важных гражданских объектов инфраструктуры․
Международное сообщество должно предпринять все усилия для немедленного развертывания межведомственной миссии ООН в Нагорном Карабахе с целью мониторинга и оценки ситуации с правами человека, гуманитарной ситуацией и ситуацией в области безопасности на местах. Беспрепятственный доступ институтов ООН и других международных организаций в Нагорный Карабах в соответствии с гуманитарными принципами является императивом. В этой связи мы также подчеркиваем необходимость обеспечения всестороннего сотрудничества сторон в духе доброй воли с Международным Комитетом Красного Креста для устранения последствий военного нападения, включая вывоз и опознание тел, поиск и спасение пропавших без вести военных и гражданских лиц, освобождение военнопленных, безопасная и беспрепятственная доставка гуманитарной помощи в строгом соответствии с международным гуманитарным правом.
Азербайджан должен, наконец, придерживаться своих обязательств, имеющих юридически обязательных характер, и обеспечить свободу передвижения людей, транспортных средств и грузов по Лачинскому коридору в соответствии с решениями Международного суда.
Мы твердо убеждены, что должны быть внедрены соответствующие механизмы для обеспечения возвращения лиц, перемещенных в ходе недавнего военного нападения, а также лиц и беженцев, перемещенных в результате войны 2020 года, в свои дома на территории Нагорного Карабаха и прилегающих регионов под наблюдением и контролем соответствующих институтов ООН, как это было предусмотрено Трехсторонним заявлением от 9 ноября 2020 года.
Устойчивый и жизнеспособный международный механизм предотвращения этнической чистки коренного населения Нагорного Карабаха и обеспечения диалога между представителями Нагорного Карабаха и Баку для решения вопросов, связанных с правами и безопасностью армян Нагорного Карабаха, является императивом. Кроме того, должно быть гарантировано исключение карательных действий против политических и военных представителей и официальных лиц Нагорного Карабаха.
Мы также считаем, что международное сообщество должно потребовать вывод любых азербайджанских военных и правоохранительных органов из всех гражданских населенных пунктов в Нагорном Карабахе, чтобы исключить панику, провокации и эскалацию, ставящие под угрозу гражданское население, и создать возможность для миротворческих сил, уполномоченных Организацией Объединенных Наций, поддерживать стабильность и безопасность в Нагорном Карабахе.
Дамы и господа, 
Политика этнической чистки в отношении Нагорного Карабаха - это лишь часть более широкой картины. В этой связи мы ясно видим намерение вовлечь Республику Армения в военные действия, тем самым расширив географию боевых действий на наши суверенные территории.
Нежелание Азербайджана искренне и конструктивно участвовать в мирном процессе с Арменией, в том числе признать территориальную целостность Республики Армения, вывести свои вооруженные силы с оккупированных территорий Армении, провести делимитацию армяно-азербайджанской межгосударственной границы на основе последних доступных карт 1975 года, соответствующих Алма-Атинской декларации 1991 года, создать демилитаризованную зону вдоль межгосударственной границы наглядно демонстрируют вышеупомянутые намерения.
Аналогичным образом, у Азербайджана есть скрытая повестка по тому, что касается разблокирования региональных транспортных и экономических коммуникаций. Как страна, не имеющая выхода к морю, для Армении жизненно важна реализация соглашения о разблокировании всех региональных коммуникаций на основе суверенитета, национальной юрисдикции, равенства и взаимности. Армения является давним сторонником инклюзивного и справедливого транспортного сообщения с целью содействия торговле, сотрудничеству и контактам между людьми, в то время как наши соседи продолжают навязывать Армении трехлетнюю блокаду, согласно своей устоявшейся политики экономического принуждения в отношении моей страны. Логика так называемого “коридора”, продвигаемая Баку и их скрытыми и открытыми спонсорами, направлена на подрыв суверенитета и территориальной целостности Армении и оправдание ее территориальных претензий. Созданный ими нарратив наряду с применением силы Азербайджаном как против Республики Армения, так и против народа Нагорного Карабаха показывает, что следующей целью может стать насильственное навязывание Армении экстерриториального коридора, который будет проходить через территорию Армении, но будет вне нашего контроля. Это неприемлемо для нас и должно быть неприемлемо для международного сообщества.
Господин Президент, 
Несмотря на все вызовы, Армения продолжает участвовать в переговорах по урегулированию отношений и установлению прочного мира в регионе и поддерживает усилия международных партнеров с этой целью. Уважение территориальной целостности и суверенитета в пределах международно признанных границ, устранение коренных причин конфликта, а именно решение прав и безопасности народа Нагорного Карабаха, являются основой прочного мира.
В заключение позвольте мне заявить, что народ Армении будет твердо отстаивать свой суверенитет, независимость и демократию и преодолеет развязанную против нас гибридную войну.
Я благодарю Вас.</t>
  </si>
  <si>
    <t>https://www.mfa.am/ru/speeches/2023/09/23/fm_unga/12236</t>
  </si>
  <si>
    <t>Господин председатель,
Ваши Превосходительства,
Дамы и господа,
Это мое четвертое выступление на Генеральной Ассамблее ООН, и это выступление будет существенно отличаться от предыдущих. Ключевые месседжи моих предыдущих выступлений были о тупике в достижении мира между Арменией и Азербайджаном, но сегодня я хочу сказать, что мир между Арменией и Азербайджаном не только возможен, но и достижим.
Почему я так думаю? По нескольким конкретным причинам. Совсем недавно, 30 августа, Армения и Азербайджан подписали Положение о совместной деятельности комиссий по делимитации государственной границы между двумя странами.
Это первый двусторонний правовой документ, подписанный между сторонами. Но что еще важнее в этом документе, Армения и Азербайджан согласились принять Алма-Атинскую декларацию 1991 года в качестве основного принципа делимитации границы между двумя странами и будут руководствоваться ею.
Это означает, что Армения и Азербайджан де-юре подтверждают принцип признания территориальной целостности и нерушимости границ друг друга, существовавших во времена Советского Союза, что является основополагающим фактором для установления мира. Теперь де-юре подтверждается, что обе страны не имеют территориальных претензий друг к другу.
То, что нам нужно сделать сейчас, это сделать следующий шаг и подписать Соглашение об установлении мира и межгосударственных отношений между Республикой Армения и Азербайджанской Республикой. Президент Азербайджана и я много раз заявляли, что как минимум 80 процентов указанного Соглашения согласовано.
Теперь, чтобы воспользоваться этой исторической возможностью и избежать риска зайти в тупик, Армения предлагает взять то, что уже согласовано в проекте соглашения, подписать его, заключить мирное соглашение между Арменией и Азербайджаном, а затем продолжить переговоры по нерешенным вопросам. Мы готовы сделать это прямо сейчас.
Почему мы предлагаем это? Потому что нет прецедента мирного соглашения или какого-либо иного соглашения, которое бы регулировало и решало все вопросы. Это практически невозможно. И именно по этой причине после подписания любого соглашения двум странам всегда может потребоваться заключить новые соглашения и принять новые договоренности.
Каким бы всеобъемлющим ни было соглашение, необходимо дополнительно решать множество важных вопросов.
А в случае с Арменией и Азербайджаном согласованные статьи проекта мирного соглашения фактически содержат положения о мире, об отсутствии территориальных претензий друг к другу и невыдвижении таких претензий в будущем, положения об установлении дипломатических отношений и создании совместной комиссии по надзору за выполнением мирного соглашения, положения о невмешательстве во внутренние дела друг друга, о неприменении силы и угрозы силой и другие важные положения.
Подписание мирного соглашения с уже согласованными статьями значительно облегчит разрешение несогласованных вопросов. Уже согласованные части проекта мирного соглашения предоставляют инструменты для этого: один из них — дипломатические отношения, которые должны быть установлены между Арменией и Азербайджаном, а второй — совместная армяно-азербайджанская комиссия по контролю за реализацией мирного соглашения. Я имею в виду, что наличие де-юре мира между Арменией и Азербайджаном путем подписания предлагаемого Соглашения и установления дипломатических отношений приведет к изменению общей атмосферы и восприятия наших правительств и народов, что значительно облегчит решение оставшихся вопросов.
Азербайджан, однако, настаивает на том, что Конституция Республики Армения является препятствием для мирного соглашения, поскольку в ней якобы содержатся территориальные претензии к Азербайджану.
Не вдаваясь в подробности, позвольте мне сказать, что ничего подобного в нашей Конституции нет, территориальных претензий к Азербайджану нет, и мы можем предоставить подробные письменные доказательства относительно этого всем нашим заинтересованным международным партнерам. Более того, именно в Конституции Азербайджана содержатся территориальные претензии к Республике Армения, и мы можем представить письменную аргументацию по этому поводу всем нашим заинтересованным международным партнерам.
Но обратите внимание: мы не считаем Конституцию Азербайджана препятствием для мирного соглашения по той простой причине, что согласованная часть проекта мирного соглашения содержит формулировку, которая решает эту проблему, и эта формулировка выглядит следующим образом: “Ни одна из Сторон не может ссылаться на положения своего внутреннего законодательства в качестве оправдания для невыполнения ею настоящего Соглашения”.
Поэтому подписание Соглашения адресует проблемы как Армении, так и Азербайджана и создаст правовые гарантии для их кардинального решения. Когда мы рассматриваем согласованный текст мирного соглашения с точки зрения соответствия Конституции Республики Армения, мы видим следующую картину:
Согласно Конституции Армении, соглашения, противоречащие Конституции, не могут быть ратифицированы.
И как и в других случаях, после подписания мирного соглашения с Азербайджаном мы должны представить его в Конституционный суд для проверки соответствия документа Конституции Республики Армения.
Если наш Конституционный суд решит, что мирное соглашение с Азербайджаном противоречит Конституции Республики Армения (хотя наши эксперты уверяют, что это маловероятно), то мы столкнемся с конкретной ситуацией, когда для достижения мира понадобятся конституционные изменения.
А если наш Конституционный суд решит, что Соглашение соответствует Конституции Республики Армения, то никаких преград для ратификации в парламенте Армении не будет, и здесь возникает крайне важное обстоятельство.
Согласно пункту 3 статьи 5 Конституции Республики Армения, ратифицированные международные договоры имеют приоритет над внутренним законодательством Республики Армения, и поэтому после подписания и ратификации мирного соглашения с Азербайджаном, теоретически, даже если бы и были законы, которые можно было бы трактовать как содержащие территориальные претензии, эти документы были бы подчинены мирному соглашению между Арменией и Азербайджаном и автоматически не имели бы юридической силы. Та же логика, конечно, применима и к Азербайджану.
Уважаемый председатель, дамы и господа,
Как вы видите, мир очень близок, и все, что нам нужно сделать, это протянуть руку и взять его. Это нелегко ни для Армении, ни для Азербайджана, потому что у каждого из нас есть своя правда, и споры об этих истинах привели к вражде, жертвам и войнам. Боль очень глубока и сильна.
Но теперь мы должны сосредоточиться на мире, потому что мир — единственная истина, понятная народам Армении и Азербайджана. И эта истина откроет нам глаза и закроет источники вражды, и мы все будем смотреть в будущее.
Дамы и господа,
Разработанный правительством Республики Армения проект “Перекресток мира” также посвящен этому будущему. Цель проекта — не только открытие автомобильных дорог, железных дорог и других транспортных коммуникаций между Арменией и Азербайджаном, но и обеспечение связи между Арменией, Азербайджаном, Турцией и всем регионом, а также создание возможностей для прохождения трубопроводов и кабелей и, в конечном итоге, обеспечение контактов между людьми, что является ключевым и критическим фактором для построения мира.
Ключевым фактором для мира и развития является также то, что все это будет происходить с должным уважением к суверенитету, юрисдикции, территориальной целостности стран, на основе принципов равенства и взаимности, и мы готовы открыть наши транспортные коммуникации как для Азербайджана, так и для Турции, а также для других наших соседей и партнеров. И мы готовы сделать это даже сегодня. Прямо сегодня.
Кстати, “Перекресток мира” может стать частью Срединного коридора (Middle Corridor), обеспечив большую скорость и эффективность прохождения грузов по нему.
Республика Армения готова полностью обеспечить безопасность прохождения грузов, транспортных средств и людей по своей территории. Это наше желание, наше обязательство, и мы можем это сделать. Кстати, все утверждения о том, что Армения где-то, в каком-то документе якобы согласилась, что третьи силы должны обеспечивать безопасность коммуникаций на ее территории, являются просто искажением действительности.
Обязательство Армении однозначно: гарантировать безопасность грузов, транспортных средств и людей на своей территории, и мы это гарантируем.
Уважаемый председатель, дамы и господа,
Сегодня я не хочу направлять никаких негативных, тревожных или пессимистических месседжей, не потому, что их нет, а потому, что армянская пословица гласит: “Давайте говорить о хорошем, чтобы хорошее случилось”, имея в виду, что когда вы говорите о хорошем, то хорошие вещи, как правило, становятся реальностью. Возможно, в Азербайджане, Турции, Иране, Грузии и других странах мира есть аналогичная пословица, и все они считают ее своей.
Но “Давайте говорить о хорошем, чтобы хорошее случилось” — это не пустые слова. Конечно, нужно много работать и иногда принимать трудные решения.
В своей речи я изложил перед этой уважаемой аудиторией все обстоятельства, которые дают мне повод говорить о хорошем, чтобы хорошее случилось. И если мы будем полагаться на эти обстоятельства, хорошие вещи будут происходить, инициируя процесс уменьшения обстоятельств, которые порождают негатив.
Спасибо за внимание</t>
  </si>
  <si>
    <t>https://www.primeminister.am/ru/statements-and-messages/item/2024/09/26/Nikol-Pashinyan-UN-Speech</t>
  </si>
  <si>
    <t>Уважаемая г-жа председатель,
Ваши Превосходительства,
Уважаемые коллеги,
Дамы и господа,
Основным содержанием выступлений всех руководителей Республики Армения с этой трибуны был конфликт между Республикой Армения и Азербайджанской Республикой. Такими же были и мои выступления с 2018 по 2023 год.
В прошлом году, выступая на 79-й сессии Генеральной Ассамблеи, я впервые попытался говорить не о конфликте между Арменией и Азербайджаном, а о мире. Моя речь была очень осторожной, очень неопределенной, хотя на тот момент уже было впервые делимитировано более 12 километров армяно-азербайджанской межгосударственной границы, а положения о совместной деятельности комиссий двух стран по делимитации были подписаны вице-премьерами обеих государств.
После того моего выступления в армяно-азербайджанских отношениях произошли поворотные события. Во-первых, положения о совместной деятельности комиссий по делимитации границы были ратифицированы как в Армении, так и в Азербайджане, получив высшую юридическую силу.
Это первый двусторонний международный документ, подписанный и ратифицированный Арменией и Азербайджаном.
В нем Алма-Атинская декларация от 21 декабря 1991 года зафиксирована в качестве основного принципа делимитации границы между двумя странами, речь идет о делимитации межгосударственной границы.
Таким образом, оптимистичные процессы предшествующего периода в прошедшем году получили свое продолжение.
В марте текущего года Армения и Азербайджан смогли согласовать проект соглашения об установлении мира и межгосударственных отношений и завершить переговоры по нему с таким положительным результатом.
В этом документе стороны, ссылаясь на Алма-Атинскую декларацию, вновь подтверждают понимание того, что границы между бывшими Советскими Социалистическими Республиками стали международными границами соответствующих независимых государств, и на этой основе признают и уважают суверенитет, территориальную целостность, нерушимость международных границ и политическую независимость друг друга.
Как вы уже видели, ссылка на Алма-Атинскую декларацию означает, что обе страны признают, что территория Республики Армения тождественна территории Армянской Советской Социалистической Республики, а территория Азербайджанской Республики тождественна территории Азербайджанской Советской Социалистической Республики, и границы, охватывающие эти территории, неприкосновенны.
Вышеупомянутое соглашение об установлении мира и межгосударственных отношений между Арменией и Азербайджаном было парафировано 8 августа текущего года в столице США, Вашингтоне, в Белом доме, министрами иностранных дел двух стран в присутствии президента США, президента Азербайджана и премьер-министра Армении.
Кульминацией состоявшейся в Белом доме 8 августа встречи стала Декларация, принятая вместе с президентом Азербайджана по итогам встречи, которую подписал в качестве свидетеля также президент США Дональд Трамп.
В этой Декларации зафиксировано, что Армения и Азербайджан признают необходимость наметить в соответствии с Уставом Организации Объединенных Наций и Алма-Атинской декларацией 1991 года курс к светлому будущему, не связанному с конфликтом прошлого, и после конфликта, принесшего огромные человеческие страдания, созданы условия для того, чтобы наши народы, наконец, вступили на путь добрососедских отношений, основанных на нерушимости международных границ и недопустимости применения силы для приобретения территории.
«Эта реалия, которая не подлежит и никогда не должна подвергаться пересмотру, открывает путь к закрытию страницы вражды между нашими народами. Мы решительно отвергаем и исключаем любые попытки реваншизма и сейчас, и в будущем», — говорится в Декларации.
В том же документе мы, руководители Армении и Азербайджана, подтвердили важность открытия коммуникаций между двумя странами для внутригосударственных, двусторонних и международных перевозок в целях содействия миру, стабильности и процветанию в регионе и его окрестностях на основе уважения суверенитета, территориальной целостности и юрисдикции государств. Эти усилия должны включать беспрепятственное сообщение между основной частью Азербайджанской Республики и ее Нахичеванской Автономной Республикой через территорию Республики Армения с взаимными выгодами для международных и внутригосударственных перевозок для Республики Армения.
Было также зафиксировано, что Республика Армения будет работать с Соединенными Штатами Америки и согласованными совместно третьими сторонами над выработкой рамок проекта транспортной связанности «Дорога Трампа во имя международного мира и процветания» («Trump Route for International Peace and Prosperity», TRIPP) на территории Республики Армения.
Мы подтвердили нашу решимость прилагать добросовестные усилия для достижения этой цели в максимально сжатые сроки.
Уважаемая г-жа председатель, дамы и господа,
Что все это значит? Все это, дамы и господа, означает, — и я рад сообщить об этом всему международному сообществу, — что между Республикой Армения и Азербайджанской установлен мир.
В этом мирном процессе очень важна роль президента США Дональда Трампа, чья самоотверженность, последовательность и принципиальность сделали возможным то, что казалось невозможным.
Именно поэтому мы договорились с президентом Азербайджана Ильхамом Алиевым о совместном решении выдвинуть президента Трампа на Нобелевскую премию мира, поскольку на собственном примере убедились в истинной приверженности президента Трампа идее мира.
Я хотел бы также подчеркнуть роль народов, правительств и парламентов Армении и Азербайджана, без поддержки которых, конечно, достичь этой вехи было бы невозможно.
Таким образом, мир установлен. Однако мир — это не отпуск, а работа, каждодневный труд.
Мир требует ежедневного ухода, как новорожденный младенец, требует защиты от инфекций, холода и жары, равнодушия и пессимизма.
Конфликт, действительно, ставит перед нами гораздо меньше вопросов, и вариантов ответов в случае конфликта не так много. А мир ставит много вопросов, новых вопросов, еще больше вопросов, вопросы возникают постоянно, и мирная жизнь — это отвечать на эти вопросы с заботой, а не с пренебрежением; институционализация мира — это усердное размышление над этими вопросами и добросовестное формулирование ответов, и это постоянная необходимость, которой мы должны заниматься каждый день.
В этом контексте крайне важно выяснить судьбу пропавших без вести лиц и решить проблему лиц, которые лишились свободы в результате многолетнего конфликта, что также входит в повестку нашей ежедневной работы.
Инфраструктурный проект TRIPP будет действовать на территории Республики Армения, а его бизнес-модель будет согласована в двустороннем формате между США и Арменией.
TRIPP, состоящий из нескольких десятков километров различных инфраструктурных объектов, будет иметь как региональное, так и глобальное значение и влияние.
Кстати, в контексте заботы о установившемся мире и его поддержания крайне важно использовать легитимной и согласованной лексики, говоря об этом проекте.
Президент Азербайджана, с которым мы приняли Вашингтонскую декларацию, с тех пор неоднократно, в том числе и с этой трибуны, использовал выражение «Зангезурский коридор».
Подобного выражения нет в согласованных в Вашингтоне документах, его никогда не было в армяно-азербайджанских переговорах или документах. Думаю, моему азербайджанскому коллеге имеет смысл уточнить, что он имеет в виду, используя это выражение, поскольку в армянской действительности оно воспринимается как территориальное притязание к Армении и ассоциируется с конфликтным нарративом.
В документах от 8 августа мы договорились о четком содержании и нарративе, и невозможно понять, как можно каким-либо образом ставить под сомнение приверженность этим соглашениям — через упомянутые мной нарративы и/или через другие нарративы, выраженные с этой трибуны. Такие нарративы не укрепляют веру людей в мир и не вытекают из атмосферы мира и достигнутых на высшем уровне договоренностей.
С различных трибун президент Азербайджана говорит о якобы капитуляции Армении.
Честно говоря, я не понимаю, зачем при наличии такого огромного позитивного содержания, достигнутого совместными усилиями, использовать агрессивные подтексты, оторванные от объективной реальности. Разве мир не приносит достаточно радости и удовлетворения? Мне, например, приносит.
Мне также приносит радость тот факт, что Республика Армения — демократическое государство, развивающееся впечатляющими темпами, независимое, суверенное и строящее свое будущее сегодня, государство, которое не питает и не распространяет ненависть ни к своим соседям, ни к кому-либо еще.
Обращаю внимание международного сообщества на тот факт, что так называемый «Зангезурский коридор» и подобные нарративы не вытекают из достигнутых договоренностей, не имеют к ним никакого отношения, оказывают раздражающее и негативное воздействие и воспринимаются как территориальное притязание на суверенное государство, несмотря на достигнутые и заявленные соглашения.
Но это, конечно, ни на миллиметр не отвлечет нас от празднования достигнутого мира и выполнения заявленных договоренностей.
Кстати, в моем сегодняшнем выступлении вы не найдете ни одного уместного положения или фразы, обоснование которых я не смог бы привести ни в письменных соглашениях, достигнутых между Арменией и Азербайджаном в различных форматах, ни в документах, подписанных и опубликованных в Вашингтоне 8 августа. Предлагаю моему азербайджанскому коллеге сосредоточиться на скорейшей и точной реализации достигнутых договоренностей, и для этого важно использование легитимных нарративов.
Итак, в рамках объявленного в Вашингтоне 8 августа проекта TRIPP через территорию Армении пройдут железная дорога, автомагистраль, трубопроводы и линии электропередач, соединяющие Восток с Западом. В результате этого соглашения Север также будет соединен с Югом.
Одного географического перечисления достаточно, чтобы зафиксировать, что это точное отражение проекта «Перекресток мира», который я представлял с этой трибуны. Инфраструктурный проект TRIPP вытекает из программы «Перекресток мира», о развитии возможностей которой мы подписали двусторонний меморандум с президентом Трампом 8 августа в Вашингтоне.
Считаю необходимым отметить, что, в соответствии с Вашингтонской декларацией, открытие коммуникаций между Арменией и Азербайджаном для внутригосударственных, двусторонних и международных перевозок будет осуществляться на основе уважения суверенитета, территориальной целостности и юрисдикции государств.
Как я уже сказал, эти усилия направлены на обеспечение беспрепятственного сообщения между основной частью Азербайджанской Республики и Нахичеванской Автономной Республикой через территорию Республики Армения с взаимными выгодами для международных и внутригосударственных перевозок для Республики Армения.
Данные договоренности предоставляют Республике Армения хорошую возможность для внедрения современных технологий пограничного, таможенного и иного контроля не только в рамках TRIPP, но и на других пограничных пунктах, которые будут соответствовать самым передовым современным стандартам.
Для инфраструктурного проекта TRIPP важное значение имеет открытие границы между Арменией и Турцией: это касается открытия существующей железной дороги, автомобильных дорог, а также перспектив развития трубопроводов, линий электропередачи и кабельных линий.
Рад констатировать, что в последние годы между Арменией и Турцией установился беспрецедентный позитивный диалог. Мои встречи с президентом Эрдоганом носят регулярный характер, уровень доверия постоянно растет.
Это достижение, которое я высоко ценю, и уверен, что оно принесет позитивные результаты в обозримом будущем, а именно: установление дипломатических отношений между Арменией и Турцией и полное открытие межгосударственной границы.
Дамы и господа,
В последние годы география дипломатических отношений Республики Армения заметно и отрадно расширяется.
В течение 30 лет независимости Республика Армения не имела дипломатических отношений с Саудовской Аравией и Пакистаном. Рад отметить, что сейчас между нашими странами установлены дипломатические отношения и ведется диалог.
А традиционные связи Республики Армения заметно развиваются. Наш диалог и братство с Исламской Республикой Иран и Грузией становятся все более заметными. Эти отношения, наряду с нашими отношениями с Турцией и Азербайджаном, чрезвычайно важны для того, чтобы регион Южного Кавказа был мирным, стабильным и развивающимся.
В этом смысле я также считаю важным формат «3+3», который является важной площадкой для диалога со странами нашего региона и развития нашего традиционного диалога с Российской Федерацией, хотя у нас всегда существовали активные контакты с РФ в двустороннем формате.
Недавно мы установили стратегическое партнерство с Китаем и поддерживаем активные политические и торгово-экономические связи с Индией. Уравновешенная и уравновешивающая внешняя политика открывает перед нами новые горизонты. Мы активизируем наши отношения с Японией, Монголией, странами Ближнего Востока и Центральной Азии.
Дамы и господа,
В марте текущего года Национальное Собрание Республики Армения приняло закон «О начале процесса вступления Армении в Европейский союз», который имеет большое значение для нашей повестки.
Этот закон не только свидетельствует о беспрецедентно высоком уровне наших отношений с Европейским союзом, но и является прямым свидетельством нашей приверженности демократическим ценностям.
Многие спрашивают, когда Армения станет членом Европейского союза и насколько это реально. Во-первых, две из четырех наших соседей являются странами-кандидатами на членство в ЕС. Во-вторых, закон о начале процесса вступления в Европейский союз — это, прежде всего, стимул для нас к последовательному продолжению демократических реформ.
Мы хотим институционально и содержательно соответствовать стандартам ЕС. Без такого соответствия стать членом ЕС невозможно. Следовательно, когда Армения объективно будет соответствовать стандартам Европейского союза, у нас будет два пути: либо нас примут в ЕС в качестве государства-члена, либо не примут.
Примут — хорошо. Если же нет, мы выполним очень важную задачу, поставленную перед нами: Армения станет страной, соответствующей передовым современным стандартам.
Наше стремление соответствовать стандартам Европейского союза — это вопрос не геополитического, а скорее демократического выбора, поскольку после Ненасильственной бархатной народной революции, произошедшей в Армении в 2018 году, мы приняли демократию, верховенство закона, права человека и независимую судебную систему в качестве стратегии.
Для того чтобы сделать наши достижения в области демократии более институциональными и ориентированными на народ, мы намерены в ближайшем будущем сделать следующий шаг: после получения мандата народа на парламентских выборах 2026 года мы инициируем общенациональный референдум по принятию новой Конституции, в результате которого все ветви власти и действующая в стране правовая система будут органически связаны с создателем конституции, то есть с народом, что сделает государственность Армении прочной и ориентированной на народ.
Дамы и господа,
2026 год станет беспрецедентным с точки зрения международной вовлеченности Республики Армения.
В мае Республика Армения примет VIII саммит Европейского политического сообщества, и я сердечно приглашаю глав государств и правительств всех членов Сообщества принять участие в этом важнейшем мероприятии.
Этот саммит является ключевой площадкой для европейского политического диалога, формат которого позволяет нам всем действовать как единой команде, связанной общей ответственностью за европейскую и глобальную гармонию.
Кстати, именно на первом саммите Европейского политического сообщества, состоявшемся в Праге 6 октября 2022 года, в результате организованной Францией и Европейским союзом встречи Армения и Азербайджан впервые договорились о признании территориальной целостности и суверенитета друг друга на основе Алма-Атинской декларации. Как вы видите из моего текста, эта договоренность сыграла решающую роль. Это чрезвычайно важная договоренность, и в деле достижения этих договоренностей в Праге я хотел бы подчеркнуть особую роль президента Франции Эммануэля Макрона и его личный вклад.
Уважаемая г-жа председатель,
Ваши Превосходительства,
Уважаемые коллеги,
Дамы и господа,
С 18 по 30 октября 2026 года в Армении пройдет 17-я Конференция сторон Конвенции ООН о биологическом разнообразии, и для меня большая честь пригласить всех глав государств и правительств принять участие в этой конференции в Ереване.
Надеюсь, что к тому времени я доложу на 81-й сессии Генеральной Ассамблеи ООН, что соглашение о мире и установлении межгосударственных отношений между Арменией и Азербайджаном уже подписано, граница между Арменией и Турцией открыта, а значительная часть инвестиционного проекта TRIPP уже реализована.
Республика Армения подтверждает свою приверженность повестке мира и достигнутому миру.
Уверен, что благодаря тесному диалогу с Азербайджаном и поддержке стран региона и международного сообщества мы никогда больше не свернем с пути мира.
Да здравствует диалог, да здравствует дипломатия, да здравствует мир!</t>
  </si>
  <si>
    <t>https://www.primeminister.am/ru/statements-and-messages/item/2025/09/27/Nikol-Pashinyan-Speech/</t>
  </si>
  <si>
    <t>Абдылдаев</t>
  </si>
  <si>
    <t>уважаемый господин председатель, дамы и господа, позвольте поздравить господина могенса ликертовта с избранием председателем семьдесятой сессии генеральной ассамблеи оон и пожелать ему успехов на этом высоком и ответственном посту.
00:53
вместе с тем выражаем признательность председателю шестьдесят девятой сессии господина сэма кутиса за плодотворное руководство его работой.
01:02
также хочу поздравить государство- член оон и коллектив оон во главе с генеральным встарем оон пангимуном с семидесятилетним юбилеем организации и утверждением новой глобальной повестки в области развития до две тысячи тридцатого года.
01:18
мы приветствуем тему нынешних общеполитических прений. семьдесят лет оон- дорога мира, безопасности и прав человека, которая четко и красноречиво говорит сама за себя господин председатель.
01:34
текущий год также ознаменован и семидесятилетием со дня окончания второй мировой войны, ставшей самой кровавой и разрушительной в истории человечества.
01:46
считаем, что важнейшим итогом войны стал, прежде всего, разгром сил, вставших на путь вероломной агрессии.
01:54
не меньшее значение имело поражение бесперспективной политики, основанной на античеловеческой идеологии и тщетных попытках утверждения нового миропорядка победа во второй мировой войне способствовала утверждению таких ценностей, как признание свободы и равноправия народов, универсальность международно- правовых норм, не делящих мир на великие державы и остальной мир.
02:24
в данном контексте считаем исторической роль оон в качестве универсальной международной организации, включающие практически все страны мира, которым любое государство могло бы апеллировать в случае ущемления его интересов и безопасности.
02:41
сегодня позитивная роль и значение оон в жизнеобеспечении человеческой расы остаются незыблемыми и неоспоримыми.
02:49
организация остается единственной универсальной и наиболее легитимной структурой в области многосторонней дипломатии и межгосударственного сотрудничества.
03:01
кыргызстан признает центральную роль оон в поддержании международного мира и безопасности.
03:07
решение современных вызовов финансово- экономического, социального, культурно- гуманитарного и экологического характера, продвижение вопросов защиты прав человека, а также укрепление дружеских отношений с между странами в соответствии с принципами международного права.
03:26
мы выступаем за взаимный учет интересов и равноправные отношения между субъектами международного права, построение справедливого и демократического миропорядка, основывающегося на многостороннем подходе.
03:40
считаем, что именно такому развитию международных отношений должна способствовать наша организация- организация объединенных наций.
03:49
по иронии истории, семидесятилетие окончания второй мировой войны и создание оон, ставшего символом единения и коллективизма, по времени совпало с тревожной международной ситуацией.
04:04
спустя четверть века после завершения холодной войны международное сообщество вновь столкнулось с угрозой поляризации мира, нарушением основополагающих норм международного права, ростом вооруженных конфликтов и других негативных явлений.
04:21
вместо разрушенной берлинской стены возводятся новые стены, стены из санкций, запретов и торговых барьеров.
04:30
среди членов совета безопасности усилились разногласия, что не способствует поддержанию мира и стабильности.
04:38
мы столкнулись с ситуациями, когда некоторые государства предпочитают действовать вне рамок совета безопасности оон.
04:47
такой подход считаем контрпродуктивным, не соответствующим целям и принципам устава оон и ведущим к усугублению разногласий, потери доверия, дестабилизации международной обстановки и новой гонки вооружений.
05:02
господин председатель, на прошедшем саммите оон по устойчивому развитию мы все стали участниками знаменательного события и одновременно приняли на себя высокое обязательство по коллективному обеспечению в последующие пятнадцать лет устойчивого развития человечества в гармонии с природой.
05:21
кыргызстан приветствует принятие семнадцати всеобъемлющих целей устойчивого развития из связанных с ними целевых задач.
05:30
мы приложим все усилия для их полноценной реализации соразмерно национальным возможностям, а также продолжение целенаправленную работу по улучшению неиспользованных полностью показателей цели развития тысячелетия.
05:50
вместе с тем, реализация целей устойчивого развития на национальном уровне требует решения вопроса его адекватного международного финансирования.
05:58
этот вопрос горячо и всесородно обсуждался между наименее развитыми странами и государственными донорами на третьей конференции оон по финансированию развития в эфиопской столице адис- абебе в середине июля этого года.
06:10
мы согласны с мнением, что развивающие страны должны брать больше ответственности за финансирование национальных программ развития за счет эффективного использования внутренних резервов, улучшения налогового администрирования, борьбы с коррупцией.
06:25
однако и страны- доноры также должны оставаться вовлеченными и как можно скорее выполнить свои обязательства по увеличению объема официальной помощи в целях развития до показателя ноль- целых семь процентов от своих валовых национальных доходов.
06:41
с другой стороны, хотелось бы особо подчеркнуть необходимость и возможность создания и сохранения благоприятных условий для устойчивого развития государства.
06:50
в этой связи кыргызстан с учетом своего национального опыта исходит из того, что любое государство имеет право на развитие.
07:00
считаем, что такое право неотъемлемо и не может кем- либо или чем- либо ограничено.
07:08
уверены, что вопросы гарантий такого права также актуальны и для большинства развивающихся стран по всему миру.
07:16
как представляется, это особо близко к государствам, не имеющим выхода к морю малым островным государствам, странам с наиболее уязвимым к изменению климата, а также с большими долговыми обязательствами, не имеющим широких возможностей по искренней бедности.
07:34
с сожалением приходится констатировать, что сегодня все чаще возникает ситуация, когда отдельные государства, руководствуясь сугубо эгоистическими интересами, стремятся осуществлять свое развитие за счет развития других, ограничивая их возможности.
07:51
полагаем, что такого рода тенденции не должны иметь место в современном цивилизованном мире.
07:58
вместе с тем констатируем, что понятие права государственного развития до сих пор четко не закреплено в международном праве.
08:06
необходимо, конечно, уточнить, что право на развитие все же имеется в международном праве, однако исключительно в контексте прав человека.
08:14
речь, прежде всего, идет об уставе оон, всеобщей декларации прав человека и других документах.
08:21
вместе с тем считаем, что реализация соответствующих прав человека не может быть полноценной в случае, если аналогичным правом не будет обладать сам субъект международного права.
08:31
кыргызстан считает, что соблюдение и гарантия права государственного развития со временем должны стать основой построения справедливых международных отношений на глобальном уровне.
08:42
наряду с такими принципами, как уважение территориальной целостности и суверенитета, отказ от применения силы и невмешательства во внутренние дела.
08:50
в этой связи моя страна видит необходимость широкого распространения концепции права государственного развития в рамках оон.
08:57
предлагаем начать рассмотрение этого вопроса на экспертном уровне.
09:02
господин председатель, устойчивое развитие каждого государства во многом зависит от вопросов обеспечения безопасности и стабильности, в том числе на общемировом уровне.
09:13
полагаем, что сегодня страны должны отложить в сторону все разногласия и совместными усилиями под эгидой оон активнее бороться с терроризмом и насильственным экстремизмом.
09:26
кыргызстан решительно осуждает все акты терроризма, независимо от их мотивов, где бы и кем бы они ни совершались.
09:36
у терроризма есть корни и причины, но нет никаких оправданий.
09:42
при этом хотелось бы подчеркнуть, что мировое сообщество нуждается в совместном эффективном противодействии не только экстремизму, но и в отношении его насильственных проявлений.
09:53
сегодня мы становимся свидетелями того, что характер экстремистских угроз значительно меняется.
10:00
такого рода проявления уже в меньшей степени распространяется по географическому принципу.
10:06
имеют место повсеместная инфильтрация экстремистской идеологии в сознании людей, что подрывает основы общества изнутри.
10:14
в самых различных странах региона мира различные экстремистские и террористические организации, консолидировав свои силы на базе единой экстремистской идеологии становятся мощными преступными структурами, имеющими широкую сеть своих единомышленников.
10:32
в этой связи мы считаем, что понятие экстремизма не должно ограничено рассматриваться исключительно с точки зрения применяемых насильственных методов, но прежде всего, в ракурсе принятия превентивных мер по недопущению пагубного идеологического влияния.
10:49
также считаем необходимым нацелить политику государств на противодействие экстремистским проявлениям в сфере.
10:55
в этой сфере обеспечить эффективную защиту светского характера государств, укреплять взаимодействие с традиционными религиями при реализации права граждан на свободу вероисповедания.
11:09
говоря о противодействии экстремизму на национальном уровне, хотел бы отметить, что кыргызская сторона добросовестно выполняет свои обязательства и привержена конструктивному участию на национальном, региональном и международном уровнях в борьбе с этим злом.
11:25
резолюция двадцать один семьдесят восемь совета безопасности оон расценивается нами как решительный шаг в противодействии иностранным боевикам- террористам.
11:36
в рамках ее реализации мы направили свои усилия на укрепление пограничного контроля, авиационной безопасности, повышение потенциала правоохранительных органов и улучшения системы обмена информацией.
11:47
в феврале и мае текущего года суд нашей страны признал исламское государство, аннустра и ряд других организаций террористическими и экстремистскими и запретил деятельность в кыргызстане двадцать четвертого июля две тысячи пятнадцатого года подписан закон, предусматривающий ответственность за наемничество и участие граждан страны в вооруженных конфликтах или военных действиях на территории иностранных государств.
12:14
наши правоохранительные органы ведут активную борьбу с терроризмом и насильственным экстремизмом, и мы полны решимости продолжить ее.
12:22
мы искренне заинтересованы в мирном и стабильном развитии братского афганистана.
12:29
ровно год назад состоялась инаугурация президента гани ахмадзая и сформированного правительство национального единства во главе с доктором абдуллой абдуллой, что ознаменовало первую в истории афганистана демократическую передачу власти.
12:45
считаем важным введение афганской экономики на путь стабильного и устойчивого развития, что имеет решающее значение в борьбе с терроризмом и незаконным оборотом наркотиков.
12:57
призываем международное сообщество в лице доноров полностью выполнить свои обязательства показания содействия афганистану.
13:03
со своей стороны кыргызстан готов к тесному взаимодействию с афганистаном по региональным торговым, энергетическим и коммуникационным проектам.
13:13
нынешняя ситуация в ближневосточном регионе, раздираемом затяжными конфликтами, межконфессиональными столкновениями, является предметом особой обеспокоенности.
13:24
в результате гибнут тысячи невинных людей, включая детей и женщин.
13:29
мы призываем страны региона и конфликтующие стороны к прямым переговорам под эгидой оон с целью выхода на политическое решение проблем.
13:38
без проявления твердой политической воли и решимости невозможно остановить человека убийство и проложить путь к национальному единству, примирению и восстановлению.
13:50
считаем, что внешнее вмешательство в любой конфликт должно оставаться в качестве крайней меры и применяться исключительно санкции совета безопасности оон.
14:01
вместе с тем полагаем необходимым обратить внимание и на то, что сегодня проявляются новые вызовы мировой цивилизации, которые отходят от форм сугубо межгосударственных конфликтов и приобретают контуры идеологического противостояния.
14:16
причем речь идет не только об экстремистских религиозных проявлениях, но и о попытках насаждать собственное видение путей развития отдельных государств.
14:25
полагаем, что в данном контексте необходима принципиальная оценка таким проявлениям, независимо от источников распространения таких идеологий.
14:34
считаем, что члены совета безопасности оон, взявших в качестве стран- победителей по итогам второй мировой войны, на себя ответственность за судьбу мира сегодня также должны взять на себя ответственность и по противодействию таким проявлениям, которые подрывают фундаментальные основы развития межгосударственных отношений.
14:55
господин председатель, семьдесят лет прошло с момента первого использования ядерного оружия и сорок пять лет с даты вступления в силу договора о нераспространении ядерного оружия.
15:06
да, человечеству удалось не допустить рецидива применения ядерного оружия.
15:12
однако пока будет еще само ядерное оружие, будет сохраняться риски его преднамеренного или непроизвольного использования.
15:20
с сожалением отмечаем, что договор о всеобъемлющем запрещении ядерных испытаний до сих пор не вступил в силу, а обзор на конференции пятнадцатого года государств- участников договора о нераспространении ядерного оружия завершилось без принятия важнейшего итогового документа.
15:37
в этих условиях договор о зоне свободной от ядерного оружия в центральной азии является весомым вкладом в общемировой процесс ядерного разужения.
15:47
как депозитарий и координатор стран- участниц этого договора, кыргызстан выражает благодарность россии, китаю, франции и великобритании за ратификацию протокола о негативных гарантиях безопасности, а также призывает сша как можно скорее выполнить соответствующие внутригосударственные процедуры.
16:05
недавно мы стали свидетелями успешного завершения многолетних переговоров в формате иран и группа шести и принятия совместного всеобъемлющего плана действий по иранской ядерной программе.
16:18
хочу поздравить страны шестерки и исламскую республику иран по случаю этого исторического события в качестве участницы одной из новейших и безъядерных зон.
16:28
кыргызстан призывает страны ближнего востока осознать в регионе зону, свободной от ядерного оружия и всех других видов оружия массового уничтожения и системы его доставки.
16:38
это станет важной вехой в области разоружения, способствуя установлению мира на ближнем востоке.
16:46
господин председатель, в качестве важнейшего инструмента устойчивого развития, обеспечения безопасности страны мы рассматриваем укрепление всего спектра сотрудничества с нашими непосредственными соседями.
16:58
в условиях нашего региона сотрудничество и всесторонний диалог рассматривается нами в качестве единственного и безальтернативного пути решения имеющихся вопросов.
17:09
с другой стороны, приходится констатировать, что далеко не все существующие проблемы в регионе центральной азии удается успешно и оперативно решать.
17:18
речь, прежде всего, идет о развитии торгово- экономических отношений на справедливой и взаимовыгодной основе.
17:26
по- прежнему недостаточно активны усилия по разрешению пограничных вопросов, координация усилий в области обеспечения региональной безопасности, либерализации правил торговли, гармонизации национальных законодательств, обеспечение транзита по межгосударственным автомобильным и железнодорожным магистралям, координации подходов к развитию энергетики и транспортировки энергоносителей.
17:52
вопросы совместного водопользования также остро стоят на повестке дня вопросов межгосударственных отношений в центральной азии.
18:02
в этой связи хотелось бы отметить, что при реализации избранного курса развития моя страна намерена особое внимание обратить на развитие своего гидроэнергетического потенциала, который является основой устойчивого развития страны.
18:20
наша принципиальная позиция заключается в том, что вводные ресурсы и энергетика неразрывны и неотделимы друг от друга.
18:28
в этой связи в целях реализации своего права на развитие кыргызстан использует свой водный энергетический потенциал для достижения поступательного социально- экономического развития, в том числе на основе модели зеленой экономики.
18:42
не менее важным фактором неопределенности регионального масштаба является неурегулированность пограничных вопросов центральной азии.
18:51
вместе с тем, их успешное решение, без сомнения, отвечает интересам всех государств региона.
18:56
это в значительной степени способствовало бы повышению транзитного потенциала наших стран, развитию приграничной инфраструктуры, улучшению экономической ситуации и снижению социальной напряженности в регионе.
19:09
с учетом изложенного, считаем, что развитие всестороннего регионального сотрудничества должно быть основой для обеспечения устойчивого развития, стабильности и безопасности всей центральной азии.
19:21
фактическое отсутствие прямого многостороннего политического диалога непосредственно между самими странами центральной азии усугубляет имеющиеся оригинальные проблемы, препятствует экономическому развитию наших стран.
19:34
с сожалением приходится констатировать, что имеющиеся общие проблемы.
19:39
страны нашего региона на международных площадках не выступают единым фронтом и не объединяют свои усилия по решению этих вопросов на глобальном уровне.
19:49
в этой связи считаем, что сегодня, как никогда назрела необходимость создания широкой диалоговой площадки в формате пяти стран центральной азии.
19:58
создание такого качественного нового механизма, в рамках которого можно было бы предметно обсуждать вопросы торговли, экономики, границ, энергетики, водопользования, транспортного сопряжения, экологии, изменения климата.
20:12
виса нам на- на сущее необходимое. призываем наших соседей рассмотреть эту инициативу.
20:18
кыргызстан, в свою очередь, готов приступить к обсуждению деталей создания новой региональной платформы.
20:25
господин председатель. в политической декларации сабита о оон по устойчивому развитию мы условились укреплять демократию добросовестного управления, верховенства закона и уважения прав человека и обеспечивать экономический рост, который благоприятно содействует устойчивому развитию.
20:43
мы полностью разделяем этот тезис и со своей стороны вносим достойный вклад в международные усилия в этом направлении.
20:51
вместе с тем считаем важным особо отметить, что кыргызстан имеет свой исторический путь развития демократии, не привнесенный из ней и являющийся коренным элементом национального самосознания.
21:05
демократические ценности на протяжении многих веков лежали в основе развития нашего общества и не являются для нашего народа абстрактной чужеродной субстанцией.
21:16
кыргызстан в настоящее время, опираясь на собственный исторический и культурный опыт, последовательно продолжает развивать и укреплять национальную модель государственного управления, основанную на принципах парламентской демократии.
21:30
на днях в моей стране состоятся очередные выборы в национальный парламент, которые во многом станут индикатором уровня демократического развития страны, а их итоги- залогом единства народа и сплоченности.
21:45
мы намерены обеспечить проведение этих выборов на основе демократических принципов, открытости и справедливости, в соответствии с национальным законодательством и международными обязательствами.
21:57
в августе этого года произошло историческое событие для кыргызстана- мы стали полноправными членами в евразийском экономическом союзе.
22:05
кыргызстан получил беспрепятственный доступ на региональный рынок товаров и услуг, капиталы рабочей силы, а также дополнительную возможность развивать сельское хозяйство и промышленность, раскручивать транспортно- транзитный потенциал.
22:19
участие в этой интеграционной структуре также будет способствовать повышению конкурентоспособности национальной экономики и ее интеграции в мировые хозяйственные связи.
22:30
вместе с тем, благодаря положительным результатам проведения в последние годы целенаправленной экономической политики, в две тысячи четырнадцатом году всемирный банк исключил кыргызстан из числа бедных государств и перевел в разряд развивающихся стран со средним уровнем дохода.
22:47
для поддержания устойчивых темпов экономического роста в кыргызстане пятнадцатый год был объявлен годом укрепления национальной экономики.
22:56
хотелось бы также отметить, что в кыргызстане ведется бескомпромиссная борьба против коррупции.
23:01
в две тысячи четырнадцатом году кргызстан улучшил статус в международном рейтинге восприятия коррупции, переместившись со сто пятьдесят позиций на сто тридцать шестую.
23:12
мы настроены продолжать работу в данном направлении в соответствии с международной компанией по укреплению добросовестного управления.
23:20
защита прав человека является одним из основных приоритетов государственной политики.
23:25
кыргызстан старается полностью исполнять взятые на себя обязательства вмках устава оон всеобъемлющая декларация прав человека и других международных права, человеческих договоров и соглашений.
23:36
сегодня в кыргызстане действует свободная пресса и активно развивается гражданское общество, укрепляется межэтнический мир и согласие.
23:44
в настоящее время наша страна усиленно работает над своим избранием в члены совета оон по правам человека на две тысячи шестнадцатый- восемнадцатый годы.
23:54
в этой связи имеют честь еще раз обратиться к государствам- членам оон поддержать нашу каннитуру на выборах в октябре этого года, господин председатель, в заключении хочу снова вернуться к теме зарождения семьдесят лет назад оон, которое вселило нам чувство уверенности в завтрашнем дне и стало воплощением лучших общечеловеческих идеалов и защитником интересов всех народов мира.
24:25
за семьдесят лет своего существования оон прочно утвердилась как эффективный и общепризнанный центр системы международной безопасности.
24:33
ответственности. неоценимым достижением ум являются механизмы предотвращения конфликтов, беспристрастного посредничества, поддержания мира и миростроительства.
24:48
оон также стало важнейшим инструментом решения международных социально- экономических, финансовых, культурно- гуманитарных и других проблем.
24:58
специализированные учреждения, фонды, программы и органы системы оон являются востребованными и эффективными партнерами развивающихся государств.
25:09
сегодня человечество проходит сложный отрезок на пути своего эволюционного развитития, а оон- испытание на свое соответствие требованиям современного миропорядка.
25:23
в этой ситуации мы должны объединить общие усилия всех государств- членов оон в борьбе с глобальными вызовами и угрозами международной безопасности и по обеспечению устойчивого развития.
25:35
в авангарде этой компании должна быть реформированная оон, которая должна иметь безусловную политическую и финансовую поддержку своих государств- членов.
25:46
в этой связи призываем поддержать и укрепить нашу организацию со своей стороны.
25:53
со своей стороны кыргызстан всегда будет активно и ответственно содействовать в рамках оон с целью поддержки ее деятельности и совместного решения глобальных проблем.
26:04
спасибо за внимание.</t>
  </si>
  <si>
    <t>https://www.youtube.com/watch?v=uIyyVoTxkYw</t>
  </si>
  <si>
    <t>уважаемый господин председатель, ваше превосходительство, дамы и господа.
00:33
прежде всего, позвольте поздравить господина петра томпсона с избранием на пост председателя семьдесят первой сессии генеральной ассамблеи оон.
00:42
также позвольте поблагодарить председателя семьдесятой сессии генассамблеи оон господина могенса ликетофа за плодотворное руководство его работой.
00:53
кыргызстан поддерживает тему нынешних дебатов цели устойчивого развития- всеобщие усилия для изменения мира, которая видится нам весьма своевременной с учетом принятия в прошлом году семнадцати целей устойчивого развития и парижского соглашения в области изменения климата.
01:14
господин председатель, тридцать первого августа этого года кыргызстан отметил двадцатипятилетие своей независимости.
01:22
все это время кыргызстан движется по нелегкому пути к построению демократического, правового и экономически развитого государства.
01:33
прошло всего шесть лет после апрельской народной революции две тысячи десятого года, которая открыла путь к возрождению кыргызстана.
01:42
мы гордимся достижениями нашей страны за этот период.
01:46
наша страна прошла свой особый и очень трудный путь к свободе и демократии, заплатила немалую цену.
01:57
свободолюбивый народ кыргызстана, извлекая тяжелые уроки из ошибок первых двадцати лет независимости, сегодня вышел на путь стабильности и представил миру свой опыт преодоления острых общественно- политических кризисов и построения общества свободных людей.
02:16
кыргызстан выстрадал и сделал свой осознанный выбор в пользу построения парламентской демократии.
02:24
в октябре две тысячи пятнадцатого года мы впервые в истории своей страны провели выборы в национальный парламент с использованием биометрических технологий.
02:33
результаты выборов были приняты всеми политическими силами и стали залогом единства народа.
02:40
также международное сообщество единогласно признало их как демократические.
02:45
пользуясь случаем, хотел бы выразить генеральному секретарю оон и всем дружественным странам признательность за их поддержку при подготовке к парламентским выборам.
02:55
в следующем семнадцатом году в нашей стране состоятся очередные президентские выборы.
03:00
в этой связи мы призываем оон и страны- партнеры продолжить поддерживать наши усилия по проведению выборов главы государства в соответствии с международными стандартами.
03:12
господин председатель, кыргызстан всецело поддерживает принятую всеобъемлющую повестку международного развития до две тысячи тридцатого года.
03:21
мы приветствуем то, что цели устойчивого развития были выработаны с учетом уроков реализации целей развития тысячелетия, а также учитывают потребности развивающихся горных стран, не имеющих выхода к морю, к числу которых относится и наша страна.
03:38
среди целей устойчивого развития для кыргызстана наиболее приоритетными являются такие направления, как сокращение бедности, продовольственная безопасность, качественное образование и здравоохранение, экономический рост, энергетика и охрана окружающей среды.
03:55
как известно, одним из трех столпов повестки международного развития до две тысячи тридцатого года является экологическое измерение.
04:03
в париже мы все вместе достигли консенсуса по соглашению в области изменения климата.
04:09
со своей стороны кыргызстан полностью поддерживает это глобальное соглашение, и вчера мы подписали парижское соглашение на полях генассамблеи оон в кыргызстане.
04:19
последствия повышения глобальной температуры уже приводят к природным катаклизмам и чрезвычайным ситуациям: колебани водности горных рек, чрезмерному таянию ледников, деградации уникальных горных систем и, как следствие, к негативным социальным последствиям.
04:38
наносится ощутимый урон секторам экономики. по нашим оценкам, ежегодный ущерб от природных бедствий в кыргызстане составляет порядка тридцать пять миллионов долларов в сша.
04:49
в этой связи наша страна нуждается в международной поддержке для адаптации к изменению климата.
04:56
нашу особую тревогу вызывает интенсивные тайны кыргызских ледников, которые являются природными хранилищами водных ресурсов центральной азии.
05:05
по прогнозам, к две тысячи двадцать пятому году общая площадь ледников в кыргызстане может в среднем сократиться на тридцать- сорок процентов, вследствие чего уменьшится водность наших рек на двадцать пять- тридцать пять процентов.
05:19
в этой связи кыргызстан выступает за реализацию совместных проектов по сохранению ледников в странах верховья в нашем регионе.
05:28
кроме того, из- за изменения климата под угрозой исчезновения оказалось и биоразнообразие наших горных экосистем.
05:35
в частности, с девяностых годов популяции снежного барса уменьшилось вдвое- до трехсот особей.
05:43
в две тысячи тринадцатом году кыргызстан провел первый всемирный форум по сохранению популизации снежного барса, который стал отправной точкой для взаимодействия стран ареал обитания снежного барса, а также наших международных партнеров.
05:57
в следующем семнадцатом году кыргызстан созывает второй всемирный форум, на котором мы подведем итоги проведенной работы и определим дальнейшие совместные действия по сохранению этих редких животных.
06:10
еще одна острая проблема, которой невозможно решить без участия мирового сообщества, это многочисленные урановые хвостохранилища, расположенные в странах нашего региона.
06:21
масштаб проблем требует целенаправленно и скоординированной работы в рамках резолюции генассамблеи оон номер шестьдесят восемь двести восемнадцать.
06:29
роль международного сообщества в превращении радиационной угрозы. в связи с этим нами вносятся предложения провести в мае- июне две тысячи семнадцатого года международный форум высокого уровня по данной резолюции.
06:43
кыргызская республика готова осуществить соответствующие подготовительные работы совместно с заинтересованными странами и международными организациями.
06:52
надеемся на поддержку международного сообщества в этом направлении, господин председатель.
06:58
устойчивое развитие каждого государства зависит от обеспечения безопасности и стабильности, в том числе на глобальном уровне.
07:06
к сожалению, наша нынешняя встреча в оон проходит на фоне международной напряженности в афганистане, в странах ближнего востока и северной африки, в украине.
07:17
в отношениях между ведущими державами мира не сняты противоречия по актуальным вопросам международной политики, продолжается санкционное противостояние.
07:27
таким образом, международная ситуация и конфронтационные позиции некоторых стран не способствуют решению современных вызовов и угроз на основе коллективного подхода под эгидой оон.
07:39
вместе с тем и глобальный характер требует от всех без исключения стран мира продолжить сотрудничество и взаимодействие в интересах всего человечества.
07:49
в этой связи считаем, что мировые державы должны отложить в сторону все разногласия и общими усилиями находить противодействие угрозам международной безопасности.
08:00
в эпоху глобализации происходящие процессы затрагивают не только стороны конфликта, но и другие страны.
08:07
кыргызстан не является исключением. такие феномены, как терроризм, экстремизм, религиозная нетерпимость и радикализация, которые получили начало и развитие далеко за пределами нашей страны, к сожалению, не обошли стороной кыргызстан.
08:24
мы вынуждены действовать, чтобы защитить интересы государства и наших граждан, однако считаем более эффективным локализовывать их, в первую очередь в непосредственных очагах.
08:36
важно оказывать международную помощь странам, которые на национальном уровне борются с ними, в том числе в рамках плана действий по предупреждению насильственного экстремизма, предложенного генеральным секретарем оон в январе этого года.
08:51
в борьбе с терроризмом и экстремизмом наряду с силовыми подходами важно использовать превентивные меры и развивать межкультурный диалог.
09:00
у кыргыззстана, как и у каждого народа, этноса страны, есть своя уникальная.
09:05
истории культуры. для популяризации миролюбивых ценностей, традиций и обычаев кочевой цивилизации кыргызстан в две тысячи одиннадцатом году выдвинул инициативу во всемирных играх кочевников.
09:17
так, в две тысячи четырнадцатом году на берегу горного озера иссык- куль с успехом были проведены первые в истории всемирной игры кочевников.
09:25
буквально две недели назад там же, на иссык- куле, и состоялись вторые всемирные игры кочевников, в которых приняли участие представители и спортсмены шестидесяти двух стран.
09:35
тысячи людей стали свидетелями зрелищных спортивных состязаний, отличающихся со своей самобытностью и уникальностью.
09:42
всемирные игры кочевников вносят вклад в укрепление взаимопонимания и сотрудничества между странами и народами различной культуры, религии.
09:50
именно в этой связи кыргызстан выступает за включение в резолюцию генассамблеи оон поощрение межрелигиозного и межкультурного диалога, взаимопонимания и сотрудничества во благо мира.
10:02
положение о поддержке проведения всемирных игр кочевников на периодической основе.
10:08
кыргызстан рассчитывает на поддержку данной инициативы со стороны государств оон.
10:14
господин председатель, кыргызстан считает, что для устойчивого развития и обеспечения безопасности странам центральной азии необходимо укреплять, прежде всего, доверие и взаимодействие.
10:27
сегодня приходится констатировать, что далеко не все существующие проблемы в регионе центральной азии удается успешно и оперативно решать.
10:36
недостаточно активные усилия в области обеспечения региональной безопасности, либерализации правил торговли, обеспечение транзита по государственным автомобильным, железнодорожным магистралям и другим вопросам.
10:50
важным фактором для региональной стабильности должно стать разрешение пограничных вопросов.
10:56
к сожалению, сегодня все чаще возникают ситуации, когда отдельное государство стремятся осуществлять свое развитие за счет других стран, ограничивая их возможности.
11:07
полагаем, что такого рода и тенденции не должны иметь место в современном цивилизованном мире.
11:13
для подлинного обеспечения права на развитие очень важно добиваться того, чтобы крупные государства и транснациональные корпорации не диктовали свои условия и не ограничивали развитие других стран, не препятствовали реализации эффективных проектов и тем более не вмешивались в их внутренние дела.
11:31
в цивилизованном мире нельзя допускать развитие одних государств за счет развития других.
11:37
полагаем, что любое международное сотрудничество должно основываться на принципах взаимной выгоды и уважения интересов друг друга.
11:45
для достижения этого мы считаем в настоящее время весьма актуальным на международном правовом уровне прямо закрепить право государственного развития.
11:56
господин председатель, вопрос водно энергетических отношений в центральной азии заслуживает отдельного внимания.
12:02
как известно, после распада ссср начались дезинтеграционные процессы в центральной азии.
12:10
согласованные режимы взаимообмена водными и энергетическими ресурсами были разрушены.
12:16
несмотря на это, кыргызская республика продолжает накапливать воду в своих водохранилищах, в то время как цены на энергоресурсы, поставляемые из соседних стран, росли и растут из года в год.
12:28
по сути, это была игра в одни ворота.
12:32
в данных условиях кыргызстан был вынужден перейти на выработку недорогой и чистой электроэнергии на своих гидроэлектростанциях, чтобы обеспечить население теплом и энергии.
12:43
мы до сих пор испытываем дефицит электроэнергии, особенно в зимний период.
12:48
имея значительный запас пресной воды, кыргызстан в рамках существующих отношений не получает адекватной экономической компенсации за услуги по накоплению и сохранению водных ресурсов, значимых для всего региона.
13:03
в этой связи мы полагаем, что страны центральной азии должны прийти к единому пониманию сути, что такое комплексное использование водных и энергетических ресурсов.
13:14
сегодня центральная азия располагает значительным потенциалом для перехода на экологически чистую электроэнергию.
13:21
реализация проектов по строительству гэс в кыргызстане и таджикистане могла бы полностью обеспечить потребностями страны центральной азии в энергии и тем самым создать благоприятные условия для устойчивого развития всего нашего региона.
13:35
это полностью соответствует седьмой цели устойчивого развития- относительно недорогой и чистой энергии.
13:43
другим важным фактором для региональной стабильности в центральной азии является скорейшее разрешение пограничных вопросов на основе принципов и норм международного права.
13:54
мы призываем решать существующие региональные вопросы исключительно мирным путем, посредством политических и дипломатических средств в соответствии с принципами международного права, взаимопонимания и поиска компромиссов без применения или угрозы применения силой.
14:13
со своей стороны кыргызстан остается открытым к диалогу и сотрудничеству со всеми заинтересованными сторонами.
14:21
господин председатель, в нашем совместном противостоянии современным вызовам и угрозам роль оон значительно возрастает.
14:29
однако наряду с ростом значимости организации возрастает ее ответственность за принимаемые решения, за судьбы всего мирового сообщества.
14:38
в настоящее время пятнадцать членов совета безопасности оон фактически решают вопросы безопасности всех государств.
14:45
от достижения ими консолидированной позиции зависят вопросы войны и мира, безопасности и стабильности в различных уголках нашей планеты.
14:54
более того, пять постоянных членов совета безопасности оон всегда могут заблокировать любое решение.
15:01
в этой связи мы считаем, что давно назрела реформа главнейшего международного органа оон, который должен учитывать интересы значительно большего числа государств.
15:13
в условиях учреждения организации, когда первоначально государство- членов было только пятьдесят, численность членов совета безопасности была оправдана.
15:23
но сейчас численность организации составляет сто девяносто три государства- члена.
15:28
мы считаем, что распространение демократии не должно ограничиваться национальными рамками государств.
15:35
наступила пора внедрения демократических принципов при выборах членов главных органов оон, в том числе и совета безопасности.
15:44
другая реформа должна коснуться процесса избрания генерального секретаря оон.
15:48
мы приветствуем процедурные изменения, когда впервые за семьдесятиоднолетнюю историю организации все государства- члены имели возможность заблаговременно познакомиться с кандидатами на этот высокий пост и их предвыборными программами в ходе прошедших консультаций.
16:05
вместе с тем мы считаем, что на этом останавливаться нельзя.
16:08
мы выступаем за внедрение прямых выборов генерального секретаря путем голосования на генеральной ассамблее оон.
16:16
господин председатель, хотел бы затронуть еще одну проблему.
16:21
с двадцатого по двадцать третье сентября две тысячи шестнадцатого года бюро по демократическим институтам и правам человека обсе предоставило площадку для выступления кадыржану батырову, осужденному решением верховного суда кыргызской республики и заочно приговоренному к пожизненному лишению свободы за тяжкие преступления по организации и разжиганию межэтнической розни в две тысячи десятом году, тем более находящимся в розыске.
16:50
он также объявлен в розыск и российской федерации в две тысячи тринадцатом году за мошенничество в особо крупном размере.
16:57
кыргызстану в сотрудничестве с обсе удалось достичь многих и блестящих успехов.
17:04
однако бдипч обсе своей политикой провоцирует конфликт, который может привести к дестабилизации ситуации и непредсказуемым последствиям в нашей стране.
17:16
мы- страна, которая с трудом встала на путь построения парламентской демократии.
17:22
мы неукоснительно и скрупулезно выполняли и выполняем все рекомендации обсе и бдич.
17:28
мы считаем, что вы уже указаны действия б дичь- знак крайнего неуважения не только к судебной системе государства, но и ко всему народу кыргызстана.
17:36
мы не можем расценивать это иначе как вызов в кыргызской республике, идущий тернистым и трудным путем построения подлинной демократии.
17:44
таким образом, ежегодные совещания в дипч обсе могут превратиться в площадку, где будут иметь право выступить и уголовные элементы, совершившие особо тяжкие преступления.
17:55
если сегодня птичь так поступает по отношению кыргызстану и другим странам, то не исключено, что в его мероприятиях в будущем будут принимать участие и представители террористов из игил, погрязших в ужасающих весь мир кровавых.
18:09
преступления против человечества. кыргызская республика полностью разделяет демократические ценности обсе и на деле реализует их.
18:18
однако мы решительно против двойных стандартов и превращения этой организации в институт провокаций и вмешательства во во внутренние дела суверенных государств.
18:28
уважаемый председатель, дамы и господа. в завершении выступления хотел бы отметить нашу убежденность в том, что реализация целей устойчивого развития и парижского климатического соглашения должны оставаться главным приоритетом в консолидированных действиях международного сообщества.
18:44
необходимо обеспечить, чтобы никто не был оставлен позади, и прежде всего, горные развивающие страны, не имеющие выхода к морю.
18:53
в ближайшее время необходимо добиться победы над деструктивными силами терроризма и экстремизма, которые подрывают мир и стабильность в разных регионах мира.
19:03
считаем, что в этом вопросе необходимо полноценное сотрудничество ведущих держав мира.
19:08
им также следует прекратить в отношении друг друга взаимные санкции, от которых страдают и другие страны.
19:16
в нашем совместном противостоянии современным вызовам и угрозам роль оон значительно возрастает.
19:21
в этой связи мы призываем всесторонне поддерживать и укреплять нашу организацию с целью коллективного решения глобальных проблем во благо устойчивого развития.
19:31
благодарю за внимание.
19:39
я благодарю министра иностранных дел кыргызстана за заявление.</t>
  </si>
  <si>
    <t>https://yandex.ru/video/preview/8193028382955238475</t>
  </si>
  <si>
    <t>Президент Кыргызской Республики Алмазбек Атамбаев сегодня, 20 сентября, выступил на 72-й сессии Генеральной Ассамблеи Организации Объединенных Наций. 
Текст выступления Главы государства:
Уважаемый господин Председатель!
Уважаемый господин Генеральный секретарь!
Ваши превосходительства!
Дамы и господа!
В начале своей речи хочу выразить соболезнования народу Мексики в связи с разрушительным землетрясение.
Позвольте мне поприветствовать вас всех от имени народа Кыргызской Республики!
Мой древний народ прошел долгий и трудный путь исторического развития и становления. Нам в своё время посчастливилось создать собственную письменность, своё многонациональное государство, именуемое в истории кыргызским великодержавием, кыргызским каганатом. 
К сожалению, последующие исторические события привели к потере государственности кыргызов и уничтожению большей части нашего народа.
О нас говорили, как об исчезающем этносе. Поэтому свобода, независимость и суверенное государство были национальной идеей, пассионарной движущей силой моего народа на всем протяжении его исторического пути. Этот путь привел страну к обретению суверенитета в 1991 году.
Однако борьба за свободу, демократию и справедливость продолжалась, и я горжусь своим свободолюбивым народом, который за последние 12 лет совершил две народные революции против диктаторских режимов и доказал, что единственным источником власти в Кыргызской Республике может быть только народ.
«В других странах подобные события могли разрушить демократию, принести много бед. Но Кыргызская Республика преодолела много трудных моментов, сохраняя демократическую систему. Я надеюсь, это станет уроком для других стран».
Это цитата слов Генерального секретаря ООН. Мыбесконечно благодарны господину Антониу Гутерришу за столь всеобъемлющую и объективную оценку исторических событий в новейшей истории нашей страны!
Господин Председатель!
Дамы и господа!
Наравне со всеми странами, избравшими путь устойчивого развития, Кыргызская Республика приняла на себя обязательства по достижению Целей Устойчивого Развития.
Благополучие и благосостояние человека – наша главная цель.
Несмотря на влияние мирового экономического и финансового кризиса, падение цен на энергоносители и санкционное противостояние мировых держав, ВВП Кыргызской Республики все последние годы стабильно растет, а кыргызский сом является одной из самых устойчивых валют среди стран СНГ.
Реализуются крупные проекты, идет активная работа по улучшению инфраструктуры.
Страна достигла энергетической независимости и стабильности энергосектора.
Кыргызская Республика из тупиковой страны превращается в транзитную. Мы выполняем все социальные обязательства. Увеличивается зарплата учителей и врачей, поэтапно повышается размер пенсий и пособий.
За последние пять лет крайняя бедность среди населения сократилась в 4,5 раза.
Мы начали настоящую, системную борьбу с коррупцией, начали чистку органов государственного управления от этого зла, особенно в высших эшелонах власти. В нашей стране больше нет привилегированных кругов или неприкасаемых лиц, как это было всего 6-7 лет назад.
Сегодня мы ведем диалог на равных со всеми иностранными партнерами. Выстраивая свою внешнеполитическую независимость, мы исходим из позиций защиты исключительно национальных интересов. И при этом мы отдаем особый приоритет региональной интеграции, а границы с нашими соседями становятся воротами дружбы и добрососедства.
Мир, согласие и стабильность – вот самое главное, чего мы достигли за последние годы. Страна меняется на глазах. Кыргызская Республика является первой и единственной страной в постсоветской Центральной Азии с парламентской демократией.
Международные организации, включая ООН признают Кыргызскую Республику как одно из самых свободных и стабильных государств с сильным гражданским обществом на евразийском континенте.
Особым достижением считаем внедрение новой модели избирательного процесса с использованием современных биометрических технологий для идентификации избирателей и обеспечения автоматического подсчета голосов избирателей, которая уже показала свою состоятельность в ходе парламентских выборов 2015 года и на референдуме 2016 года.
Демократичность и открытость проводимых в Кыргызской Республике выборных кампаний подтверждаются международными наблюдателями и, самое главное, принятием итогов выборов со стороны всех политических сил страны.
В нашей стране сегодня в разгаре агитационная кампания, идет активная подготовка к президентским выборам, которые намечены на 15 октября 2017 г. Для нас проведение честных и прозрачных выборов нового Президента - это залог дальнейшей стабильности в стране. И для этого у нас есть твердая политическая воля.
Я верю, что новое руководство страны продолжит курс дальнейшего развития страны как демократического и открытого государства.
Господин Председатель!
Дамы и господа!
В настоящее время в Кыргызстане разрабатывается долгосрочная Национальная стратегия устойчивого развития до 2040 года.
Стратегическими целями для дальнейшего устойчивого развития являются:
- ускоренное развитие экономики страны, обеспечение граждан достойной работой;
- обеспечение экономического и социального благополучия населения;
- безопасность и благоприятные условия жизни граждан страны;
- развитая парламентская демократия и сильное гражданское общество.
Одной из ключевых инициатив этой стратегии является программа «Таза Коом» («Чистое общество»), разработанная для продвижения принципов электронного управления и открытого общества в нашей стране.
В ходе своего визита в нашу страну Генеральный секретарь ООН господин Антонио Гутерриш отметил, что «Кыргызская Республика является не только лидером в Центрально Азиатском регионе по развитию демократии, но также становится региональным пионером в построении цифровой экономики и цифрового общества.
Я верю, что на основе всех предпринятых шагов в скором будущем Кыргызская Республика станет экономически развитой, социально благополучной и безопасной страной с развитым агропромышленным комплексом и промышленностью.
Страной безопасной и благоприятной для проживания и устойчивого туризма, участницей Горного партнерства, учитывая уникальную природу и историко-культурные памятники Великого Шелкового пути.
Страной здоровых, образованных, культурных, свободных и благополучных людей.
Страной справедливой и ответственной власти.
В 2040 году исполняется 1200 лет с начала эпохи Кыргызского великодержавия – Кыргызского каганата, государства кыргызов, достигшего своего могущества в IX-X веке.
Осознание ответственности перед историей и будущим обязывает наш народ выйти на рубеж 2040 года сильным, самодостаточным, высокоразвитым государством.
Господин Председатель!
Дамы и господа!
Последствия изменения климата уже выросли до степени угрозы, и горные страны, такие как Кыргызская Республика, оказались первыми в списке риска в силу своих сложных горных экосистем. Проблемы изменения климата оказывают влияние на все секторы экономики Кыргызской Республики и наносят значительный ущерб в виде участившихся различных природных катастроф в горных районах - селей, оползней, паводков и лавин.
Особую тревогу у нас вызывает интенсивное таяние кыргызских ледников, которые являются природными хранилищами, зоной формирования пресной воды не только в Центральной Азии, но и во всем мире.
По прогнозам, к 2025 году общая площадь ледников в Кыргызской Республике может в среднем сократиться на 30-40%, соответственно водность рек Центральной Азии может уменьшиться на 25-35%.
А к 2100 году ледники Кыргызской Республики вообще могут исчезнуть с поверхности Земли. Поэтому наша страна выступает за реализацию совместных проектов по сохранению ледников в горных экосистемах стран верховья.
Глубинная сущность перехода к устойчивому развитию заключается в выживании человечества и одновременном сохранении биосферы. Вследствие изменения климата под угрозой исчезновения оказались различные виды редких животных, биоразнообразие наших горных экосистем.
В частности, с 90-х годов популяция снежного барса во всем мире уменьшилась вдвое.
В 2013 году мы инициировали и провели Всемирный форум по сохранению снежного барса, который дал старт благородной миссии: возвести сохранение этого животного и его экосистем в единую для всех стратегическую природоохранную задачу.
Буквально три недели назад в Бишкеке успешно прошел Второй международный форум по сохранению снежного барса, итогом которого стал предложенный Кыргызской Республикой мультистрановой проект на региональном уровне с акцентом на сохранение национального и, что немаловажно, глобального биоразнообразия.
Господин Председатель!
Дамы и господа!
В современном мире человечество забывает свои истоки.
В хаотично раздробленном мире с разорванными связями всем нашим народам нужны объединяющие факторы, вместо политических идей, разделяющих народы по религиозным убеждениям или языку, в этой связи наша страна выступила инициатором ряда международных проектов и мероприятий.
В частности, с целью показать международному сообществу величие кочевой цивилизации, Кыргызская Республика представила уникальный проект – Всемирные игры кочевников, получившие международное признание со стороны Генеральной Ассамблеи ООН за вклад в межкультурный диалог.
В будущем году мы проведем третьи Игры и приглашаем всех принять в них участие.
В июле текущего года мы провели международный форум «Алтайская цивилизация и родственные народы алтайской языковой семьи».
Главной целью данного проекта является развитие и популяризация общего наследия и культурный обмен между народами, имеющими общие алтайские корни, укрепление и расширение сотрудничества между государствами, входящими в алтайскую языковую семью.
Укреплению мира и развитию межкультурного диалога посвящена и инициированная моей страной международная конференция на тему: «Ислам в современном светском государстве», которая пройдет 28-29 сентября в Бишкеке.
Нам представляется важным изучение опыта и обмен информацией по взаимодействию государства и религиозных институтов, и гражданских сообществ в светских странах.
Все перечисленные инициативы являются вкладом Кыргызской Республики в сохранение мира, стабильности, в развитие культурного многообразия и толерантности в противовес современным угрозам терроризма и радикализма.
Мы верим в плодотворность результатов этой работы.
Господин Председатель!
Дамы и господа!
Одним из ключевых факторов благополучия в Центральной Азии является взаимовыгодное использование водно-энергетических ресурсов.
Кыргызская Республика последовательно выступает за разработку и внедрение в регионе экономических механизмов водопользования.
Ограниченность водных ресурсов рано или поздно приведет к пониманию, что вода – это экономический ресурс, который требует разумного использования.
Хотел бы особо отметить, что вопросы водопользования в Центральной Азии могут и должны решаться только самими государствами региона путем открытого диалога с учетом интересов и потребностей всех сторон.
Недопустимо, чтобы международные и региональные организации навязывали странам Центральной Азии свои подходы и пути развития сотрудничества в данной сфере.
Уважаемый Председатель!
Не могу не затронуть проблему управления многочисленными урановыми хвостохранилищами в Кыргызской Республике, которые остались нам от Советского Союза и представляют угрозу для всего региона.
Общеизвестно, что ряд крупных урановых хвостохранилищ расположены в непосредственной близости к рекам и водным источникам.
В случае возможных аварий на хвостохранилищах, загрязнение рек региона высокотоксичными отходами может привести к крупным экологическим и гуманитарным бедствиям, что поставит под угрозу жизнь и здоровье миллионов людей, а также социально-экономическое развитие всех государств Центральной Азии. 
Поэтому в 2012 году Кыргызской Республикой было инициировано предложение о принятии специальной резолюции по проблемам уранового наследия в Центральной Азии, которая и была, затем принята Генеральной Ассамблеей ООН в 2013 году.
За пять лет нам удалось добиться существенного прогресса в решении проблем радиационной и экологической безопасности. Сегодня мы видим, что пора принимать новую резолюцию Генеральной Ассамблеи ООН с учетом достигнутых результатов.
В этой связи сегодня здесь в Нью-Йорке по данному вопросу состоится специальное совещание, одним из активных инициаторов, проведения которого выступила Кыргызская Республика.
Мы верим, что мероприятие будет способствовать продвижению новых программ и совместных мер, нацеленных на рекультивацию урановых хвостохранилищ. 
Господин Председатель!
Дамы и господа!
Касаясь вопросов мира и безопасности, устойчивого развития всех стран на планете, хотел бы затронуть тему терроризма.
Международное сообщество должно активнее бороться с терроризмом и экстремизмом и связанными с ними такими явлениями, как незаконный оборот наркотиков, торговля людьми и оружием, отмывание денег.
К сожалению, принимаемые меры остаются недостаточными, а порою вызывают противостояние между государствами.
Только сообща и только совместными усилиями всего можно эффективно противостоять угрозе терроризма и экстремизма.
Господин Председатель!
Дамы и господа!
Сегодня не могу не упомянуть сложившуюся ситуацию в Мьянме в отношении мусульман этой страны.
Кыргызстан решительно осуждает насилие, которому подвергается этническое меньшинство в Мьянме и убедительно призывает все стороны конфликта к мирному урегулированию ситуации.
Также мы призываем все страны мира соблюдать приверженность к положениям международных конвенций о нераспространении оружия массового уничтожения.
Господин Председатель!
Отрадно, что в нашем совместном противостоянии современным вызовам и угрозам роль ООН значительно возрастает. Однако, наряду с ростом значимости Организации, возрастает и ее ответственность. В настоящее время 15 членов Совета безопасности ООН фактически решают судьбы всех государств мира.
От достижения ими консенсуса зависят вопросы войны и мира, безопасности и стабильности в разных уголках нашей планеты.
Более того, пять постоянных членов Совета Безопасности ООН всегда могут заблокировать любое решение.
Кыргызская Республика выступает за принятие необходимых мер по совершенствованию Совета Безопасности ООН, которые будут учитывать интересы значительного большинства государств.
Дамы и господа!
Наш мир будет продолжать развиваться и трансформироваться, испытывать трудности и переживать кризисы, совершать прорывы и добиваться успехов в развитии.
Но всех нас объединяет стремление сохранить мир и согласие на нашей Земле, а для этого необходимо обеспечить равные условия и возможности развития каждой страны, чтобы «никто не был оставлен позади», наедине со своими бедами и проблемами.
Реализация Целей устойчивого развития, Парижского климатического соглашения и других договоренностей глобальной повестки дня должна оставаться главным приоритетом в консолидированных действиях международного сообщества.
Только вместе мы сможем построить мир, ориентированный на культурное многообразие;
мир, в основе которого стоит диалог, а не санкции;
мир, опирающийся на превентивные меры и высокую ответственность;
мир, где никто не будет позабыт и оставлен позади.
Так давайте же, объединив свои усилия, поможем всем людям на земле жить лучше, стать хоть чуточку счастливее!
Вместе мы можем обеспечить мир и достойную жизнь для всех на нашей планете Земля!</t>
  </si>
  <si>
    <t>https://www.nlkg.kg/ru/politics/geopolitics/prezident-almazbek-atambaev-vystupil-na-72-j-sessii-generalnoj-assamblei-oon</t>
  </si>
  <si>
    <t>Уважаемые дамы и господа! Позвольте приветствовать от имени Кыргызской Республики всех участников 73-й сессии Генеральной Ассамблеи ООН.
Глобальная политическая, экономическая и экологическая ситуация меняется быстро.
Усиливаются тенденции регионализма в мировой политике. Продолжается рост цен, недостаток ликвидности и «война» санкций в экономике.
Угроза терроризма и экстремизма охватила все страны.
Сохранение экологического равновесия стало глобальной задачей всей планеты.
Несмотря на место порождения этих проблем, они касаются всех, особенно малых стран с открытой экономикой.
Для Кыргызстана обозначенные процессы оказались чувствительными.
Поэтому считаю, что сегодня весьма своевременно обсуждение на площадке Генеральной Ассамблеи актуальности Организации Объединенных Наций для всех людей, а также глобального лидерства и совместной ответственности за мирные, справедливые и устойчивые общества.
Пользуясь высокой трибуной ООН, хотел бы обозначить вопросы национального, регионального и глобального уровня, актуальные с позиции нашей страны.
Мирная передача власти осенью 2017 года заложила прочную основу дальнейшего поступательного демократического развития Кыргызстана.
В настоящее время в Кыргызстане имеется политическая и социальная стабильность.
Это дает нам возможность ставить перед собой амбициозные цели на среднесрочную перспективу.
Кыргызстан выступает за развитие парламентской демократии в стране.
Предстоящие в 2020 году выборы в Парламент еще раз это подтвердят.
Мы глубоко убеждены, что именно парламентская демократия соответствует природе развития нашего общества.
Борьба против коррупции остается приоритетным направлением государственной политики Кыргызстана!
Сегодня перед нами стоит задача политической модернизации и развития экономики в соответствии с требованиями завтрашнего дня.
В первую очередь мы нацелены на реализацию судебно-правовой реформы и реорганизацию силовых структур.
Устойчивое развитие всех регионов Кыргызстана является залогом успешного развития, и это наиболее актуальный вопрос для нашей страны.
Мы ставим задачу улучшения инвестиционного климата, приступили к построению информационного общества, справедливого и прозрачного государственного управления.
Кыргызстан продолжит последовательно укреплять демократические принципы в развитии государства.
Государственное управление ориентировано на нужды каждого человека, обеспечение его прав, свобод и справедливости в обществе.
Все выше обозначенные реформы среднесрочного и долгосрочного периода включены в Национальную стратегию развития Кыргызстана до 2040 года.
Положения Национальной стратегии развития на долгосрочный период отвечают всем требованиям Глобальной Повестки ООН — 2030.
В связи с чем надеемся на дальнейшую поддержку ООН и стран-партнеров усилий Кыргызстана в его развитии.
Кыргызстан остается привержен осуществлению Целей Устойчивого Развития ООН.
Уважаемые дамы и господа!
Укрепление всего спектра сотрудничества в странах Центральной Азии мы рассматриваем как важнейший фактор обеспечения безопасности не только в регионе, но и в мире.
Отрадно отметить, что наше сотрудничество приобрело положительную динамику и вышло на принципиально новый уровень.
Стали традиционными встречи глав государств и глав внешнеполитических ведомств стран Центральной Азии.
Для Кыргызской Республики вопрос водопользования чрезвычайно важен.
Практика последних десятилетий использования водно-энергетических ресурсов в Центральной Азии показывает необходимость выработки новых подходов.
Мы убеждены, что комплексное использование водно-энергетических ресурсов в регионе должно определяться системой мер, направленных на устойчивое развитие всех центрально-азиатских государств.
Поэтому Кыргызстан последовательно выступает за разработку и внедрение в Центральной Азии взаимовыгодных экономических механизмов в данной сфере.
Сотрудничество и всесторонний диалог рассматриваются кыргызской стороной в качестве единственного и безальтернативного пути решения имеющихся вопросов.
В этом контексте мы видим также особую роль и новую миссию таких региональных объединений, как СНГ, ШОС, ОДКБ и ЕАЭС.
Сегодня стало весьма актуальным преодоление политики изоляции и развитие вектора сотрудничества и партнерства.
Ни одно государство не застраховано от угроз, связанных с терроризмом и экстремизмом.
Международное сообщество должно совместными усилиями активнее бороться с этим злом и такими явлениями, как незаконный оборот наркотиков, торговля людьми и оружием, отмывание денег и финансирование терроризма.
Это весьма актуально для нас, так как мы находимся на перекрестке наркотрафика.
К сожалению, принимаемые меры международного сообщества остаются недостаточными.
Важно уделить особое внимание в решении этой общей проблемы региона.
Кыргызстан подтверждает свою приверженность эффективной реализации Глобальной контртеррористической стратегии ООН и поддерживает Совместный план действий.
Необходима координация усилий государств региона в вопросах обеспечения безопасности, укрепления сотрудничества и обмена оперативной информацией.
Правительством Кыргызской Республики утверждена Программа по противодействию экстремизму и терроризму до 2022 года.
Благодарю ООН за оказываемую финансово-техническую помощь в борьбе с терроризмом и наркотрафиком, а также рассчитываем на дальнейшую поддержку партнеров по развитию в вопросах обеспечения безопасности.
Переход к устойчивому развитию — это есть восстановление естественных экосистем и окружающей среды.
Кыргызстан признает изменение климата в качестве существенной угрозы для экосистем и людей.
Мы приняли на себя обязательства по противодействию этому глобальному явлению подписав Парижское соглашение.
Изменение климата оказывает все большее воздействие на наши ледники и водные ресурсы, способствует росту стихийных бедствий в горных районах страны.
Это главные темы четвертого Всемирного горного форума в Кыргызстане, организуемого в целях обсуждения новых путей развития к процветающему будущему горных регионов.
Главным вопросом регионального характера в сфере экологии остается проблема наследия радиоактивной промышленности советской эпохи — урановые хвостохранилища.
Для решения данной проблемы Кыргызстан провел ряд международных конференций. На площадке ООН 27 сентября мы проводим мероприятие, посвященное опасностям уранодобывающей деятельности.
С целью выйти на новый этап действий по рекультивации урановых хвостохранилищ, Кыргызстан выступает с инициативой обновления Резолюции Генеральной Ассамблеи ООН от 2013 года «Роль международного сообщества в предотвращении радиационной угрозы в Центральной Азии».
Пользуясь случаем, хочу поблагодарить наших партнеров по развитию, которые оказывают нашей стране весомую поддержку в решении данной проблемы.
Отмеченные выше проблемы требуют совместной работы всех государств, а также глобальных и региональных институтов.
Назрела необходимость формирования принципиально новых международных механизмов, адекватных современным вызовам и угрозам.
Наша Организация нуждается в переменах, и это уже требование времени, нынешних реалий.
Эта реформа должна базироваться на принципах универсальности, широкой географической представленности и иметь максимально широкую поддержку государств-членов ООН.
Кыргызстан стремится вносить свой посильный вклад в общее дело ООН по обеспечению мира, глобальной безопасности и устойчивого развития.
С целью привлечения внимания ООН и мира к проблеме малых государств, Кыргызстан выдвинул свою кандидатуру в непостоянные члены Совета Безопасности ООН на период 2027–2028 годы.
Поддержка стран, ранее не избравшихся в Совет Безопасности ООН, позволит дать уверенность в равноправии членов и тем самым поднимет авторитет Организации и укрепит доверие к ней.
Кыргызстан рассматривает ООН в качестве авторитетной и универсальной международной организации.
Необходимо подчеркнуть, что немаловажным фактором в сохранении мира, стабильности, развития культурного многообразия и толерантности является углубление межкультурного диалога.
Об этом ярко и талантливо писал в своих произведениях наш выдающийся писатель с мировым именем Чынгыз Айтматов.
Он внес весомый вклад в дело построения мира и обмена культур между разными народами.
В этом году Кыргызстан и весь мир празднует 90-летие со дня рождения Чынгыза Айтматова.
Инициатива Кыргызстана по проведению на регулярной основе Всемирных игр кочевников получила признание и поддержку со стороны Генеральной Ассамблеи ООН.
Эти игры показали, что несмотря на все сложности и противоречия современного мира, народы планеты стремятся к единству и созиданию.
Благодарю вас за внимание!</t>
  </si>
  <si>
    <t>https://kyrtag.kg/ru/news/sooronbay-zheenbekov-vystupil-na-73-y-sessii-genassamblei-oon</t>
  </si>
  <si>
    <t>Айдарбеков </t>
  </si>
  <si>
    <t>уважаемый господин председатель, уважаемые главы делегации, уважаемые участники сессии, дамы и господа.
00:37
прежде всего, позвольте поздравить его превосходительство господина теджани мухаммада банде с избранием на пост председателя семьдесят четвертой сессии генеральной ассамблеи оон и пожелать ему успехов выполнения этой важной миссии.
00:52
хочу выразить слова признательности ее превосходительству госпоже мария фернандо и спиноза гарсес за успешное и плодотворное руководство работой предыдущей сессии генеральной ассамблеи оон.
01:04
уважаемые участники сессии. заявленная тема общих дебатов генеральной ассамблеи мимо мобилизация многосторонних ресурсов для ликвидации нищеты, повышения качества обучения, борьбы с климатическими изменениями и обеспечение равных возможностей крайне актуально.
01:23
народ кыргызской республики, определив в две тысячи десятом году курс построения новой политической системы, за последние годы достиг существенных результатов в развитии парламентской демократии, многопартийности, сменяемости власти в правовом поле, а также в укреплении гражданского сектора и его институтов.
01:43
одним из показателей успешности выбранного пути стали президентские выборы в две тысячи семнадцатом году, по итогам которых состоялась мирная демократическая передача власти.
01:54
безусловно, функционирование парламентской демократии требует ежедневного кропотливого труда, поиска компромиссов, а также время и в то же время открывает новые возможности.
02:08
сильное гражданское общество, сбалансированность власти, плюрализа мнений способствует реформам и искоренению сложившихся коррупционных устоев.
02:18
на сегодня в кыргызской республике последовательно идет бескомпромиссная открытая борьба с коррупцией.
02:25
конечно, есть силы желающие, не желающие таких перемен.
02:30
произошедшие в начале августа текущего года события в кыргызской республике стали попыткой нарушить единство народа, стабильность и безопасность.
02:41
однако мудрость, сплоченность и твердая вера народа в необратимость происходящих реформ не позволили раскачать ситуацию в стране.
02:50
руководством кыргызской республики взят курс на оптимизацию работы государственных органов.
02:56
происходят глубокие преобразования, продвигаются реформы правоохранительных, фискальных органов, судебной, избирательной и образовательной систем, в центре которых стоит задача по обеспечению повышения ответственности и прозрачности.
03:13
с начала этого года вступили в силу новые кодексы, направленные на гуманизацию уголовного законодательства и продвижение проводимых реформ.
03:21
запущены информационные системы единый реестр преступлений и проступков и единый реестр нарушений, повышающий ответственность правоохранительных органов и судебной системы в целом.
03:35
господин председатель, в рамках имплементации задач по реализации целей устойчивого развития кыргызская республика последовательно решает социально- экономические проблемы, включая снижение безработицы, повышение уровня жизни населения через реализацию национальных программ в сфере образования и здравоохранения, молодежной политики, инфраструктурных проектов, а также привлечение инвестиций и создания самых благоприятных условий для этого.
04:05
национальной стратегии развития на две тысячи восемнадцатый, две тысячи сороковые годы отдельным блоком выделены приоритетные направления развития кыргызской республики до две тысячи двадцать третьего года, включающие такие сферы, как реформа государственного управления, установление справедливой судебной власти, развития энергетики и внедрения информационных технологий.
04:28
в рамках объявленного года развития регионов и цифровизации страны и реализации концепции цифровой трансформации трансформации кыргызской республики на две тысячи девятнадцатый, две тысячи двадцать третий годы принимаются существенные меры по повышению потенциала регионов.
04:48
активно внедряется цифровизация страны на всех уровнях- от детских садов, школ, университетов до государственных структур и бизнес- сообществ, включая цифровые технологии, сферу государственных услуг.
05:01
в настоящее время увеличивается количество инновационных школ.
05:08
девяносто шесть процентов школ в стране подключены к сети интернет, вводятся проекты электронного здравоохранения, шестьдесят госорганов подключены к системе межведомственного электронного взаимодействия под названием тундук, и двадцать четыре госоргана начали электронный документооборот.
05:28
осуществляется программа строительства и реабилитации участков международных транспортных коридоров до две тысячи двадцать пятого года.
05:36
в целях создания благоприятных условий и защиты интересов бизнес- среды впервые в кыргызской республике образован институт бизнес- омбудсмена.
05:47
рассматривается новая модель взаимодействия между государством и бизнесом.
05:52
введен мораторий на проверки субъектов предпринимательства на два года.
05:58
до первого января две тысячи двадцать первого года.
06:01
предприниматели, создающие новые предприятия в регионах, освобождаются от четырех видов налогов на пять лет с правом пролонгации.
06:09
в рейтинге всемирного банка ведения бизнеса две тысячи девятнадцать кыргызская республика заняла семидесятое место из ста девяноста стран.
06:18
создан либеральный инвестиционный и налоговый режим, что выгодно отличает государство.
06:24
кыргызская республика отнесена к группе стран с развитым рынком государственно- частного партнерства.
06:30
господин председатель. согласно новой концепции внешней политики кыргызской республики, утвержденной президентом кыргызской республики сарумбай шариповичем джеймбеком в марте две тысячи девятнадцатого года, особое место занимает сотрудничество с оон и ее институтами в стратегическом направлении развития.
06:48
кыргызская республика придает приоритетное значение достижению цели устойчивого развития.
06:55
эти цели успешно имплементированы национальную стратегию развития на две тысячи восемнадцатый две тысячи сороковые годы, которая направлена на дальнейшее продвижение экономического развития и будет способствовать эффективной реализации цур.
07:11
в качестве подтверждения приверженности глобальной повестки дня в области устойчивого развития до две тысячи тридцатого года кыргызская республика подала заявку на презентацию в две тысячи двадцатом году своего добровольного национального доклада по достижению цум цур в рамках политического форума высокого уровня по устойчивому развитию экосос в глобальном масштабе кыргызская республика также вносит свой вклад в дело реализации цур.
07:41
мы представили миру всемирные игры кочевников, призванные сохранить многообразие культур и традиций, что получило признание и поддержку генеральной ассамблеи оон и юнеско.
07:52
мы признательны оон за включение кыргызской республики в проект оценки финансирования для развития.
08:00
кыргызская республика, как горная сторона оз, ощущает негативное влияние климатических изменений.
08:07
по оценкам экспертов, регион центральной азии столкнулся с проблемой ускоряющихся процессов таяния ледников, веками служивших источниками жизни чистой питьевой воды.
08:20
это будет влиять на обширные территории. изменения ландшафта может повлиять на традиционный уклад жизни, массовые переселения.
08:33
подобные последствия изменения климата не могут не беспокоить кыргызскую республику как горную и не имеющую выхода к морю страны.
08:41
поэтому кыргызская республика при поддержке государств- членов оон основала группу друзей горных стран и приглашает всех к широкому и платформному сотрудничеству и взаимодействию в данном формате.
08:55
в свое время кыргызская республика привлекла внимание мирового сообщества к проблемам устойчивого развития горных стран и выступила инициатором объявления две тысячи второго года международным годом гор.
09:08
в ходе текущей семьдесят четвертой сессии генеральной ассамблеи оон кыргызская республика намерена вновь выступить соавтором обновленного проекта резолюции устойчивое горное развитие.
09:20
в сентябре две тысячи восемнадцатого года кыргызская республика заняла первое место по количеству волонтеров, принявших участие в глобальной экологической акции всемирный день чистоты.
09:32
в настоящее время правительство кыргызской республики внесло на ратификацию парламент страны парижское соглашение по климату.
09:40
не менее важным является решение другой проблемы, связанной с урановым их осохранилищами в регионе центральной азии.
09:48
в две тысячи пятнадцатом году был учрежден. многосторонний фонд экологической реабилитации.
09:54
в прошлом году кыргызская республика инициировала принятие новой резолюции о роли международного сообщества в предотвращении ура- радиационной угрозы в центральной азиии.
10:07
пользуясь случаем, хочу поблагодарить все страны, которые поддержали и выступили соавторами указанной резолюции в ходе нынешней сессии генассамблеи.
10:17
двадцать седьмого сентября здесь, в нью- йорке, кыргызская республика провела мероприятие высокого уровня, посвященное предотвращению опасностей, связанных с бывшей уранодобывающей деятельностью в центральной азии.
10:33
уважаемые участники сессии. кыргызская республика придает особое значение сотрудничеству в регионе центральной азии, которая развивается в динамичном ключе.
10:44
в этом плане хотел бы обратить внимание на принятую в две тысячи восемнадцатом году резолюцию генеральной ассамблеи оон.
10:50
укрепление регионального и международного сотрудничества по обеспечению мира и стабильности и устойчивого развития в центрально- азиатском регионе.
11:00
наряду с этим в центральной азии все еще существуют проблемы, успешное решение которых требует коллективных усилий стран региона.
11:09
необходимо решить в первоочередном порядке вопросы правового оформления государственных границ, которые позволят снять социальную напряженность на местах и не допустить пограничные инциденты.
11:21
кыргызская сторона ответственно подходит к этим вопросам, руководствуясь принципами добрососедства.
11:27
у нас уже имеются практические результаты в этом направлении.
11:31
сегодня перед центрально азиатскими странами стоят задачи по снятию барьеров на пути к экономической кооперации, по повышению транзитного потенциала региона.
11:41
отдельно решается вопрос по комплексному использованию водно- энергетических ресурсов в регионе.
11:50
формируя основные запасы пресной воды, кыргызская республика в рамках существующих отношений стремится получать адекватную экономическую компенсацию от накопления и сохранения водных ресурсов, значимых не только для региона, но и для сохранения всего глобального равновесия.
12:08
поэтому кыргызская республика выступает за применение интегрированного управления водными ресурсами и предлагает разработку в регионе центральной азии экономических механизмов развития взаимовыгодного сотрудничества в водно- энергетической сфере.
12:24
мы делаем ставку на производство и экологически чистой электроэнергии.
12:29
реализация проектов по строительству гэс обеспечит потребности стран центральной азии в гидроэнергии и тем самым создаст благоприятные условия для устойчивого развития всего региона.
12:41
полагаем, что в контексте цур двадцать- тридцать в равной степени должна реализовываться цель номер семь.
12:48
относительно не дорогостоящей и чистой энергии. в этом плане кыргызская республика работает над реализацией регионального проекта касса тысяча в условиях региона.
13:00
сотрудничество и всесторонний диалог рассматривается кыргызской стороной в качестве единственного и безальтернативного пути решения имеющихся вопросов.
13:12
уважаемые участники сессии. обеспечение доступа к безопасной и недорогой питьевой воде в кыргызской республике является весьма актуальным.
13:22
согласно статистике продовольственной сельскохозяйственной организации оон, кыргызская республика, будучи зоной формирования ресурсов центральной азии, располагает наименьшим доступом к питьевой воде на душу населения.
13:38
в сельской местности около сорока процентов населения не обеспечено чистой питьевой водой на должном уровне.
13:45
в этих целях правительством кыргызской республики в настоящее время реализуется проект тазаком тазасу, что в переводе означает чистая вода, который призван обеспечить села чистой питьевой водой.
13:58
в этой связи призываем международные организации, финансовые институты и страны- донора поддержать усилия кыргызской республики в продвижении таких проектов.
14:09
уважаемые участники сессии. события в мире свидетельствуют о том, что ни одно государство не в состоянии исключительно собственными усилиями эффективно противостоять современным угрозам и вызовам.
14:23
расширение масштабов международного терроризма, экстремизма в различных их проявлениях, незаконный оборот наркотиков и оружие, торговли людьми, трансграничная преступность, угроза возникновения и эскалации конфликтов требует коллективных усилий, принятия превентивных мер.
14:41
в этой связи хочу подчеркнуть, что кыргызская республика в ходе председательствования в таких региональных структурах, как организация договора о коллективной безопасности и шанхайская организация сотрудничества в течение текущего две тысячи девятнадцатого года акцентировала повышенное внимание на необходимость конструктивного взаимодействия и применения комплексных мер в решении, борьбе с вызовами и угрозами.
15:08
это в полной мере отвечает целям и принципам оон в соответствии с главой восемь устава оон.
15:14
в этой связи выражаем признательность всем государствам- членам оон за поддержку в принятии резолюции генеральной ассамблеи оон.
15:22
сотрудничество между оон и шос и сотрудничество между оон и одкб.
15:28
подтверждаем приверженность кыргызской республики эффективной реализации глобальной контртеррористической стратегии оон, а также призываем международное сообщество принять скоординированные меры в соответствии с резолюцией совета безопасности оон двадцать один семьдесят восемь две тысячи четырнадцать по недопущению возвращения в страны происхождения, а также перегруппировку в центральную азию лиц, участвовавших ранее в вооруженных конфликтах на стороне международных террористических организаций.
15:59
считаем, что в условиях сохраняющихся и возникающих новых очагов нестабильности в глобальном разрезе роль оон должна всемерно укрепляться.
16:10
в этой связи выступаем за урегулирование продолжающихся в различных уголках нашей планеты конфликтов и кризисов мирными средствами через проведение диалога между всеми политическими и военными силами под эгидой оон.
16:26
уважаемые участники сессии. в контексте вышеотмеченного хочу вновь обратить ваше внимание на то, что кыргызская республика, стремясь вносить свой посильный вклад в общее дело оон по обеспечению мира, глобальной безопасности, устойчивого развития и социального прогресса во всем мире, а также с целью привлечения внимания мировой общественности и оон к проблеме небольших государств.
16:52
девятого июня две тысячи семнадцатого года выдвинула свою кандидатуру в непостоянные члены совета безопасности оон на период двадцать- двадцать семь, двадцать двадцать восемь.
17:02
кыргызская республика за годы своей независимости наработала значительный международный опыт членства оон.
17:09
неоднократно избиралась в различные выборные органы оон и ее специализированных учреждений, в числе которых совет управляющих программы оон по окружающей среде, комиссия оон по устойчивому развитию, комиссии оон по нпо, комиссии оон по наркотическим средствам.
17:25
в мае две тысячи девятого года и в октябре две тысячи пятнадцатого года кыргызская республика была дважды избрана в совет оон по правам человека.
17:34
кыргызская республика является членом- депозитарием договора о зоне свободной от ядерного оружия в центральной азии.
17:41
выступает за международное сотрудничество в сфере рекультивации и уничтожения радиоактивных отходов.
17:48
восстановление загрязненных территорий. кыргызской республикой важная роль отводится превентивной дипломатии, миростроительства и миротворчества.
17:58
наша страна имеет положительный опыт участия в урегулировании международных и локальных конфликтов, в миротворческих операциях оон.
18:06
в рамках фонда по миростроительству оон вносит свой вклад в процесс восстановления афганистана.
18:13
считаем необходимым международному сообществу фокусировать большее внимание на вопросы предотвращения возникновения конфликтов, в борьбе против террористической и экстремистской деятельности.
18:27
в целях усиления консолидирующей роли оон и адаптации ее деятельности к современным реалиям.
18:36
кыргызская республика в вопросах о реформе совета безопасности оон выступает за принятие необходимых мер по его совершенствованию на основе принципов универсальности, эффективности и широкого географического представительства.
18:51
господин председатель, при существующей поддержке оон наша страна предпринимает усилия в проведении многоплановых и разноформатных реформ, подтверждая.
19:03
подтверждением этого могут служить оценки международных неправительственных структур кыргызской республики, которые проводят исследования и составляют рейтинги по актуальным вопросам устойчивого развития страны.
19:16
согласно рейтинга свободы слова, в апреле две тысячи девятнадцатого года кыргызская республика заняла восемьдесят третье место из ста восьмидесяти стран и улучшила свой рейтинг на пятнадцать мест.
19:28
кыргызская республика ратифицировала восемь из девяти универсальных международных договоров по правам человека в рамках оон.
19:35
седьмого мая две тысячи девятнадцатого года кыргызская республика ратифицировала конвенцию о правах инвалидов.
19:42
в две тысячи восемнадцатом году кыргызская республика успешно завершила свое членство в совете по правам человека.
19:49
по данным управления оон по делам беженцев, в текущем две тысячи девятнадцатом году кыргызская республика первой в мире решила проблему с отсутствием гражданства, сократив за пять лет число людей без гражданства с тринадцать тысяч до нуля.
20:05
перед страной стоит еще много задач в области защиты и поощрения прав человека.
20:10
мы заинтересованы в использовании потенциала и опыта оон и других международных партнеров с учетом национальной специфики развития, исторических и культурных особенностей кыргызской республики.
20:24
активное и плодотворное взаимодействие кыргызской республики с системой оон указала на необходимость расширения ее учреждений на территории нашей страны.
20:35
кыргызская республика намерена наращивать совместную работу и весьма заинтересована в вопросе привлечения дополнительных структур и расширения представленности системы оон в нашей стране.
20:46
уважаемые участники сессии. оон является ключевым глобальным центром по решению проблем, по поддержанию мира и безопасности, развитию дружественных отношений между нациями, осуществлению сотрудничества в решении проблем развития, сокращению масштабов бедности, содействию соблюдения прав человека, охраны окружающей среды, борьбы с болезнями и многими другими вызовами и проблемами человечества.
21:16
мы- открытая страна, готовая к взаимовыгодному диалогу, доверительному и партнерскому межгосударственному сотрудничеству.
21:24
убежден, что сообща мы сможем добиться решения стоящие перед нами вызовов по сохранению мира и безопасности, обеспечения устойчивого развития государств, включая улучшение уровня жизни и благополучия всех людей.
21:38
благодарю за внимание.</t>
  </si>
  <si>
    <t>https://yandex.ru/video/preview/16453612213309439464</t>
  </si>
  <si>
    <t>«Дамы и господа, от имени Кыргызской Республики поздравляю вас с 70-летним юбилеем Организации объединенных наций.
Сегодня невозможно представить мир без ООН. Организация стала важнейшим инструментом решения социально-экономических, финансовых, культурных проблем. Учреждения, фонды и программы ООН являются востребованными и эффективными партнерами развивающихся государств. От имени народа Кыргызской Республики выражаю благодарность ООН за поддержку всех наших реформ.
Тема нынешних дебатов точно отражает текущую тревожную ситуацию в мире. Пандемия COVID-19 напомнила насколько тесно мы взаимосвязаны. Выражаю полную поддержку Генеральному секретарю ООН за призыв к прекращению огня во всем мире и мобилизации международных усилий для борьбы с пандемией. На сегодняшний день в Кыргызстане зафиксировано более сорока четырех тысяч случаев болезни и, к сожалению, мы потеряли тысячу шестьдесят трех граждан. 30 июля текущего года в нашей стране был объявлен Днем траура. Благодаря сплоченности народа Кыргызстана, героическому труду наших медиков и волонтеров, мы смогли значительно снизить распространение вируса. Немаловажное значение имела для нас помощь со стороны ВОЗ, ООН, и её оперативно созданного Фонда, а также международных доноров. Значимая поддержка была получена от наших союзников и стратегических партнеров. Для нас крайне важно продолжение оказываемой помощи. И ключевое значение имеет обеспечение всеобщего доступа к вакцине.
Пандемия препятствует реализации „Повестки двадцать-тридцать“ и значительно усугубила кризис внешнего долга. Мы приветствуем решение „Большой двадцатки“ и международных финансовых институтов приостановить платежи по долгам. В мае текущего года на мероприятии ООН высокого уровня мы предложили применить механизм по глубокой реструктуризации внешнего долга в обмен на проекты устойчивого развития. Рассчитываем на активную поддержку нашей инициативы.
Кыргызская Республика поддерживает усилия Генерального секретаря господина Гутерриша по реформированию Организации. Особое значение имеют повышение эффективности Совета Безопасности, Генеральной Ассамблеи и Экономического и Социального Совета. Мы придаем большое значение обеспечению безопасности и экономическому развитию, защите прав человека, верховенству закона и демократии. Кыргызстан выдвинул свою кандидатуру в Совет по правам человека и непостоянные члены Совета Безопасности ООН на предстоящие периоды. Выражаю надежду на широкую поддержку нашей кандидатуры.
Кыргызская Республика, как депозитарий Договора о зоне, свободной от ядерного оружия в Центральной Азии выступает за укрепление подходов к ядерному разоружению и его нераспространению. Терроризм и экстремизм также представляют серьезную угрозу нашему миру. Центральную роль в координации усилий международного сообщества в борьбе с террористической угрозой должна играть ООН. Мы привержены эффективной реализации Глобальной контртеррористической стратегии ООН. Приветствуем назначение Регионального координатора Контртеррористического управления ООН с расположением в Бишкеке. Выражаем готовность оказывать ему поддержку.
Кыргызстан принял на себя обязательства по достижению Седьмой и Тринадцатой Целей устойчивого развития. В ноябре прошлого года мы ратифицировали Парижское соглашение об изменении климата. Важнейшим шагом в реализации этих обязательств Кыргызстан видит в развитии „зелёной“ экономики. Мы стремимся стать страной экологически чистой продукции и чистой энергии. Кыргызстан ориентирован на постепенное сокращение потребления традиционных источников энергии. Считаем важным использовать наш водно-энергетический потенциал путем строительства ГЭС и участием в международном проекте „CASA-1000“. Это будет способствовать накоплению водных ресурсов для ирригационных нужд наших соседей и устойчивому развитию всего региона.
Кыргызская Республика нуждается в поддержке международного сообщества для адаптации к негативным воздействиям изменения климата. Изменение климата ведет к сокращению объёмов ледников и водных ресурсов Кыргызстана. Это приведёт к дефициту чистой воды, угрозе здоровью населения, деградации земель и экономическим рискам. В этой связи мы выступаем за реализацию проектов, направленных на изучение проблемы таяния ледников и их защиту. Считаем также крайне важным сохранение горных экосистем в зонах формирования ледников. В этом направлении Кыргызстан выдвинул ряд глобальных инициатив. Проведены два Глобальных форума по сохранению снежного барса и его горных экосистем. Принята резолюция о роли международного сообщества в предотвращении радиационной угрозы в Центральной Азии.
В августе прошлого года создана Группа друзей горных стран. Сегодня она насчитывает двадцать три государства. Важно также сохранить биологическое разнообразие. Поэтому Кыргызстан выдвинул на текущей сессии Генассамблеи проект новой резолюции: „Природа не знает границ: трансграничное сотрудничество — ключевой фактор в сохранении и устойчивом использовании биоразнообразия“. Рассчитываем на поддержку нашей инициативы.
Кыргызская Республика придает особое значение региональному сотрудничеству в Центральной Азии. Взаимодействие между нашими странами развивается в динамичном русле. Мы активно участвуем в региональной диалоговой площадке на высшем уровне для решения существующих проблем. Одна из главных задач — это снятие барьеров на пути к экономической кооперации в целях повышения благосостояния наших народов. Жизненно важное значение имеет развитие системы транспортно-коммуникационных коридоров, логистических центров и терминалов. Мы должны воссоздать основные маршруты древнего Великого Шелкового Пути. Строительство и запуск железной дороги „Китай-Кыргызстан-Узбекистан“ станет значимым нашим вкладом в соединении Азии с Европой.
Кыргызстан привержен принципам укрепления верховенства закона и прав человека. Стратегическим документом, определяющим путь развития Кыргызстана, является Национальная стратегия устойчивого развития до 2040 года. Ее главное направление это формирование правового государства и обеспечение законности в интересах каждого гражданина. В Кыргызстане, при международной поддержке, проводится масштабная судебная реформа. Успешно идет реализация проектов по развитию регионов, обеспечению чистой водой и цифровизации государственных услуг.
4 октября текущего года в Кыргызстане пройдут очередные выборы в Парламент. На них приглашены международные наблюдатели, в том числе от ОБСЕ, ШОС и СНГ. Мы намерены приложить все усилия, чтобы выборы прошли прозрачно и конкурентно с применением современных технологий. Благодарю вас за внимание!</t>
  </si>
  <si>
    <t>https://kyrtag.kg/ru/news/vystuplenie-prezidenta-kyrgyzstana-na-75-sessii-generalnoy-assamblei-oon-polnyy-tekst</t>
  </si>
  <si>
    <t>Уважаемый господин Председатель,
 Уважаемый господин Генеральный секретарь,
 Уважаемые дамы и господа,
В начале позвольте поздравить господина Абдуллаха Шахида представителя государства Мальдивы с избранием на пост Председателя 76-й сессии Генеральной Ассамблеи ООН и пожелать успехов на этом высоком посту. Благодарю господина Волкана Бозкыра представителя государства Турции за работу в качестве председателя 75-й сессии Генеральной Ассамблеи ООН. Кыргызстан поддерживает тему нынешних дебатов, которая охватывает все наиболее актуальные вопросы международной повестки дня.
Уважаемые дамы и господа!
30 лет назад Кыргызстан стал полноправным участником и субъектом международного права, обретя суверенитет. Совсем недавно, 31 августа, наш многонациональный народ отпраздновал 30-летие независимости республики.
Думаю, что с моей оценкой согласятся многие, основным достижением республики за этот короткий по историческим меркам период является становление демократии как модели государственного развития и сильного гражданского общества. Хочу заверить, что мы не свернем с демократического пути. Это требование нашего свободолюбивого народа.
Скоро исполнится годовщина с начала известных октябрьских событий в нашей стране, с которых начался новый этап в ее современной истории. За один год нам удалось восстановить общественно-политическую и социально-экономическую стабильность, заслужить веру и доверие общества. Итоги прошедших президентских выборов и конституционного референдума были также признаны международным сообществом, в том числе наблюдателями Бюро ОБСЕ по демократическим институтам и правам человека.
Впереди нас ждут очередные выборы в национальный парламент, намеченные на 28 ноября. Приглашаю государства-члены ООН и международные организации направить своих наблюдателей. Мы создадим все условия для их полноценной и безопасной работы. Рассчитываем, что ко времени выборов эпидемиологическая ситуация в стране полностью нормализуется.
Уважаемый господин Генеральный секретарь!
2 марта 2022 года мы также будем праздновать 30-летие вступления Кыргызстана в Организацию Объеденных Наций. На протяжении этого периода республика является активным государством-членом ООН, полностью приверженным целям и принципам Устава Организации Объеденных Наций и постоянно выступающим за укрепление авторитета и роли ООН в международных делах, которые, к сожалению, в последние десятилетия характеризуются напряженностью и конфликтностью. Наша страна заинтересована и всегда готова вносить вклад в международные усилия для решения общих проблем человечества. Исходя из этих соображений, Кыргызстан выдвинулся кандидатом в Совет ООН по правам человека на 2023-2025 годы и Непостоянные члены Совета Безопасности ООН на 2027-2028 годы. Призываю все государства-члены ООН оказать нам поддержку на выборах.
В следующем году 30-летие вступления в ООН также будут отмечать наши уважаемые соседи по региону, с которыми у нас общая история и, уверен, общее будущее. Хочу подчеркнуть, что во многовековых отношениях с соседями Кыргызстан всегда выступает за равноправный диалог и взаимовыгодное сотрудничество, решение всех разногласий исключительно путем переговоров. Учитывая эту знаменательную дату, в 2022 году предлагаем провести саммит Центральная Азия – ООН, чтобы вместе подвести итоги взаимного сотрудничества и наметить совместные планы на перспективу в целях развития и безопасности Центральной Азии. Саммит предлагаем организовать в сроки проведения очередной Консультативной встречи глав государств Центральной Азии. Прошу уважаемых Председателя Генеральной Ассамблеи и Генерального секретаря ООН предусмотреть свое участие в графиках работы на следующий год.
Уважаемые дамы и господа!
В силу своего географического расположения государства Центральной Азии издревле, начиная со времен функционирования Великого Шелкового пути и по сей день, являются мостом, соединяющим маршруты «Восток-Запад» и «Север-Юг». Наш регион уверенно становится одним из важнейших хабов мировой торговли, несмотря на отсутствие прямого выхода к морю. В странах Центральной Азии осуществляется последовательное расширение международных автомобильных и железных дорог, создание логистических центров и транспортных терминалов.
В свою очередь, Кыргызстан активно развивает дорожно-транспортную инфраструктуру, которая является частью международной транспортной артерии. В частности, скоро завершится строительство новой альтернативной автомагистрали «Север-Юг». Мы также участвуем в проекте строительства железнодорожной магистрали «Китай-Кыргызстан-Узбекистан» и поддерживаем модернизацию Евразийской железнодорожной инфраструктуры. Уже сегодня Кыргызстан способен обеспечить приемлемые сроки и стоимость доставки транзитных грузов между странами Евразийского экономического союза, Центральной Азии, Китайской Народной Республикой и Европейского союза к морским портам Карачи, Бендер-Аббас и Черного моря. Приглашаю международный логистический бизнес к многоплановому сотрудничеству, в том числе в сфере мультимодальных перевозок.
Вместе с тем, обращаю внимание, что успешно реализованные инвестиционные проекты и новые транспортные коридоры не будут приносить максимальные выгоды, в случае, если будут сохраняться барьеры, связанные с пересечением государственных границ. В этой связи выступаем за создание благоприятных условий для международных перевозок и недопущение задержки грузопотока между странами, а также за снятие барьеров на пути к экономической кооперации, упрощение процедур прохождения границ и транзита между странами и регионами.
Уважаемые коллеги!
Нельзя не отметить нашу озабоченность в связи с последними событиями в Афганистане. Мы можем предоставить пятистам молодым афганцам возможность обучения в наших университетах, а также оказать гуманитарную помощь нуждающимся гражданам, в первую очередь, этническим кыргызам Малого и Большого Памира Афганистана. С учетом проходящей эвакуации учреждений ООН из Афганистана, Кыргызстан предлагает временно разместить их в Бишкеке. В этой связи обращаюсь к Генеральному секретарю ООН принять во внимание наше предложение.
Вместе с тем, из-за сложившейся ситуации в Афганистане вновь выходит на первый план безопасность Центральной Азии. Надеемся на скорейшее установление общественно-политической стабильности и правопорядка в Афганистане.
В свою очередь, Кыргызстан проводит всестороннюю работу по борьбе с терроризмом и экстремизмом, добросовестно выполняет положения Глобальной контртеррористической стратегии ООН, резолюций Совета Безопасности ООН, рекомендаций Исполнительного директората Контртеррористического комитета Совета Безопасности ООН. Так, в Кыргызстане уже внедрена система предварительной информации о пассажирах и данных о записях регистрации пассажиров для международного отслеживания перемещений террористов. Также рассчитываем на поддержку ООН и заинтересованных государств по репатриации наших граждан из Сирии, женщин и детей.
Вместе с тем призываем активизировать международные усилия не только для борьбы с терроризмом и экстремизмом, но и против транснациональной организованной преступности, занимающейся незаконной деятельностью в сфере оборота наркотиков и оружия, торговли людьми, отмыванием преступных доходов, и в киберпространстве. Кыргызстан в рамках Шанхайской организации сотрудничества прорабатывает вопрос создании Центра по противодействию международной организованной преступности в городе Бишкек.
В целом считаем, что в целях противостояния современным вызовам и угрозам международной безопасности и предотвращения конфликтов большую роль должны играть региональные структуры, подпадающие под определение главы 8 Устава ООН. Со своей стороны, Кыргызстан в статусе члена или участника всесторонне сотрудничает в рамках Содружества Независимых Государств, Организации Договора о коллективной безопасности, Шанхайской организации сотрудничества, Совещании по взаимодействию и мерам доверия в Азии и Организации по безопасности и сотрудничеству в Европе.
Уважаемые дамы и господа!
Серьезным вызовом для человечества стала пандемия коронавирусной инфекции, приведшая к многочисленным жертвам, подвергшая национальные системы здравоохранения беспрецедентному испытанию на прочность и вызвавшая спад в мировой экономике. Надеемся, что в связи с проводимой разработкой лекарств и методов лечения полная победа над этим зловещим вирусом уже совсем близка. Важно, чтобы эти противовирусные ноу-хау медицины затем стали общедоступными.
Что касается ситуации в нашей стране, отмечу, что властями предпринимаются необходимые меры чтобы защитить жизнь и здоровье населения, в особенности медицинских работников. Полным ходом идёт вакцинация граждан. В обществе проводится разъяснительная кампания по вакцинации. В стране уже имеются вакцины разных мировых производителей. Пользуясь случаем, выражаю искреннюю признательность руководству Китая, России, Казахстана, Швеции, которые предоставили нам вакцины в виде гуманитарной акции на двусторонней основе и в рамках программы «КОВАКС» Всемирной организации здравоохранения.
Пандемия коронавирусной инфекции также стала одной из причин того, что реализация Целей устойчивого развития (ЦУР) в Кыргызстане не может выполняться своевременно и в полном объеме. Мы вынуждены отвлекать запрограммированные на ЦУР финансы для борьбы с пандемией и погашения внешнего долга. В этой связи, призываем двусторонних и многосторонних кредиторов поддержать инициативы по облегчению внешнего долга в обмен на жизненно важные проекты устойчивого развития Кыргызстана. Эти проекты, в первую очередь, направлены на сохранение целостности уникальной горной экосистемы, ее биологического разнообразия и ледников, стремительно разрушающихся в результате изменения климата. К большому сожалению, в Кыргызстане есть случаи, когда недобросовестные инвесторы в погоне за большой прибылью и злоупотребляя общественным доверием, не позаботились должным образом, чтобы их деятельность не нанесла урон экологии. В соответствии с национальными законами кыргызские власти пресекают такую противоправную деятельность и затем вынуждены сами разбираться с экологическими последствиями, например, обеспечивая безопасную утилизацию вредных отходов, управление отвалами и хвостохранилищами.
На протяжении трех десятилетий Кыргызстан остается на международной арене активным проводником интересов горных государств, не имеющих выхода к морю, с целью решения проблем устойчивого развития и влияния изменения климата. По нашей инициативе, согласно резолюции Генеральной Ассамблеи ООН 2002 год был объявлен «Международным годом гор», в том же году в Бишкеке прошел первый Глобальный горный саммит, а в 2018 году уже Четвертый Всемирный горный форум. На текущей сессии Генеральной Ассамблеи ООН от «Группы друзей горных стран» мы инициируем, чтобы вновь объявить 2022 год - Международным годом гор, утвердить пятилетнюю программу по устойчивому развитию горных регионов и в 2027 году созвать Глобальный саммит «Бишкек+25».
Уважаемый господин Генеральный секретарь!
В последние несколько лет природа и население нашей страны довольно заметно стали ощущать негативные последствия изменения климата. Свои видение и позицию наша страна непременно озвучит на грядущей 26-й Конференции Сторон Рамочной Конвенции ООН по изменению климата в Глазго.
Однако позвольте использовать эту высокую трибуну для нескольких ремарок. Для горного Кыргызстана одной из приоритетных и насущных проблем является адаптация к изменению климата. Мы придаем важное значение защите и преумножению площадей горных лесов, которые, наряду со своей природной функцией поглощения углекислого газа, также играют исключительно важную роль в сохранении водных ресурсов. В этой связи выступаем за разработку и принятие под эгидой ООН специальной целевой программы по горным лесам, их сохранению, восстановлению и облесению горных склонов.
Как отмечалось выше, под риском исчезновения также находятся многовековые ледники, реки и биоразнообразие горных экосистем Кыргызстана. В этом году в ЮНЕСКО мы инициируем резолюцию «О сохранении горных ледников» и одновременно продолжаем работу с международными партнерами по выполнению положений резолюции «Природа не знает границ», внесенной Кыргызстаном и недавно утвержденной Генеральной Ассамблеей ООН. Уже есть обнадеживающие достижения. Например, благодаря общей работе со странами-ареалами обитания и международными организациями удалось не допустить исчезновение такого благородного животного, как снежный барс.
Вместе с тем, Кыргызстан к 2050 году постарается достичь углеродной нейтральности. Кыргызская экономика постепенно «зеленеет», в строй будут вводиться все больше безуглеродных источников энергии, имея в виду в первую очередь гидроэлектростанции. В целях обеспечения энергетической безопасности Кыргызстан намерен поэтапно реализовать на своей территории ряд проектов по строительству ГЭС, являющихся экологически чистыми источниками энергии. Доступ к современным, экологически чистым и недорогим услугам по энергоснабжению в развивающихся странах имеет чрезвычайно важное значение для достижения глобальных целей в области развития, сформулированных в Целях устойчивого развития до 2030 года. Полагаем, что реализация проектов по строительству ГЭС в Кыргызстане обеспечит потребности стран Центральной Азии в гидроэнергии и тем самым создаст благоприятные условия для устойчивого развития всего нашего региона. Приглашаю инвесторов к взаимовыгодному сотрудничеству в водно-энергетическом комплексе, в том числе на принципах государственно-частного партнерства, в духе Парижского соглашения.
Подытоживая эту тему, отмечу, что Кыргызстан рассчитывает на особое внимание, поддержку и помощь мирового сообщества, ООН и международных финансовых институтов в решении проблем экосистем горных стран, особенно не имеющих доступа к морю. В этой связи считаем, что назрел вопрос создания в рамках ООН специального глобального фонда по поддержке горных стран в реализации целевых программ по достижению устойчивого развития, адаптации и предотвращению изменения климата, горным лесам и биоразнообразию, природным бедствиям, поддержке горных сообществ.
Уважаемый господин Генеральный секретарь!
В заключении хотел бы отметить, что борьба с пандемией COVID-19 и ее социально-экономическими последствиями, достижение Целей устойчивого развития, а также реализация Парижского соглашения должны оставаться главным приоритетом консолидированных усилий и действий международного сообщества. Необходимо обеспечить, чтобы «никто не был оставлен позади», в том числе и развивающиеся горные страны, не имеющие выхода к морю.
В нашем совместном противостоянии современным вызовам и угрозам роль ООН значительно возрастает. В этой связи, призываю всесторонне поддерживать и укреплять нашу Организацию с целью коллективного решения глобальных проблем во благо устойчивого развития.
Благодарю за внимание.
Желаю всем продуктивного участия в нынешних Общих дебатах</t>
  </si>
  <si>
    <t>https://snob.kg/labirint/item/2650-videoposlanie-prezidenta-kyrgyzstana-sadyra-zhaparova-na-76-j-sessii-generalnoj-assamblei-oon</t>
  </si>
  <si>
    <t>Уважаемый господин Председатель,
Уважаемые главы делегаций,
Уважаемый господин Генеральный секретарь,
Сердечно поздравляю братскую Венгрию с избранием ее высокого представителя Председателем семьдесят седьмой сессии Генеральной Ассамблеи ООН. Желаю уважаемому господину Чаба Кёрёши больших успехов на столь важном международном посту. Вы всегда можете рассчитывать на всестороннюю поддержку Кыргызской Республики.
Одновременно хочу поблагодарить Председателя предыдущей сессии Генеральной Ассамблеи ООН уважаемого господина Абдуллу Шахида за усердную работу в это непростое для мирового сообщества время, а также за поддержку международных инициатив нашей страны. 
Уважаемые дамы и господа,
77 лет назад, после окончания самой кровопролитной в истории человечества Второй мировой войны была создана Организация Объединенных Наций.
Может быть, государства-основатели ООН, подписавшие международный договор, учреждающий организацию в городе Сан-Франциско в 1945 году, были наивными, предлагая раз и навсегда покончить с войнами, разрухой, голодом, страданиями?
Думаю, что нет.
Если есть понимание необходимости решать споры и разногласия в духе компромисса и доброй воли, то можно всегда надеяться на успех. В истории ООН было много славных страниц и достижений.
Несмотря на то, что с разной степенью интенсивности в разных частях света происходили конфликты и столкновения, ООН была моральным авторитетом, играла важную консолидирующую роль в поддержании мира и безопасности, обеспечении нужд и потребностей людей.
Сейчас, в условиях беспрецедентного осложнения геополитической обстановки в мире, создавшей в мировом сообществе тревожные ожидания из-за угрозы разрушения фундаментальных основ мирного сосуществования и неизбежности большой войны, важно всем нам помнить высокие цели и задачи, которые были зафиксированы в Уставе ООН, а именно: «поддерживать международный мир и безопасность и с этой целью принимать эффективные коллективные меры для предотвращения и устранения угрозы миру и подавления актов агрессии или других нарушений мира и проводить мирными средствами, в согласии с принципами справедливости и международного права, улаживание или разрешение международных споров или ситуаций, которые могут привести к нарушению мира; развивать дружественные отношения между нациями на «основе уважения принципа равноправия и самоопределения народов». 
В марте этого года исполнилось ровно тридцать лет со дня вступления нашей страны в Организацию Объединенных Наций, а недавно, 31 августа, мы отпраздновали тридцать первую годовщину независимости Кыргызской Республики.
Наша страна, практически с самого начала своей государственности, твердо и последовательно следует духу и букве Устава ООН, старается добросовестно выполнять принятые на себя обязательства.
Мы всегда стремимся «разрешать свои международные споры мирными средствами». 
Мы всегда воздерживаемся в международных отношениях «от угрозы силой или ее применения как против территориальной неприкосновенности или политической независимости любого государства…». 
Оглядываясь на пройденный нашей страной тернистый путь, хочу высоко оценить многогранный вклад ООН в становление Кыргызстана как независимого и суверенного государства, равноправного и ответственного члена международного сообщества. 
Наш народ никогда не забудет поддержку и помощь семьи ООН в формировании политических, общественных и гражданских институтов, укреплении демократии, развитии рыночной экономики. 
От имени нашего великодушного народа и от себя лично выражаю признательность всем руководителям и персоналу системы ООН, искренне и беззаветно помогавшим нам воплотить в жизнь многовековую мечту кыргызского народа о создании своего независимого государства. Большое вам спасибо! 
Уважаемый господин Председатель,
Пользуясь этой возможностью, хочу с этой высокой трибуны довести до мирового сообщества фактическую ситуацию, которая складывается на южных рубежах нашей страны с учетом последних событий, связанных с очередным обострением ситуации на кыргызско-таджикской границе.
Сначала сделаю краткий экскурс в историю. 
После распада Советского Союза в декабре 1991 года возникли спорные территории и пограничные проблемы. Некоторые из них не урегулированы и поныне. 
Если по всему периметру советско-китайской границы было более двадцати спорных участков, то в Кыргызстане их насчитывалось пять. 
Я хочу с гордостью напомнить мировому сообществу о том, что мы успешно завершили вопросы пограничного урегулирования вначале с Китайской Народной Республикой в 1996 году и совместно с Республикой Казахстан о точке стыка государственных границ трех стран в 1999 году. 
Мы сейчас практически полностью завершили совместную работу и выходим на подписание Договора о государственной границе с Республикой Узбекистан. 
Мне приятно отметить о том, что государственные границы с указанными тремя соседними странами превратились в границы мира, добрососедства, дружбы и взаимовыгодного сотрудничества.
Что касается отношений с Республикой Таджикистан, то хотел бы отметить следующее. 
Наши дружественные народы с незапамятных времен живут бок о бок. Нас объединяют общие ценности, культура, традиции и обычаи, у нас единое вероисповедание. Наши народы переплетены родственными узами. Недаром наш легендарный герой Манас был женат на таджикской царевне Каныкей. 
Напомню также, что юридически распад Советского Союза произошел 21 декабря 1991 года в городе Алма-Ате в Республике Казахстан, когда главы 11 новых независимых государств приняли Алма-Атинскую Декларацию «О создании Содружества Независимых Государств».
В Декларации было зафиксировано, что независимые государства признают и уважают территориальную целостность друг друга и нерушимость существующих границ. 
Они считают, что «укрепление имеющих глубокие исторические корни отношений дружбы, добрососедства и взаимовыгодного сотрудничества отвечает коренным интересам народов и служит делу мира и безопасности». 
Страны осознают «свою ответственность за сохранение гражданского мира и межнационального согласия». Под этим юридическим документом поставили свои подписи президенты всех 11 государств-членов СНГ, включая и Республику Таджикистан. 
В Московской Декларации СНГ «О соблюдении суверенитета, территориальной целостности и неприкосновенности границ государств-участников Содружества Независимых Государств» от 15 апреля 1994 года данный принцип был подтвержден Президентом Таджикистана Эмомали Рахмоном. 
Он поставил свою подпись и согласился с этим документом. Достойно сожаления, что он сейчас отходит от этого принципа. 
Эмомали Рахмон в 1998 году совершил свой первый официальный визит в Кыргызскую Республику после окончания кровавой гражданской войны в Таджикистане. 
Позднее были заключены два двусторонних межгосударственных договора между Кыргызской Республикой и Республикой Таджикистан: Договор об основах межгосударственных отношений от 12 июля 1996 года и Договор о добрососедских и партнерских отношениях от 26 мая 2004 года. 
Хочу заметить, что оба договора были подписаны в городе Душанбе. 
Уважаемый господин Председатель,
С самого начала работы по урегулированию пограничных вопросов между нашими двумя государствами, кыргызская сторона всегда действовала в полном соответствии со взятыми на себя международными обязательствами, включая и двусторонние, вела переговоры в конструктивной манере, стараясь предлагать взаимовыгодные компромиссы.
Хочу отметить, что в апреле 2021 года произошла масштабная неспровоцированная агрессия вооруженных сил Таджикистана на нашу территорию, в результате чего погибли наши 36 гражданских лиц и был нанесен большой материальный ущерб.
Невзирая на неприятие моего шага и критику населения Кыргызстана (требовавшего встретиться на нейтральной территории), в июне прошлого года я полетел в город Душанбе, где встретился с Президентом Рахмоном для того, чтобы попытаться найти взаимоприемлемые решения. 
Ради моего народа я готов потратить не только десять часов на переговоры, как в тот раз, но любое время на то, чтобы раз и навсегда разрешить эту проблему.
Естественно, это решение должно быть взаимоприемлемым. 
Тем более мне больно сообщить о том, что 14, 15 и 16 сентября текущего года произошли масштабные боевые столкновения на юге Кыргызстана. Нарушив все ранее достигнутые договоренности, таджикская сторона  атаковала пограничные и гражданские объекты по всему периметру кыргызско-таджикской госграницы.
Около 140 тысяч наших гражданских лиц эвакуировано из приграничных населенных пунктов. Им оказывается необходимая помощь. 
В этой связи хочу выразить искреннюю признательность системе ООН, нашим друзьям и партнерам за солидарность и моральную поддержку. 
Нанесен большой материальный ущерб гражданским и военным объектам: домам, административным зданиям, школам, погранзаставам.
Любой материальный ущерб можно восстановить. 
Не вернешь наших погибших мужественных защитников, которые не щадя жизни своей бились за свою землю, гражданских лиц, которые попали под обстрелы.
Мы всегда будем помнить подвиги наших доблестных воинов. 
Эти акции неспровоцированной вооруженной агрессии со стороны Таджикистана тем более удручают, поскольку между нашими странами заключены международные договоры и обязательства. 
Пакта сунт серванда (Pacta sunt servanda) гласит латинская поговорка — «Договоры должны соблюдаться».
Мы готовы к продолжению переговорного процесса с нашими таджикскими партнерами. 
Причем, в любом формате.
С учетом того, что в результате последних противоправных действий соседей наше доверие пошатнулось, тем не менее, мы готовы к продолжению переговоров и международному посредничеству, включая ООН, ОБСЕ, ОДКБ. 
У нас имеются задокументированные доказательства противоправных  действий таджикской стороны за все прошедшие годы. 
Мы никогда не начинали первыми. Всегда старались избегать применения оружия и тем более никогда не стреляли в безоружных гражданских!
Нам каждый раз приходится отвечать. В этой связи хотел бы подчеркнуть следующее: кыргызская сторона не претендует на чужие земли, но и сантиметра своей землей не намерена отдавать кому-либо. 
Мы убеждены в том, что все пограничные и хозяйственные вопросы должны решаться за столом переговоров, причем, с нашей стороны такая воля и готовность имеются.
Важнейшим вопросом на сегодняшний день является принятие неотложных мер по обеспечению безопасности и стабильности в приграничных районах, пресечение любых действий, направленных на усиление напряженности среди местного населения, укрепление доверия между нашими двумя государствами. 
Мы всегда готовы к переговорам и к уточнению участков границы. 
Уважаемый господин Председатель,
Касаясь общей «ООНовской» проблематики хочу отметить следующее.
В этом году пройдена половина периода реализации Целей устойчивого развития ООН до 2030 года в связи с чем можем объективно взглянуть на реальную ситуацию. Принятие ЦУР в 2015 году под девизом «Не оставить никого позади» было ярким примером конструктивной договороспособности мирового сообщества в интересах всех нас и последующих поколений. 
Между тем, уже стало очевидным, что по объективным обстоятельствам, в том числе, из-за коронавирусной пандемии, реализация ЦУР в развивающихся государствах, к которым можно отнести и нашу страну, замедлилась, а без адекватного международного финансирования многие из них могут и не достичь самых критических показателей ЦУР. 
Со своей стороны, хочу подтвердить приверженность Кыргызской Республики ЦУР и их поэтапной реализации с учетом национальных возможностей. Считаю, что именно собственный потенциал нашей страны должен быть основным источником и двигателем обеспечения устойчивого развития. 
В этих целях наши усилия направлены на достижение ускоренного качественного роста экономики, в том числе посредством взаимовыгодного регионального и международного торгово-инвестиционного сотрудничества. 
Например, Кыргызстан активно участвует в интеграционных и кооперационных процессах, в том числе в рамках Евразийского экономического союза и инициативы Китайской Народной Республики «Один пояс — один путь». Мы также открыты к деловому сотрудничеству и инвестиционному партнерству со всеми заинтересованными сторонами.
Как известно, Центральная Азии не имеет прямого выхода к морю, в связи с чем важным региональным проектом является строительство железной дороги Китай-Кыргызстан-Узбекистан. Его реализация расширит международные торгово-инвестиционные, транзитные и туристические возможности для Центральной Азии, находящейся на маршруте Великого Шелкового Пути.
В рамках проводимой политики приоритетное внимание уделяется развитию «зеленой», «цифровой» и «креативной» экономики. В стране активно развивается локомотив «зеленой экономики»: гидроэнергетическая отрасль; в эксплуатацию вводятся малые и средние ГЭСы. 
В строительстве самой крупной ГЭС — Камбаратинской, будут участвовать наши уважаемые соседи — Казахстан и Узбекистан, потому что это укрепит энергетическую обеспеченность и оптимизирует использование водных ресурсов в регионе. 
В целом, хочу отметить дух единства, взаимного понимания, доверия и поддержки, который был продемонстрирован в городе Чолпон-Ате два месяца назад, когда под председательством Кыргызстана прошла Четвертая Консультативная встреча глав государств Центральной Азии.
Надеюсь, что подписание всеми сторонами Чолпон-Атинского «Договора о дружбе, добрососедстве и сотрудничестве в целях развития Центральной Азии в двадцать первом веке» откроет новую страницу в наших межгосударственных отношениях.
Мы привержены к продолжению работы в этом формате. 
Уважаемый Генеральный секретарь,
Уважаемые дамы и господа,
В завершение выступления, хочу заверить вас, что Кыргызстан твёрдо поддерживает ООН в качестве единственной универсальной структуры, уполномоченной всеми нами — государствами-членами ООН — решать бесконечно возникающие вызовы перед человечеством.
 Рассчитываю, что ООН продолжит должным образом выполнять все свои функции и содействовать государствам-членам в решении насущных глобальных проблем и преодолению вызовов. Призываю все государства-члены в это сложное международное время оказать Организации безусловную политическую поддержку и солидарность.
 Уважаемые дамы и господа, благодарю за внимание».</t>
  </si>
  <si>
    <t>https://www.gov.kg/ru/post/s/21949-prezident-sadyr-zhaparovdun-buunun-bashky-assambleyasynyn-77-sessiyasynyn-zhalpy-debattarynda-sylgn-sz</t>
  </si>
  <si>
    <t>Уважаемый господин Генеральный секретарь,
Уважаемый господин Председатель,
Уважаемые главы делегаций,
Дамы и господа,
В первую очередь, поздравляю высокого представителя Тринидада и Тобаго, уважаемого господина Дэнниса Фрэнсиса с избранием Председателем 78-й сессии Генеральной Ассамблеи ООН.
Желаю Вам успехов и плодотворной работы на этом ответственном посту. Вы можете рассчитывать на поддержку Кыргызстана в ходе своего председательства. Выражаю благодарность Председателю предыдущей 77-й сессии Генеральной Ассамблеи ООН, представителю дружественной Венгрии, уважаемому господину Чаба Кёрёши за его активную деятельность и поддержку международных инициатив Кыргызстана.
Уважаемые дамы и господа,
Сегодня мир находится на переломном этапе. Все мы являемся свидетелями и ощущаем воочию негативные изменения мирового порядка, усиливающуюся геостратегическую конкуренцию между крупными державами и их блоками. Геополитическое напряжение ведет к тому, что мир движется к фрагментации на региональные и субрегиональные финансовые и экономические блоки и системы.
Очевидно также, что правительства различных стран будут вынуждены сделать свой экономический, технологический и геополитический выбор.
Среди потрясений глобального масштаба, которые пока не ушли совсем в прошлое, хочу отметить распространение коронавирусной инфекции, которая стоила человечеству миллионы жизней и экономические потери, превышающие 12 триллионов долларов.
Наблюдаются самые высокие темпы инфляции и самые высокие цены на продукты питания, которых мир не видел последние 60 лет.
Риски геоэкономической фрагментации, по данным Международного валютного фонда, могут привести к падению мирового валового внутреннего продукта на 7%.
Вызывает тревогу снижение доверия между различными странами и группами стран.
Тем не менее, убежден, что нынешние глобальные вызовы и риски – от климатического кризиса и угрозы продовольственной безопасности до растущего неравенства – должны, наоборот, сплотить членов международного сообщества.
Жизненно необходимо выстраивать такую многостороннюю систему, которая не допускает дальнейшей фрагментации геополитического ландшафта в мире.
Разве 78 лет назад, когда Организация Объединенных Наций только-только начала свою деятельность после самой кровопролитной и разрушительной войны в истории человечества, международные условия были легче, чем сейчас в наши дни?
Разве тогда противоречия между странами, в особенности, политические и идеологические, были менее острыми, чем в наше время?
Что мешает государствам-членам услышать друг друга и попытаться преодолеть разногласия, наладить диалог?
За все прошедшие годы, несмотря на «железный занавес» и военно-блоковое мышление, ООН была и остается наиболее легитимной и общепризнанной платформой дипломатии, объединяющей развитые и развивающиеся, большие и малые страны.
Кыргызстан решительно поддерживает ООН в качестве единственной универсальной межправительственной международной организации, уполномоченной всеми государствами-членами находить решения на вызовы и угрозы, постоянно возникающие перед человечеством.
Рассчитываю, что наша Организация под руководством Генерального секретаря господина Антонио Гутерреша и при действенной помощи государств-членов сможет найти механизмы и пути для более эффективного выполнения всех своих функций, содействовать государствам-членам в решении насущных глобальных проблем и преодолении вызовов.
Это особенно важно в деле поддержания устойчивого развития через реализацию Повестки – 2030.
Призываю все государства-члены в это непростое время оказать Организации и ее Генеральному секретарю безусловную политическую поддержку.
Благодарю Генерального секретаря ООН за представленную аналитическую записку «Новая повестка дня для мира» с его видением о будущем многостороннего сотрудничества в области безопасности. Мы согласны с основным тезисом, что «движущей силой новой многосторонности должна быть дипломатия».
Мы готовы к активной совместной работе по выработке Пакта о будущем в ходе Саммита будущего в 2024 году.
Уважаемые дамы и господа,
Говоря о Центральной Азии, хочу отметить следующее.
Мы, представители родственных народов Центральной Азии гордимся нашей многотысячелетней историей и культурой. Мы имеем много общего в традициях и обычаях. Многое сближает нас и с точки зрения сходства ментальности, психологии, мироощущения и мировосприятия.
Происходящие глобальные процессы оказывают непосредственное влияние на стабильность и безопасность в нашем Центральноазиатском регионе, а с другой стороны, усиливают его роль и значение.
Укрепление взаимоотношений со странами региона – естественный наивысший приоритет для нашей страны.
С удовлетворением отмечу, что в последние годы региональное взаимодействие в Центральной Азии развивается последовательно и по всем направлениям.
Я вижу наш регион в качестве единого геоэкономического пространства, в котором успешно формируются все формы экономического сотрудничества и взаимодействия.
Я вижу наш регион в качестве геополитического посредника, через который осуществляется взаимодействие и сотрудничество членов международного сообщества.
Я вижу наш регион в качестве активно взаимодействующих и динамично развивающихся сообществ, которые разделяют и поддерживают схожие культурные, исторические и традиционные ценности и представления.
Кыргызстан намерен вносить свой вклад в усиление региональной кооперации, находить новые эффективные форматы сотрудничества и одновременно активно взаимодействовать с различными мировыми центрами влияния как в двустороннем, так и многостороннем форматах.
На пути к полноценной региональной интеграции нужно завершить решение вопросов юридического оформления государственных границ.
Ровно год назад, выступая с этой трибуны, я с болью в сердце информировал о трагических событиях, произошедших в сентябре прошлого года, в связи с вооруженными столкновениями на кыргызско-таджикской границе, которые привели к многочисленным жертвам.
Благодаря сдержанности нашего миролюбивого народа и возобладавшей политической воле обеих сторон нам удалось не допустить дальнейшей эскалации конфликта и предотвратить полномасштабную кровопролитную войну в регионе.
В этой связи хочу подчеркнуть, что Кыргызстан всегда выступал и выступает за решение спорных вопросов исключительно мирным дипломатическим путем на основе принципов и норм международного права, таких как территориальная целостность и неприменение силы или угрозы ее применения.
Мы никогда не стремились забрать чужое, но и никому не позволим отобрать ни пяди родной земли.
Мы всегда стремимся к диалогу и поиску взаимоприемлемых решений, основанных на доверии и взаимном уважении.
В декабре прошлого года, после почти 30-летних переговоров, мы подписали с Узбекистаном Договор о юридическом оформлении государственной границы.
Это историческое решение, достигнутое благодаря проявленной политической воле глав двух государств, открыло самые широкие перспективы для взаимовыгодного сотрудничества и мирного сосуществования двух стран и народов.
Такого же подхода мы придерживаемся в переговорах и сейчас.
Мы хотим жить со всеми нашими соседями в мире, согласии и дружбе.
Говоря о безопасности и стабильности в Центральной Азии, необходимо их рассматривать в контексте ситуации в Афганистане.
Считаю крайне важным напомнить международному сообществу, что народ Афганистана испытывает существенные трудности, которые усиливаются отсутствием согласованной позиции мирового сообщества в отношении ситуации в этой стране.
Не будет преувеличением с моей стороны, если я скажу о том, что Афганистану угрожает гуманитарный кризис с его неизбежными последствиями для безопасности не только ближайших регионов, но и для всего мирового сообщества.
Кыргызстан заинтересован в мирном, стабильном и благополучном Афганистане. Мы призываем международное сообщество продолжить оказание гуманитарной и экономической помощи афганскому народу.
Уважаемые дамы и господа,
Вчера завершился Саммит по Целям устойчивого развития ООН, который еще раз подтвердил значимость неукоснительного достижения устойчивого развития, выявил проблемы в их реализации, а также обозначил конкретные обязательства государств.
Мы находимся на полпути к 2030 году – крайнему сроку выполнения всех Целей устойчивого развития ООН. Кыргызстан по реализации ЦУР занял 45-место из 166 государств-членов ООН. Будем стремиться войти в число 30 лучших стран по исполнению ЦУР к 2030 году.
Международное сообщество должно вдохнуть новую жизнь и укрепить солидарность в их достижении.
Важно, чтобы мы не гонялись за цифрами, графиками, схемами и прочими «экономическими премудростями», потому что может потеряться суть и сердцевина 17 Целей - сам Человек.
2030-й год совсем рядом, и мы должны будем спросить себя: решены ли насущные запросы и чаяния Человека? Обеспечены ли его безопасность, достаток, благополучие? Счастлив ли он? Какое будущее его ждет?
Такие проблемы, как крайняя бедность и изменение климата могут быть решены только путем нахождения глобального коллективного ответа.
Как справедливо отметил уважаемый Генеральный секретарь ООН в его Докладе о финансировании устойчивого развития, не имея средств для инвестирования в устойчивое развитие и для осуществления преобразований в энергетической и продовольственной системах, развивающиеся страны начинают отставать на пути достижения ЦУР.
Нынешние реалии таковы, что развивающиеся страны сталкиваются с двойным вызовом – необходимостью инвестирования в развитие и одновременной адаптации к климатическим изменениям.
В этой связи призываем к неотложным действиям по осуществлению Аддис-Абебской программы действий по финансированию развития. В частности, по скорейшему введению в действие Фонда, который призван обеспечить возмещение странам потерь и ущерба в связи с изменением климата, облегчить бремя внешней задолженности и улучшить международную архитектуру урегулирования долговых обязательств.
Уважаемые дамы и господа,
На предыдущих саммитах и конференциях по изменению климата делались амбициозные заявления и обещания.
Очевидно также, что заявленный в 2015 году уровень ежегодного финансирования в рамках Парижского соглашения сегодня уже недостаточен.
Считаем необходимым пересмотреть в сторону значительного увеличения уровень финансирования, отвечающего реальным потребностям уязвимых к климатическим изменениям стран.
Другой проблемой является то, что большая часть климатического финансирования предоставляется странам с низким и средним уровнем дохода в виде кредитов. Нет также разницы в процедурах выделения кредитов на проекты стоимостью в 1 миллион или один миллиард долларов.
Это подрывает суть и цели климатических соглашений.
Я уже обратился к нашим партнерам с просьбой обменять внешний долг на экологические проекты.
К сожалению, мы еще не получили ответа от большинства развитых стран. Только Правительство Германии списало 15 млн евро долга. Пользуясь случаем, выражаем благодарность германской стороне.
Призываем доноров пересмотреть подходы в пользу предоставления климатического финансирования нуждающимся странам на грантовой основе.
Поддерживаем «Бриджтаунскую инициативу», предложенную на последней климатической конференции в Шарм-эш-Шейхе, а также призывы, озвученные на Саммите по глобальному финансированию в Париже в июне текущего года о мобилизации необходимого финансирования и структурной реформы международной финансовой архитектуры.
Если не начать это делать сейчас, то несправедливость в мире будет расти. Богатые страны будут продолжать богатеть, а бедные страны – беднеть еще больше.
Уважаемые дамы и господа,
В свете глобального изменения климата особенно уязвимыми оказались горные регионы. В Кыргызстане горы занимают около 94% территории.
Горные ледники являются неотъемлемой частью криосферы Земли, которые не только влияют на климат нашей планеты, но и обеспечивают среду обитания для флоры и фауны, снабжают водой людей.
Климатические изменения в Центральной Азии привели к интенсивному таянию ледников. Если раньше прогнозировалось, что к 2050 году площадь ледников Кыргызстана сократится наполовину, а к 2100 году они могут исчезнуть вовсе, то теперь есть основания полагать, что это произойдет гораздо быстрее.
Это приводит к обострению проблем во всем регионе: нехватке воды для питья и сельского хозяйства, деградации почвы, создается угроза продовольственной безопасности.
Согласно последнему оценочному докладу Межправительственной группы экспертов по изменению климата, негативное воздействие изменений криосферы особо остро ощущается жителями высокогорных регионов, экосистемы которых достигли крайних пределов адаптации.
С целью эффективного сохранения горных экосистем и ледников, на базе принятых ранее Генеральной Ассамблеей ООН резолюций по устойчивому горному развитию, наша страна, совместно с Глобальным горным партнерством и другими представителями системы ООН, разработала Глобальный план действий.
Мы признательны всем партнерам: странам и международным структурам за совместную работу.
Кыргызстан выступает за создание широкой коалиции горных стран.
Полагаем, что адаптация к изменению климата и переход к «зеленой» экономике будут одними из главных приоритетов этой будущей коалиции.
Как известно, в 2022 году по инициативе нашей страны и Итальянской Республики была единогласно принята резолюция Генеральной Ассамблеи ООН «Устойчивое горное развитие», соавторами которой выступили 110 государств-членов.
Этот документ провозгласил 2023-2027 годы Пятилетием действий по развитию горных регионов.
Пользуясь случаем, хочу выразить искреннюю благодарность всем государствам-членам ООН за поддержку нашей инициативы.
В целях дальнейшей реализации резолюции ООН мной подписан Указ «Об объявлении в Кыргызской Республике периода 2023–2027 годов Пятилетием действий по развитию горных регионов», разработана национальная «Дорожная карта» по реализации «Пятилетия действий по развитию горных регионов на период 2023-2027 годов», которая будет принята в ближайшее время.
«Дорожная карта» сочетает в себе мероприятия глобального, регионального и национального масштабов, в том числе, в рамках действующих и перспективных проектов и мер по целям устойчивого развития.
В качестве завершающего этапа «Горного пятилетия» мы планируем проведение в 2027 году в Кыргызстане Второго Глобального горного саммита «Бишкек+25», спустя 25 лет после Первого саммита.
Хочу с этой высокой трибуны пригласить всех принять активное участие и внести свои конкретные обязательства для сохранения горных экосистем.
Мы благодарим наших партнеров из Группы друзей горных стран, Глобального горного партнерства и всей системы ООН за всемерную поддержку инициатив Кыргызстана. Выражаем готовность и далее к совместному плодотворному сотрудничеству.
Уважаемые дамы и господа,
Для успешного продвижения в решении стоящих вызовов и угроз нам необходимо построение действенной системы международной безопасности.
Ключевым элементом этого механизма является Совет Безопасности ООН. Сегодня как никогда является актуальным повышение эффективности его работы, чтобы сделать этот орган более справедливым и представительным, повысить его способность достигать консенсуса в принятии решений.
Необходимо обеспечить прогресс в переговорах по реформе Совета Безопасности ООН.
Кыргызстан выражает готовность внести свой посильный вклад в дело поддержания мира и безопасности через эффективное миростроительство, уважение прав человека и равное участие женщин в мирных процессах, продвижение и защиту интересов развивающихся, малых, наименее развитых и малых островных стран.
Мы выдвинули свою кандидатуру в непостоянные члены Совета Безопасности ООН на период 2027-2028 годов и рассчитываем на поддержку уважаемых государств-членов.
Нам всем необходимо соблюдать такие принципы, как доверие, солидарность и универсальность в отношениях между государствами. Только так, сообща, мы сможем восстановить глобальную и региональную архитектуру безопасности.
Уважаемый господин Председатель,
Дорогие друзья,
Говоря о сложностях и проблемах дня сегодняшнего, хочу привести слова нашего выдающегося земляка Жусупа Баласагына, который еще тысячу двести лет назад дал наставление: „Таков наш мир, его постигни суть, чтоб истины ворота распахнуть.“
Ничто не изменилось под Луной. Необходимо воспринимать мир таким какой он есть, во всем его многообразии и сложности. Мы, государства-члены ООН, должны превратить нашу Организацию в центр глобальных усилий по предотвращению конфликтов, достижению компромиссов, сделать все, чтобы установить мир и согласие.
Благодарю за внимание</t>
  </si>
  <si>
    <t>https://kyrtag.kg/ru/news/vystuplenie-prezidenta-kyrgyzstana-sadyra-zhaparova-na-78-y-sessii-genassamblei-oon-</t>
  </si>
  <si>
    <t>Уважаемый господин Генеральный секретарь,
Уважаемый господин Председатель,
Уважаемые главы делегаций,
Уважаемые дамы и господа,
Поздравляю страны Африки и уважаемого господина Филемона Янга с избранием на должность Председателя 79-й сессии Генеральной Ассамблеи Организации Объединенных Наций. Желаю Вам успехов на этой ответственной должности и заверяю, что Кыргызстан окажет полную поддержку вашему председательству в интересах мира и устойчивого развития. Выражаю также благодарность уважаемому господину Дэннису Фрэнсису за его активную работу в должности председателя 78-й сессии.
От имени Кыргызской Республики подтверждаю нашу приверженность международному праву, принципам и положениям Устава Организации Объединенных Наций и выражаю всестороннюю поддержку усилиям Организации в обеспечении международной безопасности, решении глобальных социальных, экономических и климатических вызовов, а также в защите прав и свобод человека.
Современные глобальные вызовы, такие как климатический кризис, угрозы продовольственной безопасности и растущее неравенство, требуют объединённых усилий международного сообщества.
В этот турбулентный период я призываю все государства продолжать поддерживать Организацию Объединенных Наций в её основной миссии — обеспечении мира и предотвращении современных рисков и угроз.
Сейчас, как никогда, такая поддержка крайне важна.
Я надеюсь, что под руководством Генерального секретаря господина Антониу Гутерриша и при активной поддержке государств-членов наша Организация сможет эффективно выполнять свои функции и помогать государствам решать актуальные глобальные проблемы.
Уважаемые дамы и господа,
Мы живем в мире, который с каждым годом становится всё более непредсказуемым и сложным.
Перед нами стоят беспримерные вызовы – глобальная климатическая катастрофа, экономическое неравенство, которое разделяют народы и континенты, и, конечно же, конфликты, которые разрушают надежду на мирное будущее. И в это время мы видим тревожный парадокс: расходы на вооружение в мире растут с каждым годом, тогда как бедные и уязвимые государства продолжают страдать от недостатка ресурсов для своего развития и выживания.
Я хотел бы привлечь ваше внимание к двум взаимоисключающим реальностям нашего времени.
Первая реальность – это беспрецедентные затраты на военные нужды.
По данным Стокгольмского международного института исследований проблем мира, общемировые военные расходы в 2023 году выросли на 6,8% и достигли рекордного показателя 2,5 трлн. долл. США в год или 2,3% глобального ВВП, что является рекордной суммой за последние десятилетия.
Ведущие державы направляют огромные средства на создание и развитие вооруженных сил, увеличение арсеналов и разработку новых, более разрушительных видов оружия.
К сожалению, это происходит в мире, где многие государства и народы все еще не имеют доступа к базовым услугам – воде, медицинской помощи, образованию.
Нам нужно сделать так чтобы деньги, которые идут на войны, разрушение, смерть, могли бы пойти на созидание или решение глобальных вызовов для всего человечества, для помощи странам в их борьбе с изменением климата, для предотвращения массового переселения и глобальной миграции.
Военные расходы и вооружённые конфликты разрушительно влияют на многие страны, усугубляя бедность и неравенство.
Конфликты и вооружённые столкновения приводят к разрушению инфраструктуры, падению уровня жизни и массовым миграциям, создавая порочный круг нищеты и нестабильности. И пока одни страны увеличивают свои бюджеты на вооружение, многие из тех, кто нуждается в помощи, теряют шанс на нормальную жизнь.
Вторая реальность – это отсутствие прогресса в поддержке бедных и уязвимых государств.
Всем нам хорошо известно, что экономическое неравенство продолжает расти.
Мировые лидеры на протяжении десятилетий говорят о необходимости ликвидации бедности, но каждый раз у них на это не хватает воли.
Государства Африки, Южной Азии и Латинской Америки продолжают сталкиваться с хроническим недофинансированием, отсутствием поддержки со стороны международного сообщества, а также с системными экономическими кризисами, которые не могут быть решены усилиями отдельных государств.
Страны, находящиеся в самом низу экономической пирамиды, нуждаются в инвестициях в здравоохранение, образование, инфраструктуру и борьбу с изменением климата.
На фоне стремительного роста затрат на вооружение, помощь этим государствам становится всё более недостаточной. Программы по оказанию гуманитарной помощи и содействию развитию зачастую испытывают нехватку финансирования, а средства, которые могли бы быть направлены на социальные нужды, направляются на закупку оружия и проведение военных операций.
Неравенство между государствами не только сохраняется, но и усиливается.
Мир стоит перед важным выбором.
Мы можем продолжать наращивать вооружение, гонясь за безопасностью через военные силы, или же можем выбрать путь устойчивого развития, направленного на ликвидацию бедности и поддержку тех, кто наиболее уязвим.
Ресурсы, направляемые на военные нужды, могли бы стать огромным вкладом в борьбу с глобальными проблемами – будь то доступ к чистой воде, образование для детей в развивающихся странах, борьба с голодом или финансирование программ по борьбе с климатическими изменениями.
Чтобы добиться прогресса в этом направлении, необходимы скоординированные усилия как богатых, так и бедных стран.
Во-первых, развитые государства должны не только увеличить объём финансовой помощи бедным странам, но и сделать её целенаправленной, направленной на инфраструктурные проекты и социальное развитие.
Во-вторых, бедные страны должны активнее участвовать в международных инициативах по устойчивому развитию и брать на себя обязательства по эффективному использованию предоставленных ресурсов.
В-третьих, важна передача современных технологий от богатых стран бедным, что позволит последним самостоятельно развивать экономику и уменьшить зависимость от внешней помощи.
Сегодня мы наблюдаем, что геополитические конфликты требуют не только увеличения оборонных расходов, но и, что еще более важно, необходимо международное сотрудничество для их разрешения.
Если мировое сообщество сможет объединить свои усилия для достижения справедливого распределения ресурсов, помощи уязвимым государствам и устранения причин вооруженных конфликтов, мы сможем создать более безопасный и процветающий мир для всех.
Если мы начнем инвестировать не в войну, а в людей, если вместо оружия мы будем вкладываться в образование, медицину и устойчивое развитие, то мы можем построить процветающий мир.
Пришло время пересмотреть приоритеты глобальной безопасности.
Безопасность – это не только наличие сильных армий и оружия массового поражения. Истинная безопасность достигается через доверие, равенство и процветание для всех народов.
Инвестируя в будущее бедных стран, помогая им бороться с бедностью, предоставляя возможности для устойчивого роста, мы можем создать более стабильный и безопасный мир.
В этом контексте, считаю важным и справедливым уделить больше внимания мирового сообщества к вопросам устойчивого развития Глобального Юга и отстаивании интересов, прежде всего, «наименее развитых стран, развивающихся стран», «развивающихся стран, не имеющих выхода к морю» и «малых островных развивающихся государств».
Уважаемые коллеги,
Одним из наиболее опасных вызовов, угрожающих самому существованию нашей планеты, является изменение климата, которое с каждым днем усугубляется и затрагивает практически все страны и народы мира.
Наблюдаемые интенсивное таяние ледников, учащение природных катаклизмов и сокращение водных ресурсов в горных экосистемах вызывают глубокую озабоченность. Эти негативные последствия угрожают жизни местных сообществ, способствуют повышению уровня бедности, ухудшению состояния инфраструктуры и наносят серьезный ущерб экономикам стран.
Кыргызстан стоит перед тройным вызовом – необходимостью инвестирования в развитие, снижения уровня бедности и адаптации к изменению климата с целью достижения углеродной нейтральности.
Каждое из этих направлений требует специального финансирования, особенно в контексте обеспечения климатической устойчивости для нашей страны и уязвимых сообществ.
И мы решительно настроены добиться успеха действуя совместно с нашими партнерами.
Кыргызстан предлагает усилить и повсеместно распространить механизм по обмену долга на «зеленую экономику», таким образом помочь развивающимся странам и менее развитым странам совместно бороться с изменением климата.
Кыргызстан поддерживает позицию Генерального секретаря ООН о необходимости реформирования международной финансовой архитектуры и снижения долгового бремени для развивающихся стран.
Мы также предлагаем механизм замещения внешнего долга на проекты по климатическому и устойчивому развитию и работаем над созданием Климатического Трастового фонда, который будет финансировать экологические проекты в горных регионах.
Кыргызская Республика уделяет особое внимание вопросам климата в осуществлении своей национальной политики и основываясь на принципах зеленого развития ставит перед собой амбициозную цель достижения углеродной нейтральности к 2050 году.
Более 95% нашей энергии производится, в основном, гидроэлектростанциями, которые являются главным двигателем на пути к достижению цели нулевых выбросов.
Наша страна имеет обширные возможности для интеграции возобновляемых источников энергии в различные отрасли экономики, развития инфраструктуры электротранспорта, устойчивого сельского хозяйства и развития экотуризма.
Мы принимаем активные меры по стимулированию использования электромобилей и повышению энергоэффективности зданий.
Хочу привести только один пример нашего стремления построить «зеленое» будущее.
Мы знаем, что реализованы и продолжают успешно развиваться такие проекты «умных городов», направленные на устойчивое развитие, как «Неом» в Аравии, «Масдар-Сити» в Эмиратах, «Вестерн-Харбор» в Швеции, «Солнечная долина» в Китае. Мечты народов этих стран стали реальностью и примером и для нас.
Мы начали строительство на берегу озера Иссык-Куль современного и инновационного города «Асман», что в переводе с кыргызского языка означает «Небо».
В следующем году мы начнем строительство “зеленого города” в городе Кемине.
Мы стремимся построить «зеленый» город, который послужит примером для других регионов нашей страны и будет способствовать сохранению чистой природы для будущих поколений, и который, уверен, станет экономическим, торговым, культурно-туристическим хабом, центром инноваций и новых технологий.
Центральная Азия становится важным регионом с точки зрения глобальной безопасности и мировой экономики.
Кыргызстан, совместно с соседними государствами, продолжает работу над устойчивым развитием региона. Совместно с Казахстаном и Узбекистаном мы строим ГЭС Камбар-Ата-1, которая обеспечит потребности региона в энергии и воде.
Также мы участвуем в строительстве железной дороги Китай-Кыргызстан-Узбекистан, что усилит торговое и транспортное сотрудничество и свяжет Восток и Запад континента.
Уважаемые дамы и господа,
Будущее нашего мира зависит от того, каким путем мы пойдем. Мы не должны увеличивать расходы на вооружение, ведущие к дальнейшей эскалации конфликтов и бедствий. Мы должны направить наши усилия на построение справедливого, безопасного и процветающего мира для всех.
Наш выбор сегодня определит, каким станет завтрашний день для будущих поколений.
Нам необходима разрядка международной напряжённости.
Кыргызская Республика готова содействовать усилиям Генеральной Ассамблеи и Совета Безопасности ООН, направленным на установление стабильного миропорядка и достижение целей устойчивого развития и внести посильный вклад в коллективные усилия международного сообщества по решению глобальных вызовов и угроз.
В этой связи мы выдвигаем свою кандидатуру на место Непостоянного Члена Совета Безопасности ООН на 2027–2028 годы.
Как страна, которая никогда не была избрана в этот ключевой орган ООН, мы рассчитываем на вашу поддержку на выборах, которые пройдут в июне 2026 года в Нью-Йорке.
В случае избрания Кыргызстан продолжит выступать за повышение эффективности и транспарентности работы Совета, а также за расширение его состава с учётом сбалансированной региональной представленности.
Настало время исправить недостаток представительства стран Африки в Совете и устранить историческую несправедливость, связанную с тем, что 60 государств-членов, включая Кыргызстан, ещё никогда не избирались в Совет Безопасности, в то время как отдельные государства избирались несколько раз.
На Саммите Будущего государства-члены ООН подтвердили значимость Целей устойчивого развития и необходимость их полноценной реализации. Кыргызстан остаётся приверженным глобальной Повестке устойчивого развития до 2030 года, и наши достижения подтверждают твёрдое намерение достичь Целей с учётом национальных приоритетов и финансовых возможностей.
Цели устойчивого развития ООН интегрированы в Национальную стратегию развития Кыргызстана до 2040 года, которая создаёт возможности для устойчивого экономического и социального развития, цифровизации, предпринимательства, а также внедрения инновационных и экологически чистых технологий для нынешних и будущих поколений.
22 июля этого года мы приняли Закон о защите прав и средств частных предпринимателей и иностранных инвесторов.
В этом Законе о защите бизнеса инвесторов предусмотрены меры наказания для государственных чиновников, причастных к следующим нарушениям:
— незаконному и необоснованному отказу в государственной регистрации;
— незаконному и необоснованному отказу в выдаче лицензий;
— необоснованному и незаконному ограничению деятельности;
— необоснованному и незаконному вмешательству в деятельность инвесторов и частных предпринимателей.
За вышеуказанные нарушения Закона предусмотрены самые суровые наказания.
Они предусматривают лишение свободы от двух до пяти лет и конфискацию имущества, либо предусмотрены крупные денежные штрафы.
В следующем году наша страна представит Национальный добровольный обзор по реализации ЦУР.
Мы готовы делиться своим опытом, обсуждать достигнутые результаты и продолжать движение к цели — войти в число 30 лучших стран мира по реализации ЦУР к 2030 году.
Как горная страна, Кыргызстан с начала 2000-х годов последовательно привлекает внимание мировой общественности к проблемам устойчивого развития горных регионов. По нашей инициативе и при широкой поддержке горных стран реализуется «Пятилетие действий по развитию горных регионов» на 2023–2027 годы.
Призываю все государства активно участвовать в этом проекте.
Приглашаю вас принять участие во Втором Глобальном горном саммите «Бишкек+25» в 2027 году, на котором будут подведены итоги «Горного пятилетия». Кроме того, мы продвигаем инициативу по закреплению глобального диалога «Горы и климат» в ежегодной программе Конференции ООН по изменению климата.
Кыргызстан активно ведёт работу по сохранению снежного барса, который стал символом долгосрочного устойчивого развития нашего региона. В декабре 2023 года снежный барс был признан национальным символом Кыргызстана. Совместно с 11 странами мы работаем над защитой этого уникального животного. В этой связи я имею честь объявить о внесении резолюции Генеральной Ассамблеи ООН о провозглашении «Международного дня снежного барса» и прошу всех поддержать эту инициативу.
Жители горных регионов ежедневно сталкиваются с нехваткой воды, продовольственной безопасностью, бедностью и ограниченным доступом к базовым услугам.
Эти страны не должны оставаться один на один со своими проблемами. Мы призываем мировое сообщество к активным действиям по решению этих вопросов.
Уважаемые коллеги, дамы и господа,
Настало время для нового международного консенсуса, который основан на доверии и учёте интересов всех стран.
Завершая свое выступление, хочу процитировать слова из океаноподобного эпоса «Манас», призывающие к дружбе, единству и солидарности: «Бир жакадан баш, бир жеңден кол чыгарып, күч-кубатты бириктирели» («Давайте объединим наши силы, действуя как одно целое»); «Биримдик бар жерде — ырыс бар.» («Там, где есть единство, там есть и благодать»).
Современное многостороннее управление, задуманное для более простого и стабильного мира, не подходит для решения сложных, взаимосвязанных и стремительно меняющихся вызовов современности.
Только так мы сможем построить прочное и светлое будущее.
Благодарю за внимание».</t>
  </si>
  <si>
    <t>https://eltr.kg/ru/sadyr-zhaparov-na-79-j-sessii-generalnoj-assamblei-oon-kr-udelyaet-osoboe-vnimanie-voprosam-klimata/</t>
  </si>
  <si>
    <t>Уважаемая госпожа Председатель,
Уважаемый господин Генеральный секретарь,
Уважаемые главы делегаций, дамы и господа,
Позвольте искренне поздравить г-жу Анналену Бербок с избранием на должность Председателя 80-й сессии Генеральной Ассамблеи ООН, и пожелать успехов в работе.
В этом году мы отмечаем 80-летие Организации Объединённых Наций — уникальной структуры, стоящей на страже мира, безопасности и развития уже почти целый век.
За эти 80 лет, несмотря на многочисленные конфликты, к счастью, мир не стал свидетелем третьей мировой войны.
И в этом, безусловно, ключевая заслуга Организации Объединённых Наций.
Организация стала не только международной платформой для диалога, но и сыграла особую роль в предотвращении глобальных конфликтов.
Сегодня тенденции регионализма в мировой политике усиливаются.
Продолжается рост цен, недостаток ликвидности и «война» санкций в экономике.
Угроза терроризма и экстремизма охватила все страны.
Несмотря на критику, Организации Объединённых Наций остается единственной универсальной организацией, обладающей моральным авторитетом и институциональным потенциалом.
Уважаемые дамы и господа!
Сегодня мы гордимся достигнутой политической стабильностью и продолжающимися социально-экономическими преобразованиями в стране.
Это было трудно.
За свободу и независимость мы заплатили высокую цену.
Но я могу уверенно сказать: Кыргызстан состоялся как государство!
Это достижение позволяет нам ставить перед собой амбициозные цели на перспективу.
Международные организации, включая ООН, признают Кыргызстан как одно из самых свободных и стабильных государств на евразийском континенте с сильным гражданским обществом.
Масштабная и бесповоротная борьба против коррупции и преступности является приоритетным направлением государственной политики Кыргызстана!
Сегодня перед нами стоит задача политической модернизации и развития экономики в соответствии с требованиями завтрашнего дня.
Мы ставим задачу улучшения инвестиционного климата, приступили к построению информационного общества, справедливого и прозрачного государственного управления.
Дамы и господа!
Каждый год в Нью-Йорке лидеры всех государств мира собираются, чтобы вновь напомнить себе и друг другу о той великой миссии, ради которой создавалась Организация.
Я тоже приехал в Нью-Йорк с этой миссией.
Сегодня мои дипломаты подготовили вежливый текст, учитывающий международную дипломатическую обстановку.
Однако в этом году, выходя на эту высокую трибуну, я решил выступить не как дипломат.
В этом году я хотел бы выступить с этой трибуны не только как глава государства, но и как простой человек, как обычный гражданин своей страны, открыто выражающий свое истинное мнение и переживания о международных событиях, происходящих в мире.
В этом году это мой четвертый раз, когда я выступаю с речью на Генеральной Ассамблее ООН.
Три года подряд я приезжал сюда и произносил приятные, красивые слова.
Сегодня же я решил открыто и прямо говорить о проблемах, которые тревожат сердца миллионов людей.
В разных уголках мира — в Европе, на Ближнем Востоке, в Африке, Азии— вспыхивают новые вооруженные конфликты и войны.
Миллионы людей теряют свои дома, вынуждены покидать родные земли, Миллионы становятся жертвами.
Кто же страдает больше всего? В первую очередь – простые люди!
Мировые политики наживаются на их смерти.
Мы не можем закрывать глаза на страдания многих народов: Палестины, Украины, Судана, Сирия и других, где продолжаются военные действия, гибнут мирные жители, нарушаются права человека.
Мировое сообщество применяя двойные стандарты, приоритизирует эти конфликты на «более или менее важные», с учётом своих геополитических интересов.
Конфликт в Украине длится уже почти четыре года, люди гибнут и бегут из страны.
Поддерживаем усилия Президента США Дональда Трампа и Президента России Владимира Путина по поиску решений мирного урегулирования конфликта в Украине.
Мы заинтересованы в этом!
Потому что и мы страдаем от последствий российско-украинского конфликта.
Односторонние санкции оказывают негативное воздействие и на нас – на страну, которая только встаёт на ноги.
Кыргызстан прилагает все усилия для самостоятельного укрепления своей экономики.
Поэтому мы расцениваем необоснованные санкции как вмешательство во внутренние дела страны и как давление, препятствующее развитию нашей ещё только формирующейся экономики.
Я всегда говорил и ещё раз повторяю: Кыргызстан строго выполнял и будет выполнять свои международные обязательства.
Однако мы не можем жертвовать интересами наших граждан и экономическим развитием страны!
Санкции, введённые в отношении Кыргызстана, основаны на ложной информации, распространяемой отдельными неправительственными организациями и недобросовестными гражданами.
Мы готовы принять независимые международные аудиты для тщательной проверки деятельности банков Кыргызстана.
В 2024 году страны Европейского Союза осуществили торговлю с Россией на сумму 141 миллиард долларов, из которых 36 миллиардов пришлось на импорт из России.
А Великобритания, которая ввела санкции против двух наших банков, в том же году вела торговлю с Россией на сумму 2,2 миллиарда долларов.
Говоря откровенно, кто-то оставляет за собой возможность сотрудничества с Россией, отстаивая собственные интересы, но другим это запрещает.
Как это назвать? Есть поговорка: «Прежде чем требовать что-то от других, будь сам примером».
Вы требуете, чтобы мы не сотрудничали с Россией, а сами активно развиваете с ней торгово-экономические связи.
Нас с Россией связывает гораздо больше экономических отношений, чем вас.
Поэтому, в экономическом плане, отказаться от сотрудничества с Россией мы не можем.
Мы не стремимся к противостоянию с другими. Мы сотрудничаем практически со всем миром, проводя многовекторную политику.
Например, мы ежегодно продаём в ту же Англию золото на сумму 1 миллиард долларов.
Моя первоочередная обязанность как Президента страны — обеспечить безопасность моих граждан и страны, а также улучшить их экономическое положение.
Мы выступаем против политизации экономического сотрудничества и торговли.
Поэтому мы требуем отмены санкций в отношении наших двух банков.
Уважаемые дамы и господа!
Генеральный секретарь ООН уже охарактеризовал Сектор Газы как «кладбище тысяч детей»!
Что еще нужно чтобы остановить войну и ужасающие события в Газе?
Мы должны сопереживать палестинскому народу, понесшему огромные потери в результате бесчеловечного конфликта в Секторе газа.
Мы не должны оставаться равнодушными к человеческой трагедии, разворачивающейся на глазах всего мира.
Мы требуем остановить геноцид в отношении палестинцев и начать международное судебное расследование со стороны Международного суда ООН!
Моя страна всегда решительно осуждает насилие и терроризм в любых его проявлениях, в том числе террористические нападения на Израиль 7 октября 2023 года.
Таких террористов следует жестко наказывать.
Однако у борьбы с терроризмом, у методов уничтожения террористов существуют свои приемы и процедуры.
Именно этими методами и следует пользоваться.
Из-за действий подобных террористов не должны гибнуть миллионы простых граждан.
Почему мы допускаем массовую гибель простых людей и невинных детей — сотнями тысяч?
Единственный путь установить прочный мир — реализовать принцип «Два государства для двух народов».
Палестина должна обрести независимость на основе границ 1967 года.
Мы также осуждаем последние ракетные удары по территориям Катара и Ирана, поскольку такие нападения являются посягательством на суверенитет независимых государств, создают угрозу региональной стабильности и безопасности и противоречат нормам международного права.
Борьбы с терроризмом и современными угрозами в Газе, Иране, Ливане и других регионах должна быть соразмерна их масштабу и природе, мирные жители, женщины и дети не должны страдать и жертвовать своими жизнями.
Уважаемые дамы и господа!
Как соседняя страна, Кыргызстан считает важным в нынешних непростых условиях оказывать всестороннюю поддержку афганскому народу, интегрируя экономику Афганистана в региональные и мировые экономические процессы.
Изолировать Афганистан на международном уровне и лишать его иностранной помощи — неправильно. Это несправедливо.
Считаем, что использование финансовых инструментов в целях геополитической и идеологической выгоды для обострения гуманитарного кризиса является проявлением несправедливости и бесчеловечности.
Поэтому мы убеждены, что замороженные западными странами активы Афганистана на сумму свыше 9 миллиардов долларов США должны быть возвращены афганскому народу как можно скорее.
Эти средства могли бы способствовать восстановлению инфраструктуры, расширению доступа к кредитам через местные банки, развитию сельского хозяйства и созданию новых возможностей для миллионов людей, живущих в бедности.
Вы используете эти средства и получаете с них выгоду.
Это позор для вас.
Согласно данным Организации Объединённых Наций, в 2025 году в Афганистане 15 миллионов человек столкнулись с голодом, а 24 миллиона нуждаются в гуманитарной помощи.
Как всем известно, в начале сентябре в результате землетрясения более 2 тысяч наших афганских соотечественников погибли.
К сожалению, из-за нехватки финансовых средств и слабой инфраструктуры пострадавшим не удалось своевременно оказать помощь.
Мы призываем лидеров западных стран незамедлительно вернуть эти активы ради будущего афганского народа.
Если вы действительно хотите, чтобы афганский народ как можно скорее выбрался из нищеты и голода — верните их без промедления.
Только тогда ваши слова о правах человека и межгосударственных обязательствах будут соответствовать вашим делам!
Уважаемые участники,
Сегодняшние вызовы в странах Африки — от конфликтов до продовольственной нестабильности — требуют не сочувствия на словах, а солидарности в действиях.
Африка – это 54 страны с населением более 1,5 млрд человек, это второй крупный континент после Евразии.
Африка обладает огромными запасами ресурсов, и мы уверены, что в ближайшем будущем роль Африки в мировой экономике и международной политике возрастет в несколько раз.
Поэтому колоссальные природные богатства Африки должны служить ускоренному развитию самого континента и удовлетворению его собственных интересов.
Нужно усилить работу миротворческой деятельности ООН.
С начала 1990-х годов, после обретения независимости, моя страна начала направлять своих миротворцев в составе миссий ООН в страны, где происходили конфликты.
Это еще раз доказывает, что мы искренне хотим внести свой вклад в дело укрепления мира и безопасности в мире.
Вклад государства не должен определяться его размером, а глубиной его приверженности и искреннего желания к миру и солидарности.
Поддерживаем укрепление международных договоров, включая Договор о нераспространении ядерного оружия.
Важно воспитать подрастающее поколение к миру без ядерного оружия!
Важно повышать осведомленность молодого поколения о разрушительных последствиях применения оружия массового уничтожения.
Международный день просвещения в области разоружения и нераспространения, инициированный кыргызской стороной, и поддержанный государствами-членами ООН, является отличной площадкой по имплементации данной концепции.
Кыргызстан один из инициаторов и депозитарий Договора о Зоне, свободной от ядерного оружия, в Центральной Азии.
Мы присоединились ко всем основополагающим международным документам, по вопросам разоружения и нераспространения, в том числе ДНЯО и ДВЗЯИ.
В соответствии с принципом последовательности, в этом году Кыргызская Республика приняла политическое решение о подписании Договора о запрещении ядерного оружия.
Мы твёрдо убеждены, что наша планета должна существовать без ядерного оружия — это изобретение человечества должно использоваться исключительно в мирных целях!
Дамы и господа,
Для устойчивого развития и региональной интеграции странам Центральной Азии необходимы равноправный диалог и активное взаимодействие.
Несмотря на сложные исторические и географические предпосылки, Кыргызстан мирно урегулировал свои приграничные вопросы с соседними странами, в частности с Таджикистаном и Узбекистаном.
Этот процесс сопровождался продолжительными переговорами на высоком уровне, на уровне экспертов, и был решен с учетом уважения интересов всех сторон.
С уверенностью могу отметить, что сегодня границы между Кыргызстаном, Таджикистаном и Узбекистаном – это границы дружбы, торговли и сотрудничества.
Этот опыт подтверждает: мир возможен там, где есть политическая воля, уважение и диалог, которые позволили нам разрешить все существующие противоречия и встать на путь созидания и развития.
Кыргызстан готов предоставить свой опыт разрешения сложных вопросов с мировым сообществом.
Давайте использовать более 3 триллионов долларов, которые ежегодно тратятся на вооружение по всему миру, для улучшения жизни людей, ликвидации голода, охраны нашей экологии и очистки воздуха.
Ведь нет границ для того, чтобы дышать воздухом.
Мы все дышим одним воздухом.
Поэтому я призываю жить не в гонке за тем, у кого сильнее оружие, а в соревновании за то, у какой страны чище природа и воздух.
Дорогие друзья,
Изменение климата— это реальность, которую мы наблюдаем сегодня.
Перед нами стоят угрозы засухи, таяния ледников, изменения экосистем и биоразнообразия.
Кыргызстан — горная страна, которая особенно уязвима перед этими изменениями.
Мы уже ощущаем угрозу сокращения водных ресурсов и риски для сельского хозяйства и биоразнообразия.
Хотя Кыргызстан не имеет выхода к морю, он активно участвует в международных природоохранных инициативах и может играть значимую роль в поддержке соглашений, направленных на защиту глобальных экосистем.
Кыргызская Республика последовательно выступает за признание взаимосвязанности природных систем – «от гор к океану», которые являются двумя полюсами единой системы.
Так как будущее океанов начинается на вершинах.
В этом контексте мы ратифицировали Соглашение о биологическом разнообразии (BBNJ) и вошли в число первых более чем 60 государств, присоединившихся к нему.
Реки, поддерживающие морские и прибрежные экосистемы, берут начало в горах.
Поэтому защита горных экосистем и устойчивое управление водосборами напрямую связаны с океанами.
Теперь страна готовит Второй саммит Bishkek+25, запланированный на 2027 год, как центральную площадку для государств, международных организаций и экспертов по устойчивому развитию горных территорий.
Приглашаем всех Вас принять активное участие в данном мероприятии.
Дорогие друзья,
Как сказал в своё время Генеральный секретарь ООН Даг Хаммершельд: «ООН была создана не для того, чтобы привести человечество в рай, а скорее спасти человечество от ада».
Сегодня эти слова как никогда актуальны. Организация родилась из ужасов войны, но жива благодаря вере в сотрудничество, диалогу и уважения.
Сегодня как никогда ранее важно сохранить и развивать систему многосторонности — как щит от анархии и односторонних решений.
Назрела необходимость формирования принципиально новых международных механизмов, адекватных современным вызовам и угрозам.
Наша Организация нуждается в переменах, и это уже требование времени, нынешних реалий.
В данном контексте, мы поддерживаем усилия Генерального секретаря по реформированию системы ООН под названием «ООН-80».
Также настало время усовершенствования и реформирования работы Совета безопасности ООН.
В настоящее время 15 членов Совета безопасности ООН фактически решают судьбы всех государств мира.
От достижения ими консолидированной позиции зависят вопросы войны и мира, безопасности и стабильности.
Более того, пять постоянных членов СБ ООН всегда могут заблокировать любое решение.
Кыргызстан выступает за принятие необходимых мер по совершенствованию СБ ООН, которые будут учитывать интересы значительного большинства государств.
В этой связи, важно скорейшее достижение компромиссного варианта по всем вопросам реформирования СБ ООН.
Эта реформа должна базироваться на принципах универсальности, широкой географической представленности и иметь широкую поддержку государств-членов ООН.
Кыргызстан считает законным и справедливым расширение права африканских государств на членство в Совете Безопасности и усилия по устранению исторического дисбаланса.
Более 60 государств-членов, включая Кыргызстан, никогда не избирались в Совет Безопасности, в то время как некоторые страны избирались по пять-шесть раз.
Уважаемые члены делегации,
Кыргызстан стремится вносить свой посильный вклад в обеспечение мира, глобальной безопасности и устойчивого развития.
С целью привлечения внимания ООН и мира к проблеме малых государств, Кыргызстан выдвинул свою кандидатуру в непостоянные члены Совета Безопасности ООН на период 2027-2028 годы.
Поддержка стран, ранее не избравшихся в Совет Безопасности ООН, позволит дать уверенность в равноправии членов и тем самым поднимет авторитет Организации и укрепит доверие к ней.
Мы искренне верим в принцип справедливости, прошу государства-члены ООН поддержать нас на выборах в июне следующего года.
Каждая страна должна иметь возможность быть членом Совета, и внести свой вклад в дело поддержания мира и безопасности.
Я могу с уверенностью сказать, что Кыргызстан относится к числу государств, обладающих опытом для выдвижения значимых вопросов в Совете Безопасности.
Мы будем четко отстаивать международное право, справедливость, защиту прав людей и повышать многостороннюю систему на основе взаимного уважения, баланса интересов и ответственности перед будущими поколениями.
Уважаемые дамы и господа,
Наши вызовы — общие, и наши ответы должны быть солидарными.
Необходимо, чтобы наши слова соответствовали нашим делам.
Мы не можем позволить себе бездействие.
Мир требует усилий.
Будущее нашей планеты — наша общая ответственность.
Спасибо за внимание!</t>
  </si>
  <si>
    <t>http://asiatv.kg/2025/09/24/vystuplenie-prezidenta-sadyra-zhaparova-v-oon/</t>
  </si>
  <si>
    <t>Сумм. упоминание -евраз</t>
  </si>
  <si>
    <t>Итого</t>
  </si>
  <si>
    <t xml:space="preserve">Событие </t>
  </si>
  <si>
    <t>Упом. -евраз</t>
  </si>
  <si>
    <t>Упом. ЕАЭС</t>
  </si>
  <si>
    <t>Итог упоминаний</t>
  </si>
  <si>
    <t>Послание ФС РФ</t>
  </si>
  <si>
    <t>https://base.garant.ru/71265528/</t>
  </si>
  <si>
    <t>http://www.kremlin.ru/acts/bank/41550</t>
  </si>
  <si>
    <t>Не было выступления</t>
  </si>
  <si>
    <t>http://www.kremlin.ru/acts/bank/42902</t>
  </si>
  <si>
    <t>http://www.kremlin.ru/acts/bank/44032</t>
  </si>
  <si>
    <t>http://www.kremlin.ru/acts/bank/45148</t>
  </si>
  <si>
    <t>http://www.kremlin.ru/acts/bank/46794</t>
  </si>
  <si>
    <t>http://www.kremlin.ru/acts/bank/49010</t>
  </si>
  <si>
    <t>http://www.kremlin.ru/acts/bank/50431</t>
  </si>
  <si>
    <t>Итог:</t>
  </si>
  <si>
    <t> Послание к белорусскому народу и Национальному собранию</t>
  </si>
  <si>
    <t>https://pravo.by/document/?guid=3871&amp;p0=P015p0001</t>
  </si>
  <si>
    <t>https://pravo.by/document/?guid=3871&amp;p0=P016p0001</t>
  </si>
  <si>
    <t>https://sov.minsk.gov.by/poslanie-prezidenta-respubliki-belarus-2017</t>
  </si>
  <si>
    <t>https://sov.minsk.gov.by/poslanie-prezidenta-respubliki-belarus-2018</t>
  </si>
  <si>
    <t>https://pravo.by/document/?guid=3871&amp;p0=P019p0001</t>
  </si>
  <si>
    <t>https://pravo.by/document/?guid=3871&amp;p0=P020p0001</t>
  </si>
  <si>
    <t>https://pravo.by/document/?guid=3871&amp;p0=P022p0001</t>
  </si>
  <si>
    <t>https://pravo.by/document/?guid=3871&amp;p0=P023p0001</t>
  </si>
  <si>
    <t>https://pravo.by/document/?guid=3871&amp;p0=P024p0001</t>
  </si>
  <si>
    <t>https://president.gov.by/ru/events/vtoroe-zasedanie-vii-vsebelorusskogo-narodnogo-sobrania</t>
  </si>
  <si>
    <t>Послание Главы государства народу Казахстана</t>
  </si>
  <si>
    <t>https://www.akorda.kz/ru/events/astana_kazakhstan/astana_other_events/poslanie-glavy-gosudarstva-narodu-kazahstana</t>
  </si>
  <si>
    <t>Послание Президента Республики Казахстан Н.Назарбаева народу Казахстана</t>
  </si>
  <si>
    <t>https://www.akorda.kz/ru/addresses/addresses_of_president/poslanie-prezidenta-respubliki-kazahstan-nnazarbaeva-narodu-kazahstana-31-yanvarya-2017-g</t>
  </si>
  <si>
    <t>https://www.akorda.kz/ru/addresses/addresses_of_president/poslanie-prezidenta-respubliki-kazahstan-n-nazarbaeva-narodu-kazahstana-10-yanvarya-2018-g</t>
  </si>
  <si>
    <t>Послание Главы государства Касым-Жомарта Токаева народу Казахстана</t>
  </si>
  <si>
    <t>https://www.akorda.kz/ru/addresses/addresses_of_president/poslanie-glavy-gosudarstva-kasym-zhomarta-tokaeva-narodu-kazahstana</t>
  </si>
  <si>
    <t>https://www.akorda.kz/ru/addresses/addresses_of_president/poslanie-glavy-gosudarstva-kasym-zhomarta-tokaeva-narodu-kazahstana-1-sentyabrya-2020-g</t>
  </si>
  <si>
    <t>https://www.akorda.kz/ru/poslanie-glavy-gosudarstva-kasym-zhomarta-tokaeva-narodu-kazahstana-183048</t>
  </si>
  <si>
    <t>https://www.akorda.kz/ru/poslanie-glavy-gosudarstva-kasym-zhomarta-tokaeva-narodu-kazahstana-1623953</t>
  </si>
  <si>
    <t>https://www.akorda.kz/ru/poslanie-glavy-gosudarstva-kasym-zhomarta-tokaeva-narodu-kazahstana-ekonomicheskiy-kurs-spravedlivogo-kazahstana-18588</t>
  </si>
  <si>
    <t>https://www.akorda.kz/ru/poslanie-glavy-gosudarstva-kasym-zhomarta-tokaeva-narodu-kazahstana-spravedlivyy-kazahstan-zakon-i-poryadok-ekonomicheskiy-rost-obshchestvennyy-optimizm-285014</t>
  </si>
  <si>
    <t>https://www.akorda.kz/ru/poslanie-glavy-gosudarstva-kasym-zhomarta-tokaeva-narodu-kazahstana-kazahstan-v-epohu-iskusstvennogo-intellekta-aktualnye-zadachi-i-ih-resheniya-cherez-cifrovuyu-transformaciyu-885145</t>
  </si>
  <si>
    <t>Абраамян</t>
  </si>
  <si>
    <t>Выступление премьер-министра Овика Абраамяна на пленарном заседании Национального собрания</t>
  </si>
  <si>
    <t>https://www.gov.am/en/news/item/8213/</t>
  </si>
  <si>
    <t>Карапетян</t>
  </si>
  <si>
    <t>Выступление премьер-министра Карена Карапетяна при представлении Программы правительства Национальному собранию Республики Армения</t>
  </si>
  <si>
    <t>https://www.gov.am/en/speeches/671/item/3493/</t>
  </si>
  <si>
    <t>Послание Президента Сержа Саргсяна Национальному Собранию VI созыва</t>
  </si>
  <si>
    <t>https://www.president.am/ru/statements-and-messages/item/2017/05/18/President-Serzh-Sargsyan-statement-on-the-occasion-of-the-sixth-convocation-of-the-RA-National-Assembly/</t>
  </si>
  <si>
    <t>Речь исполняющего обязанности премьер-министра Республики Армения Никола Пашиняна в Национальном Собрании</t>
  </si>
  <si>
    <t>https://www.primeminister.am/ru/statements-and-messages/item/2018/10/24/Nikol-Pashinyan-Speech-National-Assembly/</t>
  </si>
  <si>
    <t>Премьер-министр выступил в Национальном Собрании с ежегодным докладом о результатах работы правительства</t>
  </si>
  <si>
    <t>https://www.primeminister.am/en/statements-and-messages/item/2020/05/06/Nikol-Pashinyan-Speech/</t>
  </si>
  <si>
    <t>Выступление премьер-министра Никола Пашиняна на презентации Плана действий правительства в Национальном собрании</t>
  </si>
  <si>
    <t>https://www.primeminister.am/en/statements-and-messages/item/2021/08/24/Nikol-Pashinyan-Speech/</t>
  </si>
  <si>
    <t>Речь премьер-министра Никола Пашиняна на обсуждении в Национальном Собрании доклада об исполнении программы правительства</t>
  </si>
  <si>
    <t>https://www.primeminister.am/ru/statements-and-messages/item/2022/04/13/Nikol-Pashinyan-Speech</t>
  </si>
  <si>
    <t>Речь премьер-министра на обсуждении в Национальном Собрании доклада о ходе и итогах исполнения в 2022 г. программы правительства на 2021-2026 гг.</t>
  </si>
  <si>
    <t>https://www.primeminister.am/ru/statements-and-messages/item/2023/04/18/Nikol-Pashinyan-Speech/</t>
  </si>
  <si>
    <t>Выступление премьер-министра Никола Пашиняна в Национальном собрании во время обсуждения реализации Плана действий правительства (2021–2026) на 2023 год</t>
  </si>
  <si>
    <t>https://www.primeminister.am/en/statements-and-messages/item/2024/04/10/Nikol-Pashinyan-Speech/</t>
  </si>
  <si>
    <t>Речь премьер-министра Республики Армения Никола Пашиняна на обсуждении в НС основного Доклада о ходе и результатах реализации Программы правительства на 2024 год</t>
  </si>
  <si>
    <t>https://www.primeminister.am/ru/statements-and-messages/item/2025/04/15/Nikol-Pashinyan-Speech/</t>
  </si>
  <si>
    <t>Обращение народу Кыргызстана, Президенту Кыргызской Республики А.Ш. Атамбаеву, Торага Жогорку Кенеша Кыргызской Республики А.Ш. Жээнбекову</t>
  </si>
  <si>
    <t>https://dpi.kg/ru/library/full/232.html</t>
  </si>
  <si>
    <t>Тематические обращения + новогоднее</t>
  </si>
  <si>
    <t>Президент Сооронбай Жээнбеков выступил с обращением к правительству и народу Кыргызстана</t>
  </si>
  <si>
    <t>https://snob.kg/pro-novosti/vse-tolko-i-govoryat/item/567-prezident-sooronbaj-zheenbekov-vystupil-s-obrashcheniem-k-pravitelstvu-i-narodu-kyrgyzstana</t>
  </si>
  <si>
    <t>Выступление Сооронбая Жээнбекова перед Жогорку Кенешем</t>
  </si>
  <si>
    <t>https://www.vb.kg/doc/377788_polnyy_tekst_vystypleniia_sooronbaia_jeenbekova_pered_jogorky_keneshem.html</t>
  </si>
  <si>
    <t>Обращение президента к народу в связи с введением режима ЧП в некоторых районах страны</t>
  </si>
  <si>
    <t>https://ru.archive.kabar.kg/news/zheenbekov-sobliudenie-distcipliny-eto-grazhdanskaia-obiazannost-kazhdogo-iz-nas-v-eti-neprostye-dni/</t>
  </si>
  <si>
    <t>Послание Садыра Жапарова кыргызстанцам</t>
  </si>
  <si>
    <t>https://president.kg/ru/news/all/35997</t>
  </si>
  <si>
    <t>Обращение Президента Садыра Жапарова к народу Кыргызстана</t>
  </si>
  <si>
    <t>https://www.gov.kg/ru/post/s/21933-prezident-sadyr-zhaparovdun-kyrgyzstandyn-eline-kayryluusu</t>
  </si>
  <si>
    <t>Президент Садыр Жапаров выступил с обращением на Народном Курултае страны</t>
  </si>
  <si>
    <t>https://mfa.gov.kg/ru/osnovnoe-menyu/press-sluzhba/novosti/prezident-sadyr-zhaparov-vystupil-s-obrashcheniem-na-narodnom-kurultae-strany</t>
  </si>
  <si>
    <t>Президент Жапаров выступил с обращением на третьем Народном курултае</t>
  </si>
  <si>
    <t>http://asiatv.kg/2024/12/20/prezident-zhaparov-vystupil-s-obrashheniem-na-tretem-narodnom-kurultae/</t>
  </si>
  <si>
    <t>Обращение Президента Садыра Жапарова</t>
  </si>
  <si>
    <t>https://president.kg/ru/news/21/39637</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</si>
</sst>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b/>
      <sz val="11.0"/>
      <color theme="1"/>
      <name val="Calibri"/>
    </font>
    <font>
      <b/>
      <sz val="6.0"/>
      <color theme="1"/>
      <name val="Calibri"/>
    </font>
    <font>
      <sz val="11.0"/>
      <color theme="1"/>
      <name val="Calibri"/>
    </font>
    <font>
      <sz val="8.0"/>
      <color theme="1"/>
      <name val="Calibri"/>
    </font>
    <font>
      <sz val="6.0"/>
      <color theme="1"/>
      <name val="Calibri"/>
    </font>
    <font>
      <u/>
      <sz val="11.0"/>
      <color theme="10"/>
      <name val="Calibri"/>
    </font>
    <font>
      <sz val="9.0"/>
      <color theme="1"/>
      <name val="Calibri"/>
    </font>
    <font>
      <sz val="11.0"/>
      <color theme="10"/>
      <name val="Calibri"/>
    </font>
    <font>
      <u/>
      <sz val="11.0"/>
      <color theme="10"/>
      <name val="Calibri"/>
    </font>
    <font>
      <u/>
      <sz val="11.0"/>
      <color theme="10"/>
      <name val="Calibri"/>
    </font>
    <font>
      <u/>
      <sz val="11.0"/>
      <color theme="10"/>
      <name val="Calibri"/>
    </font>
    <font>
      <sz val="16.0"/>
      <color theme="1"/>
      <name val="Calibri"/>
    </font>
    <font>
      <sz val="12.0"/>
      <color theme="1"/>
      <name val="Calibri"/>
    </font>
    <font>
      <sz val="24.0"/>
      <color theme="1"/>
      <name val="Calibri"/>
    </font>
    <font>
      <u/>
      <sz val="11.0"/>
      <color rgb="FF0000FF"/>
      <name val="Calibri"/>
    </font>
    <font>
      <sz val="14.0"/>
      <color theme="1"/>
      <name val="Calibri"/>
    </font>
    <font>
      <u/>
      <sz val="6.0"/>
      <color theme="1"/>
      <name val="Calibri"/>
    </font>
    <font>
      <u/>
      <sz val="11.0"/>
      <color theme="10"/>
      <name val="Calibri"/>
    </font>
    <font>
      <u/>
      <sz val="11.0"/>
      <color theme="1"/>
      <name val="Calibri"/>
    </font>
    <font>
      <sz val="20.0"/>
      <color theme="1"/>
      <name val="Calibri"/>
    </font>
    <font>
      <color theme="1"/>
      <name val="Calibri"/>
      <scheme val="minor"/>
    </font>
    <font>
      <b/>
      <sz val="10.0"/>
      <color theme="1"/>
      <name val="Calibri"/>
    </font>
    <font>
      <b/>
      <sz val="8.0"/>
      <color theme="1"/>
      <name val="Calibri"/>
    </font>
    <font>
      <u/>
      <sz val="11.0"/>
      <color theme="10"/>
      <name val="Calibri"/>
    </font>
    <font>
      <u/>
      <sz val="11.0"/>
      <color theme="10"/>
      <name val="Calibri"/>
    </font>
    <font>
      <b/>
      <u/>
      <sz val="11.0"/>
      <color theme="10"/>
      <name val="Calibri"/>
    </font>
    <font>
      <u/>
      <sz val="11.0"/>
      <color theme="10"/>
      <name val="Calibri"/>
    </font>
    <font>
      <u/>
      <sz val="11.0"/>
      <color theme="10"/>
      <name val="Calibri"/>
    </font>
    <font/>
    <font>
      <u/>
      <sz val="11.0"/>
      <color theme="10"/>
      <name val="Calibri"/>
    </font>
    <font>
      <sz val="11.0"/>
      <color rgb="FFF7CAAC"/>
      <name val="Calibri"/>
    </font>
  </fonts>
  <fills count="4">
    <fill>
      <patternFill patternType="none"/>
    </fill>
    <fill>
      <patternFill patternType="lightGray"/>
    </fill>
    <fill>
      <patternFill patternType="solid">
        <fgColor rgb="FFF7CAAC"/>
        <bgColor rgb="FFF7CAAC"/>
      </patternFill>
    </fill>
    <fill>
      <patternFill patternType="solid">
        <fgColor rgb="FFF4B083"/>
        <bgColor rgb="FFF4B083"/>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bottom style="medium">
        <color rgb="FFFF0000"/>
      </bottom>
    </border>
    <border>
      <right style="thin">
        <color rgb="FF000000"/>
      </right>
      <bottom style="medium">
        <color rgb="FFFF0000"/>
      </bottom>
    </border>
    <border>
      <left style="thin">
        <color rgb="FF000000"/>
      </left>
      <right style="thin">
        <color rgb="FF000000"/>
      </right>
      <bottom style="medium">
        <color rgb="FFFF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left style="medium">
        <color rgb="FF000000"/>
      </left>
      <right style="thin">
        <color rgb="FF000000"/>
      </right>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border>
    <border>
      <left style="medium">
        <color rgb="FF000000"/>
      </left>
      <top style="medium">
        <color rgb="FF000000"/>
      </top>
      <bottom style="medium">
        <color rgb="FF000000"/>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center" vertical="center"/>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0" fillId="0" fontId="1" numFmtId="0" xfId="0" applyAlignment="1" applyFont="1">
      <alignment horizontal="center" shrinkToFit="0" vertical="center" wrapText="1"/>
    </xf>
    <xf borderId="6"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10"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1" fillId="0" fontId="5" numFmtId="0" xfId="0" applyAlignment="1" applyBorder="1" applyFont="1">
      <alignment horizontal="left" shrinkToFit="0" vertical="center" wrapText="1"/>
    </xf>
    <xf borderId="11" fillId="0" fontId="6"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12" fillId="0" fontId="7"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2" fillId="0" fontId="5" numFmtId="0" xfId="0" applyAlignment="1" applyBorder="1" applyFont="1">
      <alignment horizontal="left" shrinkToFit="0" vertical="center" wrapText="1"/>
    </xf>
    <xf borderId="12" fillId="0" fontId="10"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5" numFmtId="0" xfId="0" applyAlignment="1" applyBorder="1" applyFont="1">
      <alignment horizontal="left" shrinkToFit="0" vertical="center" wrapText="1"/>
    </xf>
    <xf borderId="5" fillId="0" fontId="11" numFmtId="0" xfId="0" applyAlignment="1" applyBorder="1" applyFont="1">
      <alignment horizontal="center" shrinkToFit="0" vertical="center" wrapText="1"/>
    </xf>
    <xf borderId="5" fillId="0" fontId="3" numFmtId="0" xfId="0" applyAlignment="1" applyBorder="1" applyFont="1">
      <alignment horizontal="center" vertical="center"/>
    </xf>
    <xf borderId="14" fillId="0"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16" fillId="0" fontId="3" numFmtId="0" xfId="0" applyAlignment="1" applyBorder="1" applyFont="1">
      <alignment horizontal="center" shrinkToFit="0" vertical="center" wrapText="1"/>
    </xf>
    <xf borderId="17" fillId="0" fontId="5" numFmtId="0" xfId="0" applyAlignment="1" applyBorder="1" applyFont="1">
      <alignment horizontal="left" shrinkToFit="0" vertical="center" wrapText="1"/>
    </xf>
    <xf borderId="16" fillId="0" fontId="8" numFmtId="0" xfId="0" applyAlignment="1" applyBorder="1" applyFont="1">
      <alignment horizontal="center" shrinkToFit="0" vertical="center" wrapText="1"/>
    </xf>
    <xf borderId="16" fillId="0" fontId="3" numFmtId="0" xfId="0" applyAlignment="1" applyBorder="1" applyFont="1">
      <alignment horizontal="center" vertical="center"/>
    </xf>
    <xf borderId="18" fillId="0" fontId="3" numFmtId="0" xfId="0" applyAlignment="1" applyBorder="1" applyFont="1">
      <alignment horizontal="center" shrinkToFit="0" vertical="center" wrapText="1"/>
    </xf>
    <xf borderId="0" fillId="0" fontId="5" numFmtId="0" xfId="0" applyAlignment="1" applyFont="1">
      <alignment horizontal="left" shrinkToFit="0" vertical="center" wrapText="1"/>
    </xf>
    <xf borderId="12" fillId="0" fontId="1" numFmtId="0" xfId="0" applyAlignment="1" applyBorder="1" applyFont="1">
      <alignment horizontal="center" shrinkToFit="0" vertical="center" wrapText="1"/>
    </xf>
    <xf borderId="12" fillId="0" fontId="3" numFmtId="0" xfId="0" applyAlignment="1" applyBorder="1" applyFont="1">
      <alignment horizontal="center" vertical="center"/>
    </xf>
    <xf borderId="11"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5" fillId="0" fontId="8" numFmtId="0" xfId="0" applyAlignment="1" applyBorder="1" applyFont="1">
      <alignment horizontal="center" shrinkToFit="0" vertical="center" wrapText="1"/>
    </xf>
    <xf borderId="16" fillId="0" fontId="12" numFmtId="0" xfId="0" applyAlignment="1" applyBorder="1" applyFont="1">
      <alignment horizontal="center" shrinkToFit="0" vertical="center" wrapText="1"/>
    </xf>
    <xf borderId="19" fillId="0" fontId="3" numFmtId="0" xfId="0" applyAlignment="1" applyBorder="1" applyFont="1">
      <alignment horizontal="center" vertical="center"/>
    </xf>
    <xf borderId="20" fillId="0" fontId="3"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21" fillId="0" fontId="3" numFmtId="0" xfId="0" applyAlignment="1" applyBorder="1" applyFont="1">
      <alignment horizontal="center" vertical="center"/>
    </xf>
    <xf borderId="11" fillId="0" fontId="3" numFmtId="0" xfId="0" applyAlignment="1" applyBorder="1" applyFont="1">
      <alignment horizontal="center" vertical="center"/>
    </xf>
    <xf borderId="1" fillId="0" fontId="16"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4" fillId="0" fontId="3" numFmtId="0" xfId="0" applyAlignment="1" applyBorder="1" applyFont="1">
      <alignment horizontal="center" vertical="center"/>
    </xf>
    <xf borderId="22" fillId="0" fontId="3" numFmtId="0" xfId="0" applyAlignment="1" applyBorder="1" applyFont="1">
      <alignment horizontal="center" vertical="center"/>
    </xf>
    <xf borderId="23" fillId="0" fontId="3" numFmtId="0" xfId="0" applyAlignment="1" applyBorder="1" applyFont="1">
      <alignment horizontal="center" vertical="center"/>
    </xf>
    <xf borderId="24" fillId="0" fontId="3" numFmtId="0" xfId="0" applyAlignment="1" applyBorder="1" applyFont="1">
      <alignment horizontal="center" vertical="center"/>
    </xf>
    <xf borderId="12" fillId="0" fontId="19" numFmtId="0" xfId="0" applyAlignment="1" applyBorder="1" applyFont="1">
      <alignment horizontal="center" shrinkToFit="0" vertical="center" wrapText="1"/>
    </xf>
    <xf borderId="5" fillId="0" fontId="16" numFmtId="0" xfId="0" applyAlignment="1" applyBorder="1" applyFont="1">
      <alignment horizontal="left" shrinkToFit="0" vertical="center" wrapText="1"/>
    </xf>
    <xf borderId="25" fillId="0" fontId="3" numFmtId="0" xfId="0" applyAlignment="1" applyBorder="1" applyFont="1">
      <alignment horizontal="center" shrinkToFit="0" vertical="center" wrapText="1"/>
    </xf>
    <xf borderId="26" fillId="0" fontId="3" numFmtId="0" xfId="0" applyAlignment="1" applyBorder="1" applyFont="1">
      <alignment horizontal="center" vertical="center"/>
    </xf>
    <xf borderId="2" fillId="0" fontId="3" numFmtId="0" xfId="0" applyAlignment="1" applyBorder="1" applyFont="1">
      <alignment horizontal="center" shrinkToFit="0" vertical="center" wrapText="1"/>
    </xf>
    <xf borderId="27" fillId="0" fontId="3"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28" fillId="0" fontId="3" numFmtId="0" xfId="0" applyAlignment="1" applyBorder="1" applyFont="1">
      <alignment horizontal="center" shrinkToFit="0" vertical="center" wrapText="1"/>
    </xf>
    <xf borderId="28" fillId="0" fontId="5" numFmtId="0" xfId="0" applyAlignment="1" applyBorder="1" applyFont="1">
      <alignment horizontal="left" shrinkToFit="0" vertical="center" wrapText="1"/>
    </xf>
    <xf borderId="28" fillId="0" fontId="8" numFmtId="0" xfId="0" applyAlignment="1" applyBorder="1" applyFont="1">
      <alignment horizontal="center" shrinkToFit="0" vertical="center" wrapText="1"/>
    </xf>
    <xf borderId="24" fillId="0" fontId="3" numFmtId="0" xfId="0" applyAlignment="1" applyBorder="1" applyFont="1">
      <alignment horizontal="center" shrinkToFit="0" vertical="center" wrapText="1"/>
    </xf>
    <xf borderId="29" fillId="0" fontId="3" numFmtId="0" xfId="0" applyAlignment="1" applyBorder="1" applyFont="1">
      <alignment horizontal="center" shrinkToFit="0" vertical="center" wrapText="1"/>
    </xf>
    <xf borderId="15" fillId="0" fontId="20" numFmtId="0" xfId="0" applyAlignment="1" applyBorder="1" applyFont="1">
      <alignment horizontal="center" shrinkToFit="0" vertical="center" wrapText="1"/>
    </xf>
    <xf borderId="0" fillId="0" fontId="3" numFmtId="0" xfId="0" applyAlignment="1" applyFont="1">
      <alignment horizontal="center"/>
    </xf>
    <xf borderId="1" fillId="0" fontId="3" numFmtId="0" xfId="0" applyBorder="1" applyFont="1"/>
    <xf borderId="1" fillId="0" fontId="3" numFmtId="0" xfId="0" applyAlignment="1" applyBorder="1" applyFont="1">
      <alignment shrinkToFit="0" wrapText="1"/>
    </xf>
    <xf borderId="1" fillId="0" fontId="3" numFmtId="0" xfId="0" applyAlignment="1" applyBorder="1" applyFont="1">
      <alignment horizontal="right"/>
    </xf>
    <xf borderId="1" fillId="0" fontId="3" numFmtId="0" xfId="0" applyAlignment="1" applyBorder="1" applyFont="1">
      <alignment horizontal="right" vertical="center"/>
    </xf>
    <xf borderId="5" fillId="0" fontId="3" numFmtId="0" xfId="0" applyBorder="1" applyFont="1"/>
    <xf borderId="30" fillId="0" fontId="3" numFmtId="0" xfId="0" applyBorder="1" applyFont="1"/>
    <xf borderId="17" fillId="0" fontId="3" numFmtId="0" xfId="0" applyBorder="1" applyFont="1"/>
    <xf borderId="23" fillId="0" fontId="3" numFmtId="0" xfId="0" applyBorder="1" applyFont="1"/>
    <xf borderId="1" fillId="0" fontId="1" numFmtId="0" xfId="0" applyBorder="1" applyFont="1"/>
    <xf borderId="5" fillId="0" fontId="3" numFmtId="0" xfId="0" applyAlignment="1" applyBorder="1" applyFont="1">
      <alignment horizontal="right" vertical="center"/>
    </xf>
    <xf borderId="0" fillId="0" fontId="21" numFmtId="0" xfId="0" applyAlignment="1" applyFont="1">
      <alignment readingOrder="0"/>
    </xf>
    <xf borderId="0" fillId="0" fontId="1" numFmtId="0" xfId="0" applyFont="1"/>
    <xf borderId="0" fillId="0" fontId="22" numFmtId="0" xfId="0" applyAlignment="1" applyFont="1">
      <alignment horizontal="center" vertical="center"/>
    </xf>
    <xf borderId="0" fillId="0" fontId="23" numFmtId="0" xfId="0" applyAlignment="1" applyFont="1">
      <alignment horizontal="center" shrinkToFit="0" wrapText="1"/>
    </xf>
    <xf borderId="0" fillId="0" fontId="23" numFmtId="0" xfId="0" applyAlignment="1" applyFont="1">
      <alignment horizontal="center" shrinkToFit="0" vertical="center" wrapText="1"/>
    </xf>
    <xf borderId="0" fillId="0" fontId="3" numFmtId="0" xfId="0" applyFont="1"/>
    <xf borderId="0" fillId="0" fontId="4" numFmtId="0" xfId="0" applyAlignment="1" applyFont="1">
      <alignment horizontal="center" shrinkToFit="0" wrapText="1"/>
    </xf>
    <xf borderId="0" fillId="0" fontId="24" numFmtId="0" xfId="0" applyFont="1"/>
    <xf borderId="0" fillId="0" fontId="4" numFmtId="0" xfId="0" applyAlignment="1" applyFont="1">
      <alignment horizontal="center"/>
    </xf>
    <xf borderId="3" fillId="0" fontId="3" numFmtId="0" xfId="0" applyBorder="1" applyFont="1"/>
    <xf borderId="3" fillId="0" fontId="25" numFmtId="0" xfId="0" applyBorder="1" applyFont="1"/>
    <xf borderId="31" fillId="2" fontId="1" numFmtId="0" xfId="0" applyBorder="1" applyFill="1" applyFont="1"/>
    <xf borderId="31" fillId="2" fontId="23" numFmtId="0" xfId="0" applyAlignment="1" applyBorder="1" applyFont="1">
      <alignment horizontal="center" shrinkToFit="0" wrapText="1"/>
    </xf>
    <xf borderId="31" fillId="2" fontId="26" numFmtId="0" xfId="0" applyBorder="1" applyFont="1"/>
    <xf borderId="31" fillId="2" fontId="23" numFmtId="0" xfId="0" applyAlignment="1" applyBorder="1" applyFont="1">
      <alignment horizontal="center"/>
    </xf>
    <xf borderId="0" fillId="0" fontId="1" numFmtId="0" xfId="0" applyAlignment="1" applyFont="1">
      <alignment horizontal="center"/>
    </xf>
    <xf borderId="0" fillId="0" fontId="1" numFmtId="0" xfId="0" applyAlignment="1" applyFont="1">
      <alignment horizontal="right"/>
    </xf>
    <xf borderId="32" fillId="0" fontId="3" numFmtId="0" xfId="0" applyBorder="1" applyFont="1"/>
    <xf borderId="33" fillId="0" fontId="3" numFmtId="0" xfId="0" applyBorder="1" applyFont="1"/>
    <xf borderId="33" fillId="0" fontId="3" numFmtId="0" xfId="0" applyAlignment="1" applyBorder="1" applyFont="1">
      <alignment horizontal="right"/>
    </xf>
    <xf borderId="34" fillId="0" fontId="27" numFmtId="0" xfId="0" applyBorder="1" applyFont="1"/>
    <xf borderId="35" fillId="0" fontId="3" numFmtId="0" xfId="0" applyBorder="1" applyFont="1"/>
    <xf borderId="0" fillId="0" fontId="3" numFmtId="0" xfId="0" applyAlignment="1" applyFont="1">
      <alignment horizontal="right"/>
    </xf>
    <xf borderId="36" fillId="0" fontId="28" numFmtId="0" xfId="0" applyBorder="1" applyFont="1"/>
    <xf borderId="31" fillId="3" fontId="1" numFmtId="0" xfId="0" applyBorder="1" applyFill="1" applyFont="1"/>
    <xf borderId="31" fillId="3" fontId="3" numFmtId="0" xfId="0" applyAlignment="1" applyBorder="1" applyFont="1">
      <alignment horizontal="right"/>
    </xf>
    <xf borderId="31" fillId="3" fontId="3" numFmtId="0" xfId="0" applyBorder="1" applyFont="1"/>
    <xf borderId="37" fillId="0" fontId="1" numFmtId="0" xfId="0" applyAlignment="1" applyBorder="1" applyFont="1">
      <alignment horizontal="center"/>
    </xf>
    <xf borderId="38" fillId="0" fontId="29" numFmtId="0" xfId="0" applyBorder="1" applyFont="1"/>
    <xf borderId="39" fillId="0" fontId="29" numFmtId="0" xfId="0" applyBorder="1" applyFont="1"/>
    <xf borderId="21" fillId="0" fontId="3" numFmtId="0" xfId="0" applyBorder="1" applyFont="1"/>
    <xf borderId="40" fillId="0" fontId="3" numFmtId="0" xfId="0" applyBorder="1" applyFont="1"/>
    <xf borderId="41" fillId="0" fontId="30" numFmtId="0" xfId="0" applyBorder="1" applyFont="1"/>
    <xf borderId="0" fillId="0" fontId="3" numFmtId="0" xfId="0" applyAlignment="1" applyFont="1">
      <alignment vertical="center"/>
    </xf>
    <xf borderId="0" fillId="0" fontId="3" numFmtId="0" xfId="0" applyAlignment="1" applyFont="1">
      <alignment horizontal="right" vertical="center"/>
    </xf>
    <xf borderId="0" fillId="0" fontId="3" numFmtId="0" xfId="0" applyAlignment="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right" shrinkToFit="0" vertical="center" wrapText="1"/>
    </xf>
    <xf borderId="0" fillId="0" fontId="3" numFmtId="0" xfId="0" applyAlignment="1" applyFont="1">
      <alignment shrinkToFit="0" wrapText="1"/>
    </xf>
    <xf borderId="31" fillId="3" fontId="31" numFmtId="0" xfId="0" applyBorder="1" applyFont="1"/>
    <xf borderId="0" fillId="0" fontId="3" numFmtId="0" xfId="0" applyAlignment="1" applyFont="1">
      <alignment horizontal="left" shrinkToFit="0" wrapText="1"/>
    </xf>
    <xf borderId="2" fillId="0" fontId="1" numFmtId="0" xfId="0" applyAlignment="1" applyBorder="1" applyFont="1">
      <alignment horizontal="center"/>
    </xf>
    <xf borderId="3" fillId="0" fontId="29" numFmtId="0" xfId="0" applyBorder="1" applyFont="1"/>
    <xf borderId="4" fillId="0" fontId="29" numFmtId="0" xfId="0" applyBorder="1" applyFont="1"/>
    <xf borderId="33" fillId="0" fontId="3" numFmtId="0" xfId="0" applyAlignment="1" applyBorder="1" applyFont="1">
      <alignment shrinkToFit="0" wrapText="1"/>
    </xf>
    <xf borderId="33" fillId="0" fontId="3" numFmtId="0" xfId="0" applyAlignment="1" applyBorder="1" applyFont="1">
      <alignment horizontal="right" shrinkToFit="0" wrapText="1"/>
    </xf>
    <xf borderId="34" fillId="0" fontId="3" numFmtId="0" xfId="0" applyBorder="1" applyFont="1"/>
    <xf borderId="31" fillId="3" fontId="3" numFmtId="0" xfId="0" applyAlignment="1" applyBorder="1" applyFont="1">
      <alignment shrinkToFit="0" wrapText="1"/>
    </xf>
    <xf borderId="36" fillId="0" fontId="3" numFmtId="0" xfId="0" applyBorder="1" applyFont="1"/>
    <xf borderId="41" fillId="0" fontId="3" numFmtId="0" xfId="0" applyBorder="1" applyFont="1"/>
    <xf borderId="1" fillId="0" fontId="1"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76</xdr:row>
      <xdr:rowOff>542925</xdr:rowOff>
    </xdr:from>
    <xdr:ext cx="4352925" cy="1981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esident.gov.by/ru/events/cammit-evraziyskogo-ekonomicheskogo-soyuza-v-moskve" TargetMode="External"/><Relationship Id="rId42" Type="http://schemas.openxmlformats.org/officeDocument/2006/relationships/hyperlink" Target="https://www.zakon.kz/redaktsiia-zakonkz/4677065-n.nazarbaev-pri-sozdanii-eajes-my-uchli.html" TargetMode="External"/><Relationship Id="rId41" Type="http://schemas.openxmlformats.org/officeDocument/2006/relationships/hyperlink" Target="https://president.gov.by/ru/events/ucastie-v-zasedanii-vyssego-evrazijskogo-ekonomiceskogo-soveta-v-sankt-peterburge" TargetMode="External"/><Relationship Id="rId44" Type="http://schemas.openxmlformats.org/officeDocument/2006/relationships/hyperlink" Target="http://www.kremlin.ru/catalog/persons/119/events/49435" TargetMode="External"/><Relationship Id="rId43" Type="http://schemas.openxmlformats.org/officeDocument/2006/relationships/hyperlink" Target="https://eccis.org/news/2830/suzet-5-marta-v-moskve-sostoalos-zasedanie-vyssego-evrazijskogo-ekonomiceskogo-soveta" TargetMode="External"/><Relationship Id="rId46" Type="http://schemas.openxmlformats.org/officeDocument/2006/relationships/hyperlink" Target="https://www.akorda.kz/ru/events/international_community/foreign_visits/uchastie-v-zasedanii-vysshego-evraziiskogo-ekonomicheskogo-soveta-5" TargetMode="External"/><Relationship Id="rId45" Type="http://schemas.openxmlformats.org/officeDocument/2006/relationships/hyperlink" Target="https://www.akorda.kz/ru/events/international_community/foreign_visits/20552-uchastie-v-zasedanii-vysshego-evraziiskogo-ekonomicheskogo-soveta-1" TargetMode="External"/><Relationship Id="rId48" Type="http://schemas.openxmlformats.org/officeDocument/2006/relationships/hyperlink" Target="http://www.kremlin.ru/events/president/news/55819" TargetMode="External"/><Relationship Id="rId47" Type="http://schemas.openxmlformats.org/officeDocument/2006/relationships/hyperlink" Target="http://www.kremlin.ru/catalog/persons/119/events/52049" TargetMode="External"/><Relationship Id="rId49" Type="http://schemas.openxmlformats.org/officeDocument/2006/relationships/hyperlink" Target="http://www.kremlin.ru/events/president/transcripts/54293" TargetMode="External"/><Relationship Id="rId31" Type="http://schemas.openxmlformats.org/officeDocument/2006/relationships/hyperlink" Target="https://president.gov.by/ru/events/uchastie-v-zasedanii-vysshego-evrazijskogo-ekonomicheskogo-soveta-22132" TargetMode="External"/><Relationship Id="rId30" Type="http://schemas.openxmlformats.org/officeDocument/2006/relationships/hyperlink" Target="http://www.kremlin.ru/events/president/transcripts/57468" TargetMode="External"/><Relationship Id="rId33" Type="http://schemas.openxmlformats.org/officeDocument/2006/relationships/hyperlink" Target="https://e-gorod.ru/%D1%81%D0%B0%D0%BC%D0%BC%D0%B8%D1%82-%D0%B5%D0%B0%D1%8D%D1%81-19-%D0%BC%D0%B0%D1%8F-2020-%D0%B2%D0%B8%D0%B4%D0%B5%D0%BE%D1%84%D0%BE%D1%80%D0%BC%D0%B0%D1%82-%D0%B2%D1%8B%D1%81%D1%82%D1%83%D0%BF%D0%BB/" TargetMode="External"/><Relationship Id="rId32" Type="http://schemas.openxmlformats.org/officeDocument/2006/relationships/hyperlink" Target="http://www.kremlin.ru/events/president/news/62374" TargetMode="External"/><Relationship Id="rId35" Type="http://schemas.openxmlformats.org/officeDocument/2006/relationships/hyperlink" Target="https://president.gov.by/ru/events/uchastie-v-zasedanii-vysshego-evraziyskogo-ekonomicheskogo-soveta-1634209877" TargetMode="External"/><Relationship Id="rId34" Type="http://schemas.openxmlformats.org/officeDocument/2006/relationships/hyperlink" Target="https://president.gov.by/ru/events/uchastie-v-zasedanii-vysshego-evraziyskogo-ekonomicheskogo-soveta-1621588656" TargetMode="External"/><Relationship Id="rId37" Type="http://schemas.openxmlformats.org/officeDocument/2006/relationships/hyperlink" Target="https://belta.by/president/view/o-strategii-v-eaes-i-skorom-politicheskom-krizise-na-zapade-vystuplenie-lukashenko-na-sammite-v-539268-2022/" TargetMode="External"/><Relationship Id="rId36" Type="http://schemas.openxmlformats.org/officeDocument/2006/relationships/hyperlink" Target="https://eccis.org/news/23378/itogi_zasedanija_vysshego_evrazijskogo_ekonomicheskogo_soveta" TargetMode="External"/><Relationship Id="rId39" Type="http://schemas.openxmlformats.org/officeDocument/2006/relationships/hyperlink" Target="https://president.gov.by/ru/events/uchastie-v-zasedanii-vysshego-evraziyskogo-ekonomicheskogo-soveta-v-sankt-peterburge" TargetMode="External"/><Relationship Id="rId38" Type="http://schemas.openxmlformats.org/officeDocument/2006/relationships/hyperlink" Target="http://prezident.org/tekst/stenogramma-zasedanija-vysshego-evraziiskogo-ekonomicheskogo-soveta-25-05-2023.html" TargetMode="External"/><Relationship Id="rId20" Type="http://schemas.openxmlformats.org/officeDocument/2006/relationships/hyperlink" Target="http://www.kremlin.ru/events/president/transcripts/73128" TargetMode="External"/><Relationship Id="rId22" Type="http://schemas.openxmlformats.org/officeDocument/2006/relationships/hyperlink" Target="http://www.kremlin.ru/events/president/news/75948" TargetMode="External"/><Relationship Id="rId21" Type="http://schemas.openxmlformats.org/officeDocument/2006/relationships/hyperlink" Target="http://www.kremlin.ru/events/president/transcripts/73992" TargetMode="External"/><Relationship Id="rId24" Type="http://schemas.openxmlformats.org/officeDocument/2006/relationships/hyperlink" Target="https://yandex.ru/video/preview/9502122485974629429" TargetMode="External"/><Relationship Id="rId23" Type="http://schemas.openxmlformats.org/officeDocument/2006/relationships/hyperlink" Target="https://ria.ru/20250627/putin-2025893527.html" TargetMode="External"/><Relationship Id="rId26" Type="http://schemas.openxmlformats.org/officeDocument/2006/relationships/hyperlink" Target="http://www.kremlin.ru/catalog/persons/119/events/52049" TargetMode="External"/><Relationship Id="rId25" Type="http://schemas.openxmlformats.org/officeDocument/2006/relationships/hyperlink" Target="http://www.kremlin.ru/catalog/persons/119/events/49435" TargetMode="External"/><Relationship Id="rId28" Type="http://schemas.openxmlformats.org/officeDocument/2006/relationships/hyperlink" Target="http://www.kremlin.ru/events/president/news/55819" TargetMode="External"/><Relationship Id="rId27" Type="http://schemas.openxmlformats.org/officeDocument/2006/relationships/hyperlink" Target="http://www.kremlin.ru/events/president/transcripts/54293" TargetMode="External"/><Relationship Id="rId29" Type="http://schemas.openxmlformats.org/officeDocument/2006/relationships/hyperlink" Target="http://www.kremlin.ru/events/president/news/59319" TargetMode="External"/><Relationship Id="rId95" Type="http://schemas.openxmlformats.org/officeDocument/2006/relationships/hyperlink" Target="https://e-gorod.ru/%D1%81%D0%B0%D0%BC%D0%BC%D0%B8%D1%82-%D0%B5%D0%B0%D1%8D%D1%81-19-%D0%BC%D0%B0%D1%8F-2020-%D0%B2%D0%B8%D0%B4%D0%B5%D0%BE%D1%84%D0%BE%D1%80%D0%BC%D0%B0%D1%82-%D0%B2%D1%8B%D1%81%D1%82%D1%83%D0%BF%D0%BB/" TargetMode="External"/><Relationship Id="rId94" Type="http://schemas.openxmlformats.org/officeDocument/2006/relationships/hyperlink" Target="https://ru.sputnik.kg/20191001/eaehs-sammit-sooronbaj-zhehehnbekov-erevan-1045852808.html" TargetMode="External"/><Relationship Id="rId97" Type="http://schemas.openxmlformats.org/officeDocument/2006/relationships/hyperlink" Target="https://kyrtag.kg/ru/news/vystuplenie-prezident-sadyr-zhaparov-na-zasedanii-vees-v-rasshirennom-formate" TargetMode="External"/><Relationship Id="rId96" Type="http://schemas.openxmlformats.org/officeDocument/2006/relationships/hyperlink" Target="https://eccis.org/news/23378/itogi_zasedanija_vysshego_evrazijskogo_ekonomicheskogo_soveta" TargetMode="External"/><Relationship Id="rId11" Type="http://schemas.openxmlformats.org/officeDocument/2006/relationships/hyperlink" Target="http://www.kremlin.ru/events/president/news/63199" TargetMode="External"/><Relationship Id="rId99" Type="http://schemas.openxmlformats.org/officeDocument/2006/relationships/drawing" Target="../drawings/drawing1.xml"/><Relationship Id="rId10" Type="http://schemas.openxmlformats.org/officeDocument/2006/relationships/hyperlink" Target="http://www.kremlin.ru/events/president/transcripts/62375" TargetMode="External"/><Relationship Id="rId98" Type="http://schemas.openxmlformats.org/officeDocument/2006/relationships/hyperlink" Target="http://prezident.org/tekst/stenogramma-zasedanija-vysshego-evraziiskogo-ekonomicheskogo-soveta-25-05-2023.html" TargetMode="External"/><Relationship Id="rId13" Type="http://schemas.openxmlformats.org/officeDocument/2006/relationships/hyperlink" Target="http://www.kremlin.ru/events/president/news/64643" TargetMode="External"/><Relationship Id="rId12" Type="http://schemas.openxmlformats.org/officeDocument/2006/relationships/hyperlink" Target="https://e-gorod.ru/%D1%81%D0%B0%D0%BC%D0%BC%D0%B8%D1%82-%D0%B5%D0%B0%D1%8D%D1%81-19-%D0%BC%D0%B0%D1%8F-2020-%D0%B2%D0%B8%D0%B4%D0%B5%D0%BE%D1%84%D0%BE%D1%80%D0%BC%D0%B0%D1%82-%D0%B2%D1%8B%D1%81%D1%82%D1%83%D0%BF%D0%BB/" TargetMode="External"/><Relationship Id="rId91" Type="http://schemas.openxmlformats.org/officeDocument/2006/relationships/hyperlink" Target="http://www.kremlin.ru/catalog/persons/119/events/52049" TargetMode="External"/><Relationship Id="rId90" Type="http://schemas.openxmlformats.org/officeDocument/2006/relationships/hyperlink" Target="https://president.kg/ru/news/21/4538" TargetMode="External"/><Relationship Id="rId93" Type="http://schemas.openxmlformats.org/officeDocument/2006/relationships/hyperlink" Target="http://www.kremlin.ru/events/president/transcripts/57468" TargetMode="External"/><Relationship Id="rId92" Type="http://schemas.openxmlformats.org/officeDocument/2006/relationships/hyperlink" Target="http://www.kremlin.ru/events/president/transcripts/54293" TargetMode="External"/><Relationship Id="rId15" Type="http://schemas.openxmlformats.org/officeDocument/2006/relationships/hyperlink" Target="http://www.kremlin.ru/events/president/transcripts/deliberations/66927" TargetMode="External"/><Relationship Id="rId14" Type="http://schemas.openxmlformats.org/officeDocument/2006/relationships/hyperlink" Target="http://www.kremlin.ru/events/president/news/67334" TargetMode="External"/><Relationship Id="rId17" Type="http://schemas.openxmlformats.org/officeDocument/2006/relationships/hyperlink" Target="http://www.kremlin.ru/events/president/news/70058" TargetMode="External"/><Relationship Id="rId16" Type="http://schemas.openxmlformats.org/officeDocument/2006/relationships/hyperlink" Target="https://barnaul.mid.ru/ru/press-centre/news/vystuplenie_prezidenta_rossiyskoy_federatsii_v_v_putina_v_rezhime_videokonferentsii_na_zasedanii_vys/" TargetMode="External"/><Relationship Id="rId19" Type="http://schemas.openxmlformats.org/officeDocument/2006/relationships/hyperlink" Target="http://www.kremlin.ru/events/president/news/71204" TargetMode="External"/><Relationship Id="rId18" Type="http://schemas.openxmlformats.org/officeDocument/2006/relationships/hyperlink" Target="http://www.kremlin.ru/events/president/news/68494" TargetMode="External"/><Relationship Id="rId84" Type="http://schemas.openxmlformats.org/officeDocument/2006/relationships/hyperlink" Target="https://www.primeminister.am/ru/press-release/item/2023/12/25/Nikol-Pashinyan-Session-of-the-Eurasian-Economic-Supreme-Council/" TargetMode="External"/><Relationship Id="rId83" Type="http://schemas.openxmlformats.org/officeDocument/2006/relationships/hyperlink" Target="https://www.primeminister.am/ru/statements-and-messages/item/2020/12/11/Nikol-Pashinyan-EAEU-speech/" TargetMode="External"/><Relationship Id="rId86" Type="http://schemas.openxmlformats.org/officeDocument/2006/relationships/hyperlink" Target="https://www.primeminister.am/ru/press-release/item/2025/12/21/Nikol-Pashinyan-Session-Supreme-Eurasian-Economic-Council/" TargetMode="External"/><Relationship Id="rId85" Type="http://schemas.openxmlformats.org/officeDocument/2006/relationships/hyperlink" Target="http://prezident.org/tekst/stenogramma-zasedanija-vysshego-evraziiskogo-ekonomicheskogo-soveta-25-05-2023.html" TargetMode="External"/><Relationship Id="rId88" Type="http://schemas.openxmlformats.org/officeDocument/2006/relationships/hyperlink" Target="https://eccis.org/news/2830/suzet-5-marta-v-moskve-sostoalos-zasedanie-vyssego-evrazijskogo-ekonomiceskogo-soveta" TargetMode="External"/><Relationship Id="rId87" Type="http://schemas.openxmlformats.org/officeDocument/2006/relationships/hyperlink" Target="https://www.president.kg/ru/news/21/5977" TargetMode="External"/><Relationship Id="rId89" Type="http://schemas.openxmlformats.org/officeDocument/2006/relationships/hyperlink" Target="https://eccis.org/news/2830/suzet-5-marta-v-moskve-sostoalos-zasedanie-vyssego-evrazijskogo-ekonomiceskogo-soveta" TargetMode="External"/><Relationship Id="rId80" Type="http://schemas.openxmlformats.org/officeDocument/2006/relationships/hyperlink" Target="https://e-gorod.ru/%D1%81%D0%B0%D0%BC%D0%BC%D0%B8%D1%82-%D0%B5%D0%B0%D1%8D%D1%81-19-%D0%BC%D0%B0%D1%8F-2020-%D0%B2%D0%B8%D0%B4%D0%B5%D0%BE%D1%84%D0%BE%D1%80%D0%BC%D0%B0%D1%82-%D0%B2%D1%8B%D1%81%D1%82%D1%83%D0%BF%D0%BB/" TargetMode="External"/><Relationship Id="rId82" Type="http://schemas.openxmlformats.org/officeDocument/2006/relationships/hyperlink" Target="https://www.primeminister.am/ru/statements-and-messages/item/2021/10/14/Nikol-Pashinyan-Speech" TargetMode="External"/><Relationship Id="rId81" Type="http://schemas.openxmlformats.org/officeDocument/2006/relationships/hyperlink" Target="https://www.primeminister.am/ru/statements-and-messages/item/2020/12/11/Nikol-Pashinyan-EAEU-speech/" TargetMode="External"/><Relationship Id="rId1" Type="http://schemas.openxmlformats.org/officeDocument/2006/relationships/hyperlink" Target="http://www.kremlin.ru/events/president/transcripts/47311" TargetMode="External"/><Relationship Id="rId2" Type="http://schemas.openxmlformats.org/officeDocument/2006/relationships/hyperlink" Target="https://eccis.org/news/2830/suzet-5-marta-v-moskve-sostoalos-zasedanie-vyssego-evrazijskogo-ekonomiceskogo-soveta" TargetMode="External"/><Relationship Id="rId3" Type="http://schemas.openxmlformats.org/officeDocument/2006/relationships/hyperlink" Target="http://www.kremlin.ru/catalog/persons/119/events/49435" TargetMode="External"/><Relationship Id="rId4" Type="http://schemas.openxmlformats.org/officeDocument/2006/relationships/hyperlink" Target="http://www.kremlin.ru/events/president/news/53596" TargetMode="External"/><Relationship Id="rId9" Type="http://schemas.openxmlformats.org/officeDocument/2006/relationships/hyperlink" Target="http://www.kremlin.ru/catalog/countries/KZ/events/60597" TargetMode="External"/><Relationship Id="rId5" Type="http://schemas.openxmlformats.org/officeDocument/2006/relationships/hyperlink" Target="http://www.kremlin.ru/events/president/transcripts/54293" TargetMode="External"/><Relationship Id="rId6" Type="http://schemas.openxmlformats.org/officeDocument/2006/relationships/hyperlink" Target="http://www.kremlin.ru/events/president/news/55819" TargetMode="External"/><Relationship Id="rId7" Type="http://schemas.openxmlformats.org/officeDocument/2006/relationships/hyperlink" Target="http://www.kremlin.ru/events/president/transcripts/57468" TargetMode="External"/><Relationship Id="rId8" Type="http://schemas.openxmlformats.org/officeDocument/2006/relationships/hyperlink" Target="http://www.kremlin.ru/events/president/news/59319" TargetMode="External"/><Relationship Id="rId73" Type="http://schemas.openxmlformats.org/officeDocument/2006/relationships/hyperlink" Target="https://www.primeminister.am/ru/statements-and-messages/item/2018/12/06/EAEU-meeting/" TargetMode="External"/><Relationship Id="rId72" Type="http://schemas.openxmlformats.org/officeDocument/2006/relationships/hyperlink" Target="http://www.kremlin.ru/events/president/news/55819" TargetMode="External"/><Relationship Id="rId75" Type="http://schemas.openxmlformats.org/officeDocument/2006/relationships/hyperlink" Target="https://www.primeminister.am/ru/statements-and-messages/item/2019/05/29/Nikol-Pashinyan-meeting-Supreme-Eurasian-Economic-Council/" TargetMode="External"/><Relationship Id="rId74" Type="http://schemas.openxmlformats.org/officeDocument/2006/relationships/hyperlink" Target="http://www.kremlin.ru/events/president/transcripts/57468" TargetMode="External"/><Relationship Id="rId77" Type="http://schemas.openxmlformats.org/officeDocument/2006/relationships/hyperlink" Target="https://www.primeminister.am/ru/statements-and-messages/item/2019/10/01/Higher-Eurasian-Economic-Council-Meeting/" TargetMode="External"/><Relationship Id="rId76" Type="http://schemas.openxmlformats.org/officeDocument/2006/relationships/hyperlink" Target="https://www.primeminister.am/ru/statements-and-messages/item/2019/10/01/Higher-Eurasian-Economic-Council-Meeting/" TargetMode="External"/><Relationship Id="rId79" Type="http://schemas.openxmlformats.org/officeDocument/2006/relationships/hyperlink" Target="https://www.primeminister.am/ru/statements-and-messages/item/2020/04/14/Nikol-Pashinyan-meeting-EAEU/" TargetMode="External"/><Relationship Id="rId78" Type="http://schemas.openxmlformats.org/officeDocument/2006/relationships/hyperlink" Target="https://www.primeminister.am/ru/press-release/item/2019/12/20/Nikol-Pashinyan-Session-of-the-Supreme-Eurasian-Economic-Council/" TargetMode="External"/><Relationship Id="rId71" Type="http://schemas.openxmlformats.org/officeDocument/2006/relationships/hyperlink" Target="http://www.kremlin.ru/events/president/transcripts/54293" TargetMode="External"/><Relationship Id="rId70" Type="http://schemas.openxmlformats.org/officeDocument/2006/relationships/hyperlink" Target="https://www.president.am/ru/press-release/item/2016/12/26/President-Serzh-Sargsyan-speech-Economical-U-Session-in-Saint-Petersbur/" TargetMode="External"/><Relationship Id="rId62" Type="http://schemas.openxmlformats.org/officeDocument/2006/relationships/hyperlink" Target="http://www.kremlin.ru/events/president/transcripts/73992" TargetMode="External"/><Relationship Id="rId61" Type="http://schemas.openxmlformats.org/officeDocument/2006/relationships/hyperlink" Target="https://www.akorda.kz/ru/prezident-kazahstana-prinyal-uchastie-v-zasedanii-vysshego-evraziyskogo-ekonomicheskogo-soveta-2611415" TargetMode="External"/><Relationship Id="rId64" Type="http://schemas.openxmlformats.org/officeDocument/2006/relationships/hyperlink" Target="https://www.akorda.kz/ru/glava-gosudarstva-prinyal-uchastie-v-zasedanii-vysshego-evraziyskogo-ekonomicheskogo-soveta-v-rasshirennom-sostave-2752042" TargetMode="External"/><Relationship Id="rId63" Type="http://schemas.openxmlformats.org/officeDocument/2006/relationships/hyperlink" Target="https://www.akorda.kz/ru/glava-gosudarstva-prinyal-uchastie-v-zasedanii-vysshego-evraziyskogo-ekonomicheskogo-soveta-v-rasshirennom-sostave-26115847" TargetMode="External"/><Relationship Id="rId66" Type="http://schemas.openxmlformats.org/officeDocument/2006/relationships/hyperlink" Target="http://www.kremlin.ru/catalog/persons/119/events/49435" TargetMode="External"/><Relationship Id="rId65" Type="http://schemas.openxmlformats.org/officeDocument/2006/relationships/hyperlink" Target="https://www.akorda.kz/ru/glava-gosudarstva-prinyal-uchastie-v-zasedanii-vysshego-evraziyskogo-ekonomicheskogo-soveta-21115343" TargetMode="External"/><Relationship Id="rId68" Type="http://schemas.openxmlformats.org/officeDocument/2006/relationships/hyperlink" Target="https://www.president.am/ru/press-release/item/2015/12/21/President-Serzh-Sargsyan-participated-at-EUS/" TargetMode="External"/><Relationship Id="rId67" Type="http://schemas.openxmlformats.org/officeDocument/2006/relationships/hyperlink" Target="https://www.president.am/ru/press-release/item/2015/10/16/President-Serzh-Sargsyan-participation-in-EEC-Supreme-Session/" TargetMode="External"/><Relationship Id="rId60" Type="http://schemas.openxmlformats.org/officeDocument/2006/relationships/hyperlink" Target="https://www.akorda.kz/ru/prezident-kazahstana-prinyal-uchastie-v-zasedanii-vysshego-evraziyskogo-ekonomicheskogo-soveta-254528" TargetMode="External"/><Relationship Id="rId69" Type="http://schemas.openxmlformats.org/officeDocument/2006/relationships/hyperlink" Target="http://www.kremlin.ru/catalog/persons/119/events/52049" TargetMode="External"/><Relationship Id="rId51" Type="http://schemas.openxmlformats.org/officeDocument/2006/relationships/hyperlink" Target="https://www.akorda.kz/ru/events/astana_kazakhstan/participation_in_events/prezident-kazahstana-kasym-zhomart-tokaev-prinyal-uchastie-v-zasedanii-vysshego-evraziiskogo-ekonomicheskogo-soveta-v-rasshirennom-sostave" TargetMode="External"/><Relationship Id="rId50" Type="http://schemas.openxmlformats.org/officeDocument/2006/relationships/hyperlink" Target="http://www.kremlin.ru/events/president/transcripts/57468" TargetMode="External"/><Relationship Id="rId53" Type="http://schemas.openxmlformats.org/officeDocument/2006/relationships/hyperlink" Target="https://nazarbayev.kz/ru/news/2019-12/nursultan-nazarbaev-prinyal-uchastie-v-zasedanii-vysshego-evraziyskogo-ekonomicheskogo" TargetMode="External"/><Relationship Id="rId52" Type="http://schemas.openxmlformats.org/officeDocument/2006/relationships/hyperlink" Target="https://www.akorda.kz/ru/events/international_community/foreign_visits/prezident-kazahstana-prinyal-uchastie-v-zasedanii-vysshego-evraziiskogo-ekonomicheskogo-soveta" TargetMode="External"/><Relationship Id="rId55" Type="http://schemas.openxmlformats.org/officeDocument/2006/relationships/hyperlink" Target="https://www.akorda.kz/ru/events/international_community/foreign_other_events/glava-gosudarstva-prinyal-uchastie-v-zasedanii-vysshego-evraziiskogo-ekonomicheskogo-soveta" TargetMode="External"/><Relationship Id="rId54" Type="http://schemas.openxmlformats.org/officeDocument/2006/relationships/hyperlink" Target="https://e-gorod.ru/%D1%81%D0%B0%D0%BC%D0%BC%D0%B8%D1%82-%D0%B5%D0%B0%D1%8D%D1%81-19-%D0%BC%D0%B0%D1%8F-2020-%D0%B2%D0%B8%D0%B4%D0%B5%D0%BE%D1%84%D0%BE%D1%80%D0%BC%D0%B0%D1%82-%D0%B2%D1%8B%D1%81%D1%82%D1%83%D0%BF%D0%BB/" TargetMode="External"/><Relationship Id="rId57" Type="http://schemas.openxmlformats.org/officeDocument/2006/relationships/hyperlink" Target="https://www.akorda.kz/ru/prezident-kazahstana-prinyal-uchastie-v-zasedanii-vysshego-evraziyskogo-ekonomicheskogo-soveta-10111526" TargetMode="External"/><Relationship Id="rId56" Type="http://schemas.openxmlformats.org/officeDocument/2006/relationships/hyperlink" Target="https://www.akorda.kz/ru/prezident-kasym-zhomart-tokaev-prinyal-uchastie-na-zasedanii-vysshego-evraziyskogo-ekonomicheskogo-soveta-2142239" TargetMode="External"/><Relationship Id="rId59" Type="http://schemas.openxmlformats.org/officeDocument/2006/relationships/hyperlink" Target="https://www.akorda.kz/ru/prezident-kazahstana-prinyal-uchastie-v-zasedanii-vysshego-evraziyskogo-ekonomicheskogo-soveta-2742524" TargetMode="External"/><Relationship Id="rId58" Type="http://schemas.openxmlformats.org/officeDocument/2006/relationships/hyperlink" Target="https://www.akorda.kz/ru/prezident-kazahstana-prinyal-uchastie-v-zasedanii-vysshego-evraziyskogo-ekonomicheskogo-soveta-91171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primeminister.am/ru/statements-and-messages/item/2020/09/25/Nikol-Pashinyan-General-Assembly/" TargetMode="External"/><Relationship Id="rId10" Type="http://schemas.openxmlformats.org/officeDocument/2006/relationships/hyperlink" Target="https://www.primeminister.am/ru/statements-and-messages/item/2018/09/26/Nikol-Pashinyan-speech/" TargetMode="External"/><Relationship Id="rId13" Type="http://schemas.openxmlformats.org/officeDocument/2006/relationships/hyperlink" Target="https://www.mfa.am/ru/speeches/2023/09/23/fm_unga/12236" TargetMode="External"/><Relationship Id="rId12" Type="http://schemas.openxmlformats.org/officeDocument/2006/relationships/hyperlink" Target="https://www.primeminister.am/ru/statements-and-messages/item/2021/09/24/Nikol-Pashinyan-Speech-at-the-76th-General-Assembly-of-the-Unite/" TargetMode="External"/><Relationship Id="rId15" Type="http://schemas.openxmlformats.org/officeDocument/2006/relationships/hyperlink" Target="https://kyrtag.kg/ru/news/sooronbay-zheenbekov-vystupil-na-73-y-sessii-genassamblei-oon" TargetMode="External"/><Relationship Id="rId14" Type="http://schemas.openxmlformats.org/officeDocument/2006/relationships/hyperlink" Target="https://www.primeminister.am/ru/statements-and-messages/item/2024/09/26/Nikol-Pashinyan-UN-Speech" TargetMode="External"/><Relationship Id="rId17" Type="http://schemas.openxmlformats.org/officeDocument/2006/relationships/drawing" Target="../drawings/drawing3.xml"/><Relationship Id="rId16" Type="http://schemas.openxmlformats.org/officeDocument/2006/relationships/hyperlink" Target="http://asiatv.kg/2025/09/24/vystuplenie-prezidenta-sadyra-zhaparova-v-oon/" TargetMode="External"/><Relationship Id="rId1" Type="http://schemas.openxmlformats.org/officeDocument/2006/relationships/hyperlink" Target="http://www.kremlin.ru/events/president/news/50385?utm_compaign=article" TargetMode="External"/><Relationship Id="rId2" Type="http://schemas.openxmlformats.org/officeDocument/2006/relationships/hyperlink" Target="https://www.mid.ru/ru/press_service/video/vistupleniya_ministra/1534829/" TargetMode="External"/><Relationship Id="rId3" Type="http://schemas.openxmlformats.org/officeDocument/2006/relationships/hyperlink" Target="https://www.mid.ru/ru/press_service/video/vistupleniya_ministra/1553392/" TargetMode="External"/><Relationship Id="rId4" Type="http://schemas.openxmlformats.org/officeDocument/2006/relationships/hyperlink" Target="https://www.mid.ru/ru/press_service/video/vistupleniya_ministra/1576326/" TargetMode="External"/><Relationship Id="rId9" Type="http://schemas.openxmlformats.org/officeDocument/2006/relationships/hyperlink" Target="https://www.zakon.kz/redaktsiia-zakonkz/4987589-vystuplenie-prezidenta-respubliki.html" TargetMode="External"/><Relationship Id="rId5" Type="http://schemas.openxmlformats.org/officeDocument/2006/relationships/hyperlink" Target="http://www.kremlin.ru/events/president/transcripts/speeches/64074" TargetMode="External"/><Relationship Id="rId6" Type="http://schemas.openxmlformats.org/officeDocument/2006/relationships/hyperlink" Target="https://mfa.gov.by/press/statements/bd501133fc8ae5f3.html" TargetMode="External"/><Relationship Id="rId7" Type="http://schemas.openxmlformats.org/officeDocument/2006/relationships/hyperlink" Target="https://mfa.gov.by/press/news_mfa/f6afb5446fa6e591.html" TargetMode="External"/><Relationship Id="rId8" Type="http://schemas.openxmlformats.org/officeDocument/2006/relationships/hyperlink" Target="https://mfa.gov.by/press/statements/c95471462db5f9b7.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president.am/ru/statements-and-messages/item/2017/05/18/President-Serzh-Sargsyan-statement-on-the-occasion-of-the-sixth-convocation-of-the-RA-National-Assembly/" TargetMode="External"/><Relationship Id="rId22" Type="http://schemas.openxmlformats.org/officeDocument/2006/relationships/hyperlink" Target="https://www.primeminister.am/en/statements-and-messages/item/2024/04/10/Nikol-Pashinyan-Speech/" TargetMode="External"/><Relationship Id="rId21" Type="http://schemas.openxmlformats.org/officeDocument/2006/relationships/hyperlink" Target="https://www.primeminister.am/ru/statements-and-messages/item/2018/10/24/Nikol-Pashinyan-Speech-National-Assembly/" TargetMode="External"/><Relationship Id="rId24" Type="http://schemas.openxmlformats.org/officeDocument/2006/relationships/hyperlink" Target="http://asiatv.kg/2024/12/20/prezident-zhaparov-vystupil-s-obrashheniem-na-tretem-narodnom-kurultae/" TargetMode="External"/><Relationship Id="rId23" Type="http://schemas.openxmlformats.org/officeDocument/2006/relationships/hyperlink" Target="https://snob.kg/pro-novosti/vse-tolko-i-govoryat/item/567-prezident-sooronbaj-zheenbekov-vystupil-s-obrashcheniem-k-pravitelstvu-i-narodu-kyrgyzstana" TargetMode="External"/><Relationship Id="rId25" Type="http://schemas.openxmlformats.org/officeDocument/2006/relationships/drawing" Target="../drawings/drawing5.xml"/><Relationship Id="rId11" Type="http://schemas.openxmlformats.org/officeDocument/2006/relationships/hyperlink" Target="https://sov.minsk.gov.by/poslanie-prezidenta-respubliki-belarus-2017" TargetMode="External"/><Relationship Id="rId10" Type="http://schemas.openxmlformats.org/officeDocument/2006/relationships/hyperlink" Target="https://pravo.by/document/?guid=3871&amp;p0=P016p0001" TargetMode="External"/><Relationship Id="rId13" Type="http://schemas.openxmlformats.org/officeDocument/2006/relationships/hyperlink" Target="https://pravo.by/document/?guid=3871&amp;p0=P019p0001" TargetMode="External"/><Relationship Id="rId12" Type="http://schemas.openxmlformats.org/officeDocument/2006/relationships/hyperlink" Target="https://sov.minsk.gov.by/poslanie-prezidenta-respubliki-belarus-2018" TargetMode="External"/><Relationship Id="rId15" Type="http://schemas.openxmlformats.org/officeDocument/2006/relationships/hyperlink" Target="https://pravo.by/document/?guid=3871&amp;p0=P022p0001" TargetMode="External"/><Relationship Id="rId14" Type="http://schemas.openxmlformats.org/officeDocument/2006/relationships/hyperlink" Target="https://pravo.by/document/?guid=3871&amp;p0=P020p0001" TargetMode="External"/><Relationship Id="rId17" Type="http://schemas.openxmlformats.org/officeDocument/2006/relationships/hyperlink" Target="https://pravo.by/document/?guid=3871&amp;p0=P024p0001" TargetMode="External"/><Relationship Id="rId16" Type="http://schemas.openxmlformats.org/officeDocument/2006/relationships/hyperlink" Target="https://pravo.by/document/?guid=3871&amp;p0=P023p0001" TargetMode="External"/><Relationship Id="rId19" Type="http://schemas.openxmlformats.org/officeDocument/2006/relationships/hyperlink" Target="https://www.gov.am/en/speeches/671/item/3493/" TargetMode="External"/><Relationship Id="rId18" Type="http://schemas.openxmlformats.org/officeDocument/2006/relationships/hyperlink" Target="https://www.gov.am/en/news/item/8213/" TargetMode="External"/><Relationship Id="rId1" Type="http://schemas.openxmlformats.org/officeDocument/2006/relationships/hyperlink" Target="https://base.garant.ru/71265528/" TargetMode="External"/><Relationship Id="rId2" Type="http://schemas.openxmlformats.org/officeDocument/2006/relationships/hyperlink" Target="http://www.kremlin.ru/acts/bank/41550" TargetMode="External"/><Relationship Id="rId3" Type="http://schemas.openxmlformats.org/officeDocument/2006/relationships/hyperlink" Target="http://www.kremlin.ru/acts/bank/42902" TargetMode="External"/><Relationship Id="rId4" Type="http://schemas.openxmlformats.org/officeDocument/2006/relationships/hyperlink" Target="http://www.kremlin.ru/acts/bank/44032" TargetMode="External"/><Relationship Id="rId9" Type="http://schemas.openxmlformats.org/officeDocument/2006/relationships/hyperlink" Target="https://pravo.by/document/?guid=3871&amp;p0=P015p0001" TargetMode="External"/><Relationship Id="rId5" Type="http://schemas.openxmlformats.org/officeDocument/2006/relationships/hyperlink" Target="http://www.kremlin.ru/acts/bank/45148" TargetMode="External"/><Relationship Id="rId6" Type="http://schemas.openxmlformats.org/officeDocument/2006/relationships/hyperlink" Target="http://www.kremlin.ru/acts/bank/46794" TargetMode="External"/><Relationship Id="rId7" Type="http://schemas.openxmlformats.org/officeDocument/2006/relationships/hyperlink" Target="http://www.kremlin.ru/acts/bank/49010" TargetMode="External"/><Relationship Id="rId8" Type="http://schemas.openxmlformats.org/officeDocument/2006/relationships/hyperlink" Target="http://www.kremlin.ru/acts/bank/5043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2.71"/>
    <col customWidth="1" min="3" max="3" width="14.29"/>
    <col customWidth="1" min="4" max="4" width="14.0"/>
    <col customWidth="1" min="5" max="5" width="9.71"/>
    <col customWidth="1" min="6" max="6" width="12.29"/>
    <col customWidth="1" min="7" max="7" width="9.43"/>
    <col customWidth="1" min="8" max="8" width="56.0"/>
    <col customWidth="1" min="9" max="9" width="44.29"/>
    <col customWidth="1" min="10" max="11" width="19.71"/>
    <col customWidth="1" min="12" max="12" width="30.71"/>
    <col customWidth="1" min="13" max="13" width="22.14"/>
    <col customWidth="1" min="14" max="14" width="25.29"/>
    <col customWidth="1" min="15" max="15" width="26.57"/>
    <col customWidth="1" min="16" max="16" width="26.86"/>
    <col customWidth="1" min="17" max="25" width="8.71"/>
  </cols>
  <sheetData>
    <row r="1" ht="14.25" customHeigh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3"/>
      <c r="R1" s="3"/>
      <c r="S1" s="3"/>
      <c r="T1" s="3"/>
      <c r="U1" s="3"/>
      <c r="V1" s="3"/>
      <c r="W1" s="3"/>
      <c r="X1" s="3"/>
      <c r="Y1" s="3"/>
    </row>
    <row r="2" ht="126.0" customHeight="1">
      <c r="A2" s="4"/>
      <c r="B2" s="5"/>
      <c r="C2" s="5"/>
      <c r="D2" s="5"/>
      <c r="E2" s="5"/>
      <c r="F2" s="5"/>
      <c r="G2" s="5"/>
      <c r="H2" s="5"/>
      <c r="I2" s="6"/>
      <c r="J2" s="7" t="s">
        <v>16</v>
      </c>
      <c r="K2" s="8" t="s">
        <v>17</v>
      </c>
      <c r="L2" s="9" t="s">
        <v>18</v>
      </c>
      <c r="M2" s="8" t="s">
        <v>19</v>
      </c>
      <c r="N2" s="9" t="s">
        <v>20</v>
      </c>
      <c r="O2" s="9" t="s">
        <v>21</v>
      </c>
      <c r="P2" s="9" t="s">
        <v>22</v>
      </c>
      <c r="Q2" s="3"/>
      <c r="R2" s="3"/>
      <c r="S2" s="3"/>
      <c r="T2" s="3"/>
      <c r="U2" s="3"/>
      <c r="V2" s="3"/>
      <c r="W2" s="3"/>
      <c r="X2" s="3"/>
      <c r="Y2" s="3"/>
    </row>
    <row r="3" ht="126.0" customHeight="1">
      <c r="A3" s="10"/>
      <c r="B3" s="10"/>
      <c r="C3" s="11"/>
      <c r="D3" s="11"/>
      <c r="E3" s="11"/>
      <c r="F3" s="11"/>
      <c r="G3" s="11"/>
      <c r="H3" s="11"/>
      <c r="I3" s="12"/>
      <c r="J3" s="13"/>
      <c r="K3" s="13"/>
      <c r="L3" s="14"/>
      <c r="M3" s="14"/>
      <c r="N3" s="14"/>
      <c r="O3" s="14"/>
      <c r="P3" s="14"/>
      <c r="Q3" s="3"/>
      <c r="R3" s="3"/>
      <c r="S3" s="3"/>
      <c r="T3" s="3"/>
      <c r="U3" s="3"/>
      <c r="V3" s="3"/>
      <c r="W3" s="3"/>
      <c r="X3" s="3"/>
      <c r="Y3" s="3"/>
    </row>
    <row r="4" ht="218.25" customHeight="1">
      <c r="A4" s="15" t="s">
        <v>23</v>
      </c>
      <c r="B4" s="16">
        <v>2014.0</v>
      </c>
      <c r="C4" s="17" t="s">
        <v>24</v>
      </c>
      <c r="D4" s="17"/>
      <c r="E4" s="17" t="s">
        <v>25</v>
      </c>
      <c r="F4" s="17" t="s">
        <v>26</v>
      </c>
      <c r="G4" s="17" t="s">
        <v>27</v>
      </c>
      <c r="H4" s="18" t="s">
        <v>28</v>
      </c>
      <c r="I4" s="19" t="s">
        <v>29</v>
      </c>
      <c r="J4" s="17">
        <v>11.0</v>
      </c>
      <c r="K4" s="17">
        <v>0.0</v>
      </c>
      <c r="L4" s="20">
        <v>19.0</v>
      </c>
      <c r="M4" s="21">
        <v>1.0</v>
      </c>
      <c r="N4" s="20">
        <v>0.0</v>
      </c>
      <c r="O4" s="20">
        <v>14.0</v>
      </c>
      <c r="P4" s="20">
        <v>0.0</v>
      </c>
      <c r="Q4" s="3"/>
      <c r="R4" s="3"/>
      <c r="S4" s="3"/>
      <c r="T4" s="3"/>
      <c r="U4" s="3"/>
      <c r="V4" s="3"/>
      <c r="W4" s="3"/>
      <c r="X4" s="3"/>
      <c r="Y4" s="3"/>
    </row>
    <row r="5" ht="145.5" customHeight="1">
      <c r="A5" s="22" t="s">
        <v>23</v>
      </c>
      <c r="B5" s="23">
        <v>2014.0</v>
      </c>
      <c r="C5" s="23" t="s">
        <v>30</v>
      </c>
      <c r="D5" s="23"/>
      <c r="E5" s="23" t="s">
        <v>25</v>
      </c>
      <c r="F5" s="23" t="s">
        <v>26</v>
      </c>
      <c r="G5" s="23" t="s">
        <v>31</v>
      </c>
      <c r="H5" s="24" t="s">
        <v>32</v>
      </c>
      <c r="I5" s="25" t="s">
        <v>33</v>
      </c>
      <c r="J5" s="23">
        <v>12.0</v>
      </c>
      <c r="K5" s="20">
        <v>0.0</v>
      </c>
      <c r="L5" s="20">
        <v>6.0</v>
      </c>
      <c r="M5" s="21">
        <v>0.0</v>
      </c>
      <c r="N5" s="20">
        <v>0.0</v>
      </c>
      <c r="O5" s="20">
        <v>8.0</v>
      </c>
      <c r="P5" s="20">
        <v>0.0</v>
      </c>
      <c r="Q5" s="3"/>
      <c r="R5" s="3"/>
      <c r="S5" s="3"/>
      <c r="T5" s="3"/>
      <c r="U5" s="3"/>
      <c r="V5" s="3"/>
      <c r="W5" s="3"/>
      <c r="X5" s="3"/>
      <c r="Y5" s="3"/>
    </row>
    <row r="6" ht="131.25" customHeight="1">
      <c r="A6" s="22" t="s">
        <v>23</v>
      </c>
      <c r="B6" s="23">
        <v>2014.0</v>
      </c>
      <c r="C6" s="23" t="s">
        <v>34</v>
      </c>
      <c r="D6" s="23"/>
      <c r="E6" s="23" t="s">
        <v>25</v>
      </c>
      <c r="F6" s="23" t="s">
        <v>26</v>
      </c>
      <c r="G6" s="23" t="s">
        <v>35</v>
      </c>
      <c r="H6" s="24" t="s">
        <v>36</v>
      </c>
      <c r="I6" s="26" t="s">
        <v>37</v>
      </c>
      <c r="J6" s="23">
        <v>12.0</v>
      </c>
      <c r="K6" s="20">
        <v>0.0</v>
      </c>
      <c r="L6" s="20">
        <v>13.0</v>
      </c>
      <c r="M6" s="21">
        <v>0.0</v>
      </c>
      <c r="N6" s="20">
        <v>0.0</v>
      </c>
      <c r="O6" s="20">
        <v>30.0</v>
      </c>
      <c r="P6" s="20">
        <v>2.0</v>
      </c>
      <c r="Q6" s="3"/>
      <c r="R6" s="3"/>
      <c r="S6" s="3"/>
      <c r="T6" s="3"/>
      <c r="U6" s="3"/>
      <c r="V6" s="3"/>
      <c r="W6" s="3"/>
      <c r="X6" s="3"/>
      <c r="Y6" s="3"/>
    </row>
    <row r="7" ht="150.0" customHeight="1">
      <c r="A7" s="22" t="s">
        <v>23</v>
      </c>
      <c r="B7" s="23">
        <v>2015.0</v>
      </c>
      <c r="C7" s="23" t="s">
        <v>38</v>
      </c>
      <c r="D7" s="23"/>
      <c r="E7" s="23" t="s">
        <v>25</v>
      </c>
      <c r="F7" s="23" t="s">
        <v>26</v>
      </c>
      <c r="G7" s="20" t="s">
        <v>27</v>
      </c>
      <c r="H7" s="27" t="s">
        <v>39</v>
      </c>
      <c r="I7" s="28" t="s">
        <v>40</v>
      </c>
      <c r="J7" s="20">
        <v>15.0</v>
      </c>
      <c r="K7" s="20">
        <v>0.0</v>
      </c>
      <c r="L7" s="20">
        <v>6.0</v>
      </c>
      <c r="M7" s="21">
        <v>0.0</v>
      </c>
      <c r="N7" s="20">
        <v>0.0</v>
      </c>
      <c r="O7" s="20">
        <v>10.0</v>
      </c>
      <c r="P7" s="20">
        <v>0.0</v>
      </c>
      <c r="Q7" s="3"/>
      <c r="R7" s="3"/>
      <c r="S7" s="3"/>
      <c r="T7" s="3"/>
      <c r="U7" s="3"/>
      <c r="V7" s="3"/>
      <c r="W7" s="3"/>
      <c r="X7" s="3"/>
      <c r="Y7" s="3"/>
    </row>
    <row r="8" ht="14.25" customHeight="1">
      <c r="A8" s="22" t="s">
        <v>23</v>
      </c>
      <c r="B8" s="20">
        <v>2015.0</v>
      </c>
      <c r="C8" s="20" t="s">
        <v>41</v>
      </c>
      <c r="D8" s="20"/>
      <c r="E8" s="23" t="s">
        <v>25</v>
      </c>
      <c r="F8" s="23" t="s">
        <v>26</v>
      </c>
      <c r="G8" s="20" t="s">
        <v>42</v>
      </c>
      <c r="H8" s="27"/>
      <c r="I8" s="20" t="s">
        <v>43</v>
      </c>
      <c r="J8" s="20" t="s">
        <v>44</v>
      </c>
      <c r="K8" s="20"/>
      <c r="L8" s="20" t="s">
        <v>44</v>
      </c>
      <c r="M8" s="21" t="s">
        <v>44</v>
      </c>
      <c r="N8" s="20" t="s">
        <v>44</v>
      </c>
      <c r="O8" s="20" t="s">
        <v>44</v>
      </c>
      <c r="P8" s="20" t="s">
        <v>44</v>
      </c>
      <c r="Q8" s="3"/>
      <c r="R8" s="3"/>
      <c r="S8" s="3"/>
      <c r="T8" s="3"/>
      <c r="U8" s="3"/>
      <c r="V8" s="3"/>
      <c r="W8" s="3"/>
      <c r="X8" s="3"/>
      <c r="Y8" s="3"/>
    </row>
    <row r="9" ht="14.25" customHeight="1">
      <c r="A9" s="22" t="s">
        <v>23</v>
      </c>
      <c r="B9" s="23">
        <v>2015.0</v>
      </c>
      <c r="C9" s="23" t="s">
        <v>45</v>
      </c>
      <c r="D9" s="23"/>
      <c r="E9" s="23" t="s">
        <v>25</v>
      </c>
      <c r="F9" s="23" t="s">
        <v>26</v>
      </c>
      <c r="G9" s="23" t="s">
        <v>27</v>
      </c>
      <c r="H9" s="27"/>
      <c r="I9" s="20" t="s">
        <v>43</v>
      </c>
      <c r="J9" s="20" t="s">
        <v>44</v>
      </c>
      <c r="K9" s="20"/>
      <c r="L9" s="20" t="s">
        <v>44</v>
      </c>
      <c r="M9" s="21" t="s">
        <v>44</v>
      </c>
      <c r="N9" s="20" t="s">
        <v>44</v>
      </c>
      <c r="O9" s="20" t="s">
        <v>44</v>
      </c>
      <c r="P9" s="20" t="s">
        <v>44</v>
      </c>
      <c r="Q9" s="3"/>
      <c r="R9" s="3"/>
      <c r="S9" s="3"/>
      <c r="T9" s="3"/>
      <c r="U9" s="3"/>
      <c r="V9" s="3"/>
      <c r="W9" s="3"/>
      <c r="X9" s="3"/>
      <c r="Y9" s="3"/>
    </row>
    <row r="10" ht="122.25" customHeight="1">
      <c r="A10" s="22" t="s">
        <v>23</v>
      </c>
      <c r="B10" s="23">
        <v>2016.0</v>
      </c>
      <c r="C10" s="23" t="s">
        <v>46</v>
      </c>
      <c r="D10" s="23" t="s">
        <v>47</v>
      </c>
      <c r="E10" s="23" t="s">
        <v>25</v>
      </c>
      <c r="F10" s="23" t="s">
        <v>26</v>
      </c>
      <c r="G10" s="23" t="s">
        <v>48</v>
      </c>
      <c r="H10" s="24" t="s">
        <v>49</v>
      </c>
      <c r="I10" s="26" t="s">
        <v>50</v>
      </c>
      <c r="J10" s="3">
        <v>10.0</v>
      </c>
      <c r="K10" s="3">
        <v>0.0</v>
      </c>
      <c r="L10" s="3">
        <v>8.0</v>
      </c>
      <c r="M10" s="3">
        <v>0.0</v>
      </c>
      <c r="N10" s="3">
        <v>0.0</v>
      </c>
      <c r="O10" s="3">
        <v>7.0</v>
      </c>
      <c r="P10" s="3">
        <v>0.0</v>
      </c>
      <c r="Q10" s="3"/>
      <c r="R10" s="3"/>
      <c r="S10" s="3"/>
      <c r="T10" s="3"/>
      <c r="U10" s="3"/>
      <c r="V10" s="3"/>
      <c r="W10" s="3"/>
      <c r="X10" s="3"/>
      <c r="Y10" s="3"/>
    </row>
    <row r="11" ht="122.25" customHeight="1">
      <c r="A11" s="22" t="s">
        <v>23</v>
      </c>
      <c r="B11" s="23">
        <v>2016.0</v>
      </c>
      <c r="C11" s="23" t="s">
        <v>51</v>
      </c>
      <c r="D11" s="23" t="s">
        <v>52</v>
      </c>
      <c r="E11" s="23" t="s">
        <v>25</v>
      </c>
      <c r="F11" s="23" t="s">
        <v>26</v>
      </c>
      <c r="G11" s="23" t="s">
        <v>53</v>
      </c>
      <c r="H11" s="24" t="s">
        <v>54</v>
      </c>
      <c r="I11" s="25" t="s">
        <v>55</v>
      </c>
      <c r="J11" s="3">
        <v>11.0</v>
      </c>
      <c r="K11" s="3">
        <v>0.0</v>
      </c>
      <c r="L11" s="3">
        <v>11.0</v>
      </c>
      <c r="M11" s="3">
        <v>0.0</v>
      </c>
      <c r="N11" s="3">
        <v>0.0</v>
      </c>
      <c r="O11" s="3">
        <v>19.0</v>
      </c>
      <c r="P11" s="3">
        <v>1.0</v>
      </c>
      <c r="Q11" s="3"/>
      <c r="R11" s="3"/>
      <c r="S11" s="3"/>
      <c r="T11" s="3"/>
      <c r="U11" s="3"/>
      <c r="V11" s="3"/>
      <c r="W11" s="3"/>
      <c r="X11" s="3"/>
      <c r="Y11" s="3"/>
    </row>
    <row r="12" ht="122.25" customHeight="1">
      <c r="A12" s="22" t="s">
        <v>23</v>
      </c>
      <c r="B12" s="23">
        <v>2017.0</v>
      </c>
      <c r="C12" s="23" t="s">
        <v>56</v>
      </c>
      <c r="D12" s="23"/>
      <c r="E12" s="23" t="s">
        <v>25</v>
      </c>
      <c r="F12" s="23"/>
      <c r="G12" s="23" t="s">
        <v>57</v>
      </c>
      <c r="H12" s="24" t="s">
        <v>58</v>
      </c>
      <c r="I12" s="26" t="s">
        <v>59</v>
      </c>
      <c r="J12" s="3">
        <v>6.0</v>
      </c>
      <c r="K12" s="3">
        <v>1.0</v>
      </c>
      <c r="L12" s="3">
        <v>14.0</v>
      </c>
      <c r="M12" s="3">
        <v>0.0</v>
      </c>
      <c r="N12" s="3">
        <v>0.0</v>
      </c>
      <c r="O12" s="3">
        <v>21.0</v>
      </c>
      <c r="P12" s="3">
        <v>0.0</v>
      </c>
      <c r="Q12" s="3"/>
      <c r="R12" s="3"/>
      <c r="S12" s="3"/>
      <c r="T12" s="3"/>
      <c r="U12" s="3"/>
      <c r="V12" s="3"/>
      <c r="W12" s="3"/>
      <c r="X12" s="3"/>
      <c r="Y12" s="3"/>
    </row>
    <row r="13" ht="112.5" customHeight="1">
      <c r="A13" s="22" t="s">
        <v>23</v>
      </c>
      <c r="B13" s="23">
        <v>2017.0</v>
      </c>
      <c r="C13" s="23" t="s">
        <v>60</v>
      </c>
      <c r="D13" s="23" t="s">
        <v>52</v>
      </c>
      <c r="E13" s="23" t="s">
        <v>25</v>
      </c>
      <c r="F13" s="23" t="s">
        <v>26</v>
      </c>
      <c r="G13" s="23" t="s">
        <v>61</v>
      </c>
      <c r="H13" s="24" t="s">
        <v>62</v>
      </c>
      <c r="I13" s="26" t="s">
        <v>63</v>
      </c>
      <c r="J13" s="3">
        <v>17.0</v>
      </c>
      <c r="K13" s="3">
        <v>0.0</v>
      </c>
      <c r="L13" s="3">
        <v>9.0</v>
      </c>
      <c r="M13" s="3">
        <v>0.0</v>
      </c>
      <c r="N13" s="3">
        <v>0.0</v>
      </c>
      <c r="O13" s="3">
        <v>6.0</v>
      </c>
      <c r="P13" s="3">
        <v>0.0</v>
      </c>
      <c r="Q13" s="3"/>
      <c r="R13" s="3"/>
      <c r="S13" s="3"/>
      <c r="T13" s="3"/>
      <c r="U13" s="3"/>
      <c r="V13" s="3"/>
      <c r="W13" s="3"/>
      <c r="X13" s="3"/>
      <c r="Y13" s="3"/>
    </row>
    <row r="14" ht="123.0" customHeight="1">
      <c r="A14" s="22" t="s">
        <v>23</v>
      </c>
      <c r="B14" s="23">
        <v>2018.0</v>
      </c>
      <c r="C14" s="23" t="s">
        <v>64</v>
      </c>
      <c r="D14" s="23" t="s">
        <v>52</v>
      </c>
      <c r="E14" s="23" t="s">
        <v>25</v>
      </c>
      <c r="F14" s="23" t="s">
        <v>26</v>
      </c>
      <c r="G14" s="23" t="s">
        <v>61</v>
      </c>
      <c r="H14" s="24" t="s">
        <v>65</v>
      </c>
      <c r="I14" s="26" t="s">
        <v>66</v>
      </c>
      <c r="J14" s="3">
        <v>5.0</v>
      </c>
      <c r="K14" s="3">
        <v>0.0</v>
      </c>
      <c r="L14" s="3">
        <v>7.0</v>
      </c>
      <c r="M14" s="3">
        <v>0.0</v>
      </c>
      <c r="N14" s="3">
        <v>0.0</v>
      </c>
      <c r="O14" s="3">
        <v>14.0</v>
      </c>
      <c r="P14" s="3">
        <v>0.0</v>
      </c>
      <c r="Q14" s="3"/>
      <c r="R14" s="3"/>
      <c r="S14" s="3"/>
      <c r="T14" s="3"/>
      <c r="U14" s="3"/>
      <c r="V14" s="3"/>
      <c r="W14" s="3"/>
      <c r="X14" s="3"/>
      <c r="Y14" s="3"/>
    </row>
    <row r="15" ht="123.0" customHeight="1">
      <c r="A15" s="22" t="s">
        <v>23</v>
      </c>
      <c r="B15" s="23">
        <v>2018.0</v>
      </c>
      <c r="C15" s="23" t="s">
        <v>67</v>
      </c>
      <c r="D15" s="1"/>
      <c r="E15" s="23" t="s">
        <v>68</v>
      </c>
      <c r="F15" s="23" t="s">
        <v>26</v>
      </c>
      <c r="G15" s="23" t="s">
        <v>48</v>
      </c>
      <c r="H15" s="24" t="s">
        <v>69</v>
      </c>
      <c r="I15" s="26" t="s">
        <v>70</v>
      </c>
      <c r="J15" s="3">
        <v>17.0</v>
      </c>
      <c r="K15" s="3">
        <v>0.0</v>
      </c>
      <c r="L15" s="3">
        <v>7.0</v>
      </c>
      <c r="M15" s="3">
        <v>1.0</v>
      </c>
      <c r="N15" s="3">
        <v>0.0</v>
      </c>
      <c r="O15" s="3">
        <v>12.0</v>
      </c>
      <c r="P15" s="3">
        <v>0.0</v>
      </c>
      <c r="Q15" s="3"/>
      <c r="R15" s="3"/>
      <c r="S15" s="3"/>
      <c r="T15" s="3"/>
      <c r="U15" s="3"/>
      <c r="V15" s="3"/>
      <c r="W15" s="3"/>
      <c r="X15" s="3"/>
      <c r="Y15" s="3"/>
    </row>
    <row r="16" ht="135.0" customHeight="1">
      <c r="A16" s="22" t="s">
        <v>23</v>
      </c>
      <c r="B16" s="23">
        <v>2019.0</v>
      </c>
      <c r="C16" s="23" t="s">
        <v>71</v>
      </c>
      <c r="D16" s="23"/>
      <c r="E16" s="23" t="s">
        <v>25</v>
      </c>
      <c r="F16" s="23" t="s">
        <v>26</v>
      </c>
      <c r="G16" s="23" t="s">
        <v>72</v>
      </c>
      <c r="H16" s="24" t="s">
        <v>73</v>
      </c>
      <c r="I16" s="26" t="s">
        <v>74</v>
      </c>
      <c r="J16" s="3">
        <v>23.0</v>
      </c>
      <c r="K16" s="3">
        <v>1.0</v>
      </c>
      <c r="L16" s="3">
        <v>8.0</v>
      </c>
      <c r="M16" s="3">
        <v>0.0</v>
      </c>
      <c r="N16" s="3">
        <v>0.0</v>
      </c>
      <c r="O16" s="3">
        <v>15.0</v>
      </c>
      <c r="P16" s="3">
        <v>0.0</v>
      </c>
      <c r="Q16" s="3"/>
      <c r="R16" s="3"/>
      <c r="S16" s="3"/>
      <c r="T16" s="3"/>
      <c r="U16" s="3"/>
      <c r="V16" s="3"/>
      <c r="W16" s="3"/>
      <c r="X16" s="3"/>
      <c r="Y16" s="3"/>
    </row>
    <row r="17" ht="177.0" customHeight="1">
      <c r="A17" s="22" t="s">
        <v>23</v>
      </c>
      <c r="B17" s="23">
        <v>2019.0</v>
      </c>
      <c r="C17" s="23" t="s">
        <v>75</v>
      </c>
      <c r="D17" s="23"/>
      <c r="E17" s="23" t="s">
        <v>25</v>
      </c>
      <c r="F17" s="23" t="s">
        <v>26</v>
      </c>
      <c r="G17" s="23" t="s">
        <v>76</v>
      </c>
      <c r="H17" s="24" t="s">
        <v>77</v>
      </c>
      <c r="I17" s="25" t="s">
        <v>78</v>
      </c>
      <c r="J17" s="3">
        <v>17.0</v>
      </c>
      <c r="K17" s="3">
        <v>0.0</v>
      </c>
      <c r="L17" s="3">
        <v>7.0</v>
      </c>
      <c r="M17" s="3">
        <v>0.0</v>
      </c>
      <c r="N17" s="3">
        <v>0.0</v>
      </c>
      <c r="O17" s="3">
        <v>11.0</v>
      </c>
      <c r="P17" s="3">
        <v>0.0</v>
      </c>
      <c r="Q17" s="3"/>
      <c r="R17" s="3"/>
      <c r="S17" s="3"/>
      <c r="T17" s="3"/>
      <c r="U17" s="3"/>
      <c r="V17" s="3"/>
      <c r="W17" s="3"/>
      <c r="X17" s="3"/>
      <c r="Y17" s="3"/>
    </row>
    <row r="18" ht="135.0" customHeight="1">
      <c r="A18" s="22" t="s">
        <v>23</v>
      </c>
      <c r="B18" s="23">
        <v>2019.0</v>
      </c>
      <c r="C18" s="23" t="s">
        <v>79</v>
      </c>
      <c r="D18" s="23"/>
      <c r="E18" s="23" t="s">
        <v>25</v>
      </c>
      <c r="F18" s="23" t="s">
        <v>26</v>
      </c>
      <c r="G18" s="23" t="s">
        <v>48</v>
      </c>
      <c r="H18" s="24" t="s">
        <v>80</v>
      </c>
      <c r="I18" s="26" t="s">
        <v>81</v>
      </c>
      <c r="J18" s="3">
        <v>0.0</v>
      </c>
      <c r="K18" s="3">
        <v>0.0</v>
      </c>
      <c r="L18" s="3">
        <v>1.0</v>
      </c>
      <c r="M18" s="3">
        <v>0.0</v>
      </c>
      <c r="N18" s="3">
        <v>0.0</v>
      </c>
      <c r="O18" s="3">
        <v>2.0</v>
      </c>
      <c r="P18" s="3">
        <v>0.0</v>
      </c>
      <c r="Q18" s="3"/>
      <c r="R18" s="3"/>
      <c r="S18" s="3"/>
      <c r="T18" s="3"/>
      <c r="U18" s="3"/>
      <c r="V18" s="3"/>
      <c r="W18" s="3"/>
      <c r="X18" s="3"/>
      <c r="Y18" s="3"/>
    </row>
    <row r="19" ht="135.0" customHeight="1">
      <c r="A19" s="22" t="s">
        <v>23</v>
      </c>
      <c r="B19" s="23">
        <v>2020.0</v>
      </c>
      <c r="C19" s="23" t="s">
        <v>56</v>
      </c>
      <c r="D19" s="23"/>
      <c r="E19" s="23" t="s">
        <v>25</v>
      </c>
      <c r="F19" s="23" t="s">
        <v>26</v>
      </c>
      <c r="G19" s="23" t="s">
        <v>82</v>
      </c>
      <c r="H19" s="24" t="s">
        <v>83</v>
      </c>
      <c r="I19" s="26" t="s">
        <v>84</v>
      </c>
      <c r="J19" s="3">
        <v>11.0</v>
      </c>
      <c r="K19" s="3">
        <v>0.0</v>
      </c>
      <c r="L19" s="3">
        <v>9.0</v>
      </c>
      <c r="M19" s="3">
        <v>1.0</v>
      </c>
      <c r="N19" s="3">
        <v>0.0</v>
      </c>
      <c r="O19" s="3">
        <v>13.0</v>
      </c>
      <c r="P19" s="3">
        <v>0.0</v>
      </c>
      <c r="Q19" s="3"/>
      <c r="R19" s="3"/>
      <c r="S19" s="3"/>
      <c r="T19" s="3"/>
      <c r="U19" s="3"/>
      <c r="V19" s="3"/>
      <c r="W19" s="3"/>
      <c r="X19" s="3"/>
      <c r="Y19" s="3"/>
    </row>
    <row r="20" ht="135.0" customHeight="1">
      <c r="A20" s="22" t="s">
        <v>85</v>
      </c>
      <c r="B20" s="23">
        <v>2020.0</v>
      </c>
      <c r="C20" s="23" t="s">
        <v>86</v>
      </c>
      <c r="D20" s="23"/>
      <c r="E20" s="23" t="s">
        <v>25</v>
      </c>
      <c r="F20" s="23" t="s">
        <v>26</v>
      </c>
      <c r="G20" s="23" t="s">
        <v>82</v>
      </c>
      <c r="H20" s="24" t="s">
        <v>87</v>
      </c>
      <c r="I20" s="26" t="s">
        <v>88</v>
      </c>
      <c r="J20" s="3">
        <v>16.0</v>
      </c>
      <c r="K20" s="3">
        <v>1.0</v>
      </c>
      <c r="L20" s="3">
        <v>5.0</v>
      </c>
      <c r="M20" s="3">
        <v>0.0</v>
      </c>
      <c r="N20" s="3">
        <v>0.0</v>
      </c>
      <c r="O20" s="3">
        <v>8.0</v>
      </c>
      <c r="P20" s="3">
        <v>0.0</v>
      </c>
      <c r="Q20" s="3"/>
      <c r="R20" s="3"/>
      <c r="S20" s="3"/>
      <c r="T20" s="3"/>
      <c r="U20" s="3"/>
      <c r="V20" s="3"/>
      <c r="W20" s="3"/>
      <c r="X20" s="3"/>
      <c r="Y20" s="3"/>
    </row>
    <row r="21" ht="111.0" customHeight="1">
      <c r="A21" s="22" t="s">
        <v>23</v>
      </c>
      <c r="B21" s="23">
        <v>2020.0</v>
      </c>
      <c r="C21" s="23" t="s">
        <v>89</v>
      </c>
      <c r="D21" s="23"/>
      <c r="E21" s="23" t="s">
        <v>25</v>
      </c>
      <c r="F21" s="23" t="s">
        <v>26</v>
      </c>
      <c r="G21" s="23" t="s">
        <v>82</v>
      </c>
      <c r="H21" s="24" t="s">
        <v>90</v>
      </c>
      <c r="I21" s="26" t="s">
        <v>91</v>
      </c>
      <c r="J21" s="3">
        <v>22.0</v>
      </c>
      <c r="K21" s="3">
        <v>0.0</v>
      </c>
      <c r="L21" s="3">
        <v>3.0</v>
      </c>
      <c r="M21" s="3">
        <v>1.0</v>
      </c>
      <c r="N21" s="3">
        <v>0.0</v>
      </c>
      <c r="O21" s="3">
        <v>16.0</v>
      </c>
      <c r="P21" s="3">
        <v>2.0</v>
      </c>
      <c r="Q21" s="3"/>
      <c r="R21" s="3"/>
      <c r="S21" s="3"/>
      <c r="T21" s="3"/>
      <c r="U21" s="3"/>
      <c r="V21" s="3"/>
      <c r="W21" s="3"/>
      <c r="X21" s="3"/>
      <c r="Y21" s="3"/>
    </row>
    <row r="22" ht="174.0" customHeight="1">
      <c r="A22" s="22" t="s">
        <v>23</v>
      </c>
      <c r="B22" s="23">
        <v>2021.0</v>
      </c>
      <c r="C22" s="23" t="s">
        <v>92</v>
      </c>
      <c r="D22" s="23"/>
      <c r="E22" s="23" t="s">
        <v>25</v>
      </c>
      <c r="F22" s="23" t="s">
        <v>26</v>
      </c>
      <c r="G22" s="23" t="s">
        <v>82</v>
      </c>
      <c r="H22" s="24" t="s">
        <v>93</v>
      </c>
      <c r="I22" s="26" t="s">
        <v>94</v>
      </c>
      <c r="J22" s="3">
        <v>21.0</v>
      </c>
      <c r="K22" s="3">
        <v>1.0</v>
      </c>
      <c r="L22" s="3">
        <v>8.0</v>
      </c>
      <c r="M22" s="3">
        <v>0.0</v>
      </c>
      <c r="N22" s="3">
        <v>0.0</v>
      </c>
      <c r="O22" s="3">
        <v>13.0</v>
      </c>
      <c r="P22" s="3">
        <v>0.0</v>
      </c>
      <c r="Q22" s="3"/>
      <c r="R22" s="3"/>
      <c r="S22" s="3"/>
      <c r="T22" s="3"/>
      <c r="U22" s="3"/>
      <c r="V22" s="3"/>
      <c r="W22" s="3"/>
      <c r="X22" s="3"/>
      <c r="Y22" s="3"/>
    </row>
    <row r="23" ht="174.0" customHeight="1">
      <c r="A23" s="22" t="s">
        <v>23</v>
      </c>
      <c r="B23" s="23">
        <v>2021.0</v>
      </c>
      <c r="C23" s="23" t="s">
        <v>95</v>
      </c>
      <c r="D23" s="23"/>
      <c r="E23" s="23" t="s">
        <v>68</v>
      </c>
      <c r="F23" s="23" t="s">
        <v>26</v>
      </c>
      <c r="G23" s="23" t="s">
        <v>96</v>
      </c>
      <c r="H23" s="24" t="s">
        <v>97</v>
      </c>
      <c r="I23" s="26" t="s">
        <v>98</v>
      </c>
      <c r="J23" s="3">
        <v>22.0</v>
      </c>
      <c r="K23" s="3">
        <v>0.0</v>
      </c>
      <c r="L23" s="3">
        <v>9.0</v>
      </c>
      <c r="M23" s="3">
        <v>1.0</v>
      </c>
      <c r="N23" s="3">
        <v>0.0</v>
      </c>
      <c r="O23" s="3">
        <v>7.0</v>
      </c>
      <c r="P23" s="3">
        <v>1.0</v>
      </c>
      <c r="Q23" s="3"/>
      <c r="R23" s="3"/>
      <c r="S23" s="3"/>
      <c r="T23" s="3"/>
      <c r="U23" s="3"/>
      <c r="V23" s="3"/>
      <c r="W23" s="3"/>
      <c r="X23" s="3"/>
      <c r="Y23" s="3"/>
    </row>
    <row r="24" ht="183.0" customHeight="1">
      <c r="A24" s="22" t="s">
        <v>85</v>
      </c>
      <c r="B24" s="23">
        <v>2021.0</v>
      </c>
      <c r="C24" s="23" t="s">
        <v>99</v>
      </c>
      <c r="D24" s="23"/>
      <c r="E24" s="23" t="s">
        <v>68</v>
      </c>
      <c r="F24" s="23" t="s">
        <v>26</v>
      </c>
      <c r="G24" s="23" t="s">
        <v>82</v>
      </c>
      <c r="H24" s="24" t="s">
        <v>100</v>
      </c>
      <c r="I24" s="26" t="s">
        <v>101</v>
      </c>
      <c r="J24" s="3">
        <v>17.0</v>
      </c>
      <c r="K24" s="3">
        <v>0.0</v>
      </c>
      <c r="L24" s="3">
        <v>4.0</v>
      </c>
      <c r="M24" s="3">
        <v>0.0</v>
      </c>
      <c r="N24" s="3">
        <v>0.0</v>
      </c>
      <c r="O24" s="3">
        <v>12.0</v>
      </c>
      <c r="P24" s="3">
        <v>1.0</v>
      </c>
      <c r="Q24" s="3"/>
      <c r="R24" s="3"/>
      <c r="S24" s="3"/>
      <c r="T24" s="3"/>
      <c r="U24" s="3"/>
      <c r="V24" s="3"/>
      <c r="W24" s="3"/>
      <c r="X24" s="3"/>
      <c r="Y24" s="3"/>
    </row>
    <row r="25" ht="189.75" customHeight="1">
      <c r="A25" s="22" t="s">
        <v>23</v>
      </c>
      <c r="B25" s="23">
        <v>2022.0</v>
      </c>
      <c r="C25" s="23" t="s">
        <v>102</v>
      </c>
      <c r="D25" s="23" t="s">
        <v>52</v>
      </c>
      <c r="E25" s="23" t="s">
        <v>25</v>
      </c>
      <c r="F25" s="23" t="s">
        <v>26</v>
      </c>
      <c r="G25" s="23" t="s">
        <v>103</v>
      </c>
      <c r="H25" s="24" t="s">
        <v>104</v>
      </c>
      <c r="I25" s="26" t="s">
        <v>105</v>
      </c>
      <c r="J25" s="3">
        <v>19.0</v>
      </c>
      <c r="K25" s="3">
        <v>0.0</v>
      </c>
      <c r="L25" s="3">
        <v>6.0</v>
      </c>
      <c r="M25" s="3">
        <v>2.0</v>
      </c>
      <c r="N25" s="3">
        <v>0.0</v>
      </c>
      <c r="O25" s="3">
        <v>14.0</v>
      </c>
      <c r="P25" s="3">
        <v>0.0</v>
      </c>
      <c r="Q25" s="3"/>
      <c r="R25" s="3"/>
      <c r="S25" s="3"/>
      <c r="T25" s="3"/>
      <c r="U25" s="3"/>
      <c r="V25" s="3"/>
      <c r="W25" s="3"/>
      <c r="X25" s="3"/>
      <c r="Y25" s="3"/>
    </row>
    <row r="26" ht="145.5" customHeight="1">
      <c r="A26" s="22" t="s">
        <v>85</v>
      </c>
      <c r="B26" s="23">
        <v>2022.0</v>
      </c>
      <c r="C26" s="23" t="s">
        <v>106</v>
      </c>
      <c r="D26" s="23"/>
      <c r="E26" s="23" t="s">
        <v>25</v>
      </c>
      <c r="F26" s="23" t="s">
        <v>26</v>
      </c>
      <c r="G26" s="23" t="s">
        <v>103</v>
      </c>
      <c r="H26" s="24" t="s">
        <v>107</v>
      </c>
      <c r="I26" s="26" t="s">
        <v>108</v>
      </c>
      <c r="J26" s="3">
        <v>22.0</v>
      </c>
      <c r="K26" s="3">
        <v>1.0</v>
      </c>
      <c r="L26" s="3">
        <v>13.0</v>
      </c>
      <c r="M26" s="3">
        <v>0.0</v>
      </c>
      <c r="N26" s="3">
        <v>0.0</v>
      </c>
      <c r="O26" s="3">
        <v>18.0</v>
      </c>
      <c r="P26" s="3">
        <v>1.0</v>
      </c>
      <c r="Q26" s="3"/>
      <c r="R26" s="3"/>
      <c r="S26" s="3"/>
      <c r="T26" s="3"/>
      <c r="U26" s="3"/>
      <c r="V26" s="3"/>
      <c r="W26" s="3"/>
      <c r="X26" s="3"/>
      <c r="Y26" s="3"/>
    </row>
    <row r="27" ht="134.25" customHeight="1">
      <c r="A27" s="22" t="s">
        <v>23</v>
      </c>
      <c r="B27" s="23">
        <v>2023.0</v>
      </c>
      <c r="C27" s="23" t="s">
        <v>109</v>
      </c>
      <c r="D27" s="23" t="s">
        <v>52</v>
      </c>
      <c r="E27" s="23" t="s">
        <v>25</v>
      </c>
      <c r="F27" s="23" t="s">
        <v>26</v>
      </c>
      <c r="G27" s="23" t="s">
        <v>27</v>
      </c>
      <c r="H27" s="24" t="s">
        <v>110</v>
      </c>
      <c r="I27" s="26" t="s">
        <v>111</v>
      </c>
      <c r="J27" s="3">
        <v>25.0</v>
      </c>
      <c r="K27" s="3">
        <v>0.0</v>
      </c>
      <c r="L27" s="3">
        <v>5.0</v>
      </c>
      <c r="M27" s="3">
        <v>4.0</v>
      </c>
      <c r="N27" s="3">
        <v>0.0</v>
      </c>
      <c r="O27" s="3">
        <v>13.0</v>
      </c>
      <c r="P27" s="3">
        <v>1.0</v>
      </c>
      <c r="Q27" s="3"/>
      <c r="R27" s="3"/>
      <c r="S27" s="3"/>
      <c r="T27" s="3"/>
      <c r="U27" s="3"/>
      <c r="V27" s="3"/>
      <c r="W27" s="3"/>
      <c r="X27" s="3"/>
      <c r="Y27" s="3"/>
    </row>
    <row r="28" ht="134.25" customHeight="1">
      <c r="A28" s="22" t="s">
        <v>23</v>
      </c>
      <c r="B28" s="23">
        <v>2023.0</v>
      </c>
      <c r="C28" s="23" t="s">
        <v>112</v>
      </c>
      <c r="D28" s="23" t="s">
        <v>52</v>
      </c>
      <c r="E28" s="23" t="s">
        <v>25</v>
      </c>
      <c r="F28" s="23" t="s">
        <v>26</v>
      </c>
      <c r="G28" s="23" t="s">
        <v>48</v>
      </c>
      <c r="H28" s="24" t="s">
        <v>113</v>
      </c>
      <c r="I28" s="26" t="s">
        <v>114</v>
      </c>
      <c r="J28" s="3">
        <v>34.0</v>
      </c>
      <c r="K28" s="3">
        <v>0.0</v>
      </c>
      <c r="L28" s="3">
        <v>8.0</v>
      </c>
      <c r="M28" s="3">
        <v>1.0</v>
      </c>
      <c r="N28" s="3">
        <v>0.0</v>
      </c>
      <c r="O28" s="3">
        <v>27.0</v>
      </c>
      <c r="P28" s="3">
        <v>0.0</v>
      </c>
      <c r="Q28" s="3"/>
      <c r="R28" s="3"/>
      <c r="S28" s="3"/>
      <c r="T28" s="3"/>
      <c r="U28" s="3"/>
      <c r="V28" s="3"/>
      <c r="W28" s="3"/>
      <c r="X28" s="3"/>
      <c r="Y28" s="3"/>
    </row>
    <row r="29" ht="153.0" customHeight="1">
      <c r="A29" s="22" t="s">
        <v>23</v>
      </c>
      <c r="B29" s="23">
        <v>2024.0</v>
      </c>
      <c r="C29" s="23" t="s">
        <v>115</v>
      </c>
      <c r="D29" s="23" t="s">
        <v>52</v>
      </c>
      <c r="E29" s="23" t="s">
        <v>25</v>
      </c>
      <c r="F29" s="23" t="s">
        <v>26</v>
      </c>
      <c r="G29" s="23" t="s">
        <v>27</v>
      </c>
      <c r="H29" s="24" t="s">
        <v>116</v>
      </c>
      <c r="I29" s="26" t="s">
        <v>117</v>
      </c>
      <c r="J29" s="3">
        <v>20.0</v>
      </c>
      <c r="K29" s="3">
        <v>1.0</v>
      </c>
      <c r="L29" s="3">
        <v>6.0</v>
      </c>
      <c r="M29" s="3">
        <v>1.0</v>
      </c>
      <c r="N29" s="3">
        <v>0.0</v>
      </c>
      <c r="O29" s="3">
        <v>14.0</v>
      </c>
      <c r="P29" s="3">
        <v>0.0</v>
      </c>
      <c r="Q29" s="3"/>
      <c r="R29" s="3"/>
      <c r="S29" s="3"/>
      <c r="T29" s="3"/>
      <c r="U29" s="3"/>
      <c r="V29" s="3"/>
      <c r="W29" s="3"/>
      <c r="X29" s="3"/>
      <c r="Y29" s="3"/>
    </row>
    <row r="30" ht="153.0" customHeight="1">
      <c r="A30" s="22" t="s">
        <v>23</v>
      </c>
      <c r="B30" s="29">
        <v>2024.0</v>
      </c>
      <c r="C30" s="29" t="s">
        <v>46</v>
      </c>
      <c r="D30" s="29" t="s">
        <v>47</v>
      </c>
      <c r="E30" s="29" t="s">
        <v>25</v>
      </c>
      <c r="F30" s="29" t="s">
        <v>26</v>
      </c>
      <c r="G30" s="29" t="s">
        <v>118</v>
      </c>
      <c r="H30" s="30" t="s">
        <v>119</v>
      </c>
      <c r="I30" s="31" t="s">
        <v>120</v>
      </c>
      <c r="J30" s="32">
        <v>8.0</v>
      </c>
      <c r="K30" s="32">
        <v>0.0</v>
      </c>
      <c r="L30" s="32">
        <v>0.0</v>
      </c>
      <c r="M30" s="32">
        <v>0.0</v>
      </c>
      <c r="N30" s="32">
        <v>0.0</v>
      </c>
      <c r="O30" s="32">
        <v>5.0</v>
      </c>
      <c r="P30" s="32">
        <v>0.0</v>
      </c>
      <c r="Q30" s="3"/>
      <c r="R30" s="3"/>
      <c r="S30" s="3"/>
      <c r="T30" s="3"/>
      <c r="U30" s="3"/>
      <c r="V30" s="3"/>
      <c r="W30" s="3"/>
      <c r="X30" s="3"/>
      <c r="Y30" s="3"/>
    </row>
    <row r="31" ht="153.0" customHeight="1">
      <c r="A31" s="33" t="s">
        <v>85</v>
      </c>
      <c r="B31" s="29">
        <v>2025.0</v>
      </c>
      <c r="C31" s="29" t="s">
        <v>121</v>
      </c>
      <c r="D31" s="7" t="s">
        <v>122</v>
      </c>
      <c r="E31" s="23" t="s">
        <v>25</v>
      </c>
      <c r="F31" s="23" t="s">
        <v>26</v>
      </c>
      <c r="G31" s="23" t="s">
        <v>123</v>
      </c>
      <c r="H31" s="24" t="s">
        <v>124</v>
      </c>
      <c r="I31" s="26" t="s">
        <v>125</v>
      </c>
      <c r="J31" s="3"/>
      <c r="K31" s="32"/>
      <c r="L31" s="32"/>
      <c r="M31" s="32"/>
      <c r="N31" s="32"/>
      <c r="O31" s="32"/>
      <c r="P31" s="32"/>
      <c r="Q31" s="3"/>
      <c r="R31" s="3"/>
      <c r="S31" s="3"/>
      <c r="T31" s="3"/>
      <c r="U31" s="3"/>
      <c r="V31" s="3"/>
      <c r="W31" s="3"/>
      <c r="X31" s="3"/>
      <c r="Y31" s="3"/>
    </row>
    <row r="32" ht="149.25" customHeight="1">
      <c r="A32" s="33" t="s">
        <v>23</v>
      </c>
      <c r="B32" s="29">
        <v>2025.0</v>
      </c>
      <c r="C32" s="29" t="s">
        <v>45</v>
      </c>
      <c r="D32" s="29" t="s">
        <v>52</v>
      </c>
      <c r="E32" s="29" t="s">
        <v>25</v>
      </c>
      <c r="F32" s="29" t="s">
        <v>26</v>
      </c>
      <c r="G32" s="29" t="s">
        <v>126</v>
      </c>
      <c r="H32" s="30" t="s">
        <v>127</v>
      </c>
      <c r="I32" s="31" t="s">
        <v>128</v>
      </c>
      <c r="J32" s="32">
        <v>19.0</v>
      </c>
      <c r="K32" s="32">
        <v>1.0</v>
      </c>
      <c r="L32" s="32">
        <v>11.0</v>
      </c>
      <c r="M32" s="32">
        <v>0.0</v>
      </c>
      <c r="N32" s="32">
        <v>0.0</v>
      </c>
      <c r="O32" s="32">
        <v>11.0</v>
      </c>
      <c r="P32" s="32">
        <v>0.0</v>
      </c>
      <c r="Q32" s="32"/>
      <c r="R32" s="32"/>
      <c r="S32" s="32"/>
      <c r="T32" s="32"/>
      <c r="U32" s="32"/>
      <c r="V32" s="32"/>
      <c r="W32" s="32"/>
      <c r="X32" s="32"/>
      <c r="Y32" s="32"/>
    </row>
    <row r="33" ht="149.25" customHeight="1">
      <c r="A33" s="34"/>
      <c r="B33" s="35"/>
      <c r="C33" s="35"/>
      <c r="D33" s="35"/>
      <c r="E33" s="35" t="s">
        <v>129</v>
      </c>
      <c r="F33" s="35"/>
      <c r="G33" s="35"/>
      <c r="H33" s="36"/>
      <c r="I33" s="37"/>
      <c r="J33" s="38">
        <f t="shared" ref="J33:P33" si="1">SUM(J4:J32)</f>
        <v>412</v>
      </c>
      <c r="K33" s="38">
        <f t="shared" si="1"/>
        <v>7</v>
      </c>
      <c r="L33" s="38">
        <f t="shared" si="1"/>
        <v>203</v>
      </c>
      <c r="M33" s="38">
        <f t="shared" si="1"/>
        <v>13</v>
      </c>
      <c r="N33" s="38">
        <f t="shared" si="1"/>
        <v>0</v>
      </c>
      <c r="O33" s="38">
        <f t="shared" si="1"/>
        <v>340</v>
      </c>
      <c r="P33" s="38">
        <f t="shared" si="1"/>
        <v>9</v>
      </c>
      <c r="Q33" s="38"/>
      <c r="R33" s="38"/>
      <c r="S33" s="38"/>
      <c r="T33" s="38"/>
      <c r="U33" s="38"/>
      <c r="V33" s="38"/>
      <c r="W33" s="38"/>
      <c r="X33" s="38"/>
      <c r="Y33" s="38"/>
    </row>
    <row r="34" ht="136.5" customHeight="1">
      <c r="A34" s="39" t="s">
        <v>130</v>
      </c>
      <c r="B34" s="17">
        <v>2014.0</v>
      </c>
      <c r="C34" s="17" t="s">
        <v>24</v>
      </c>
      <c r="D34" s="17"/>
      <c r="E34" s="17" t="s">
        <v>131</v>
      </c>
      <c r="F34" s="17" t="s">
        <v>26</v>
      </c>
      <c r="G34" s="17" t="s">
        <v>27</v>
      </c>
      <c r="H34" s="40" t="s">
        <v>132</v>
      </c>
      <c r="I34" s="41" t="s">
        <v>133</v>
      </c>
      <c r="J34" s="17">
        <v>3.0</v>
      </c>
      <c r="K34" s="17">
        <v>1.0</v>
      </c>
      <c r="L34" s="20">
        <v>1.0</v>
      </c>
      <c r="M34" s="21">
        <v>1.0</v>
      </c>
      <c r="N34" s="20">
        <v>0.0</v>
      </c>
      <c r="O34" s="20">
        <v>3.0</v>
      </c>
      <c r="P34" s="20">
        <v>0.0</v>
      </c>
      <c r="Q34" s="42"/>
      <c r="R34" s="42"/>
      <c r="S34" s="42"/>
      <c r="T34" s="42"/>
      <c r="U34" s="42"/>
      <c r="V34" s="42"/>
      <c r="W34" s="42"/>
      <c r="X34" s="42"/>
      <c r="Y34" s="42"/>
    </row>
    <row r="35" ht="136.5" customHeight="1">
      <c r="A35" s="23" t="s">
        <v>130</v>
      </c>
      <c r="B35" s="23">
        <v>2014.0</v>
      </c>
      <c r="C35" s="23" t="s">
        <v>30</v>
      </c>
      <c r="D35" s="23"/>
      <c r="E35" s="23" t="s">
        <v>131</v>
      </c>
      <c r="F35" s="23" t="s">
        <v>26</v>
      </c>
      <c r="G35" s="23" t="s">
        <v>31</v>
      </c>
      <c r="H35" s="24" t="s">
        <v>134</v>
      </c>
      <c r="I35" s="25" t="s">
        <v>135</v>
      </c>
      <c r="J35" s="23">
        <v>5.0</v>
      </c>
      <c r="K35" s="20">
        <v>0.0</v>
      </c>
      <c r="L35" s="20">
        <v>1.0</v>
      </c>
      <c r="M35" s="21">
        <v>0.0</v>
      </c>
      <c r="N35" s="20">
        <v>0.0</v>
      </c>
      <c r="O35" s="20">
        <v>2.0</v>
      </c>
      <c r="P35" s="20">
        <v>0.0</v>
      </c>
      <c r="Q35" s="3"/>
      <c r="R35" s="3"/>
      <c r="S35" s="3"/>
      <c r="T35" s="3"/>
      <c r="U35" s="3"/>
      <c r="V35" s="3"/>
      <c r="W35" s="3"/>
      <c r="X35" s="3"/>
      <c r="Y35" s="3"/>
    </row>
    <row r="36" ht="174.0" customHeight="1">
      <c r="A36" s="23" t="s">
        <v>130</v>
      </c>
      <c r="B36" s="23">
        <v>2014.0</v>
      </c>
      <c r="C36" s="23" t="s">
        <v>34</v>
      </c>
      <c r="D36" s="23"/>
      <c r="E36" s="23" t="s">
        <v>131</v>
      </c>
      <c r="F36" s="23" t="s">
        <v>26</v>
      </c>
      <c r="G36" s="23" t="s">
        <v>35</v>
      </c>
      <c r="H36" s="24" t="s">
        <v>136</v>
      </c>
      <c r="I36" s="25" t="s">
        <v>137</v>
      </c>
      <c r="J36" s="23">
        <v>4.0</v>
      </c>
      <c r="K36" s="17">
        <v>0.0</v>
      </c>
      <c r="L36" s="17">
        <v>3.0</v>
      </c>
      <c r="M36" s="43">
        <v>0.0</v>
      </c>
      <c r="N36" s="23">
        <v>0.0</v>
      </c>
      <c r="O36" s="23">
        <v>18.0</v>
      </c>
      <c r="P36" s="23">
        <v>2.0</v>
      </c>
      <c r="Q36" s="32"/>
      <c r="R36" s="32"/>
      <c r="S36" s="32"/>
      <c r="T36" s="32"/>
      <c r="U36" s="32"/>
      <c r="V36" s="32"/>
      <c r="W36" s="32"/>
      <c r="X36" s="32"/>
      <c r="Y36" s="32"/>
    </row>
    <row r="37" ht="174.0" customHeight="1">
      <c r="A37" s="23"/>
      <c r="B37" s="23"/>
      <c r="C37" s="23"/>
      <c r="D37" s="20"/>
      <c r="E37" s="20"/>
      <c r="F37" s="17"/>
      <c r="G37" s="17"/>
      <c r="H37" s="18"/>
      <c r="I37" s="25"/>
      <c r="J37" s="23"/>
      <c r="K37" s="17"/>
      <c r="L37" s="17"/>
      <c r="M37" s="43"/>
      <c r="N37" s="23"/>
      <c r="O37" s="23"/>
      <c r="P37" s="23"/>
      <c r="Q37" s="32"/>
      <c r="R37" s="32"/>
      <c r="S37" s="32"/>
      <c r="T37" s="32"/>
      <c r="U37" s="32"/>
      <c r="V37" s="32"/>
      <c r="W37" s="32"/>
      <c r="X37" s="32"/>
      <c r="Y37" s="32"/>
    </row>
    <row r="38" ht="252.0" customHeight="1">
      <c r="A38" s="23" t="s">
        <v>130</v>
      </c>
      <c r="B38" s="23">
        <v>2015.0</v>
      </c>
      <c r="C38" s="23" t="s">
        <v>115</v>
      </c>
      <c r="D38" s="20"/>
      <c r="E38" s="20" t="s">
        <v>131</v>
      </c>
      <c r="F38" s="17" t="s">
        <v>26</v>
      </c>
      <c r="G38" s="17" t="s">
        <v>138</v>
      </c>
      <c r="H38" s="18" t="s">
        <v>139</v>
      </c>
      <c r="I38" s="26" t="s">
        <v>40</v>
      </c>
      <c r="J38" s="23">
        <v>4.0</v>
      </c>
      <c r="K38" s="23">
        <v>1.0</v>
      </c>
      <c r="L38" s="23">
        <v>1.0</v>
      </c>
      <c r="M38" s="44">
        <v>0.0</v>
      </c>
      <c r="N38" s="23">
        <v>0.0</v>
      </c>
      <c r="O38" s="23">
        <v>9.0</v>
      </c>
      <c r="P38" s="23">
        <v>0.0</v>
      </c>
      <c r="Q38" s="32"/>
      <c r="R38" s="32"/>
      <c r="S38" s="32"/>
      <c r="T38" s="32"/>
      <c r="U38" s="32"/>
      <c r="V38" s="32"/>
      <c r="W38" s="32"/>
      <c r="X38" s="32"/>
      <c r="Y38" s="32"/>
    </row>
    <row r="39" ht="14.25" customHeight="1">
      <c r="A39" s="23" t="s">
        <v>130</v>
      </c>
      <c r="B39" s="23">
        <v>2015.0</v>
      </c>
      <c r="C39" s="23" t="s">
        <v>41</v>
      </c>
      <c r="D39" s="23"/>
      <c r="E39" s="23" t="s">
        <v>131</v>
      </c>
      <c r="F39" s="23" t="s">
        <v>26</v>
      </c>
      <c r="G39" s="23" t="s">
        <v>53</v>
      </c>
      <c r="H39" s="24" t="s">
        <v>140</v>
      </c>
      <c r="I39" s="1" t="s">
        <v>141</v>
      </c>
      <c r="J39" s="23">
        <v>2.0</v>
      </c>
      <c r="K39" s="23">
        <v>0.0</v>
      </c>
      <c r="L39" s="23">
        <v>3.0</v>
      </c>
      <c r="M39" s="44">
        <v>0.0</v>
      </c>
      <c r="N39" s="23">
        <v>0.0</v>
      </c>
      <c r="O39" s="23">
        <v>3.0</v>
      </c>
      <c r="P39" s="23">
        <v>0.0</v>
      </c>
      <c r="Q39" s="32"/>
      <c r="R39" s="32"/>
      <c r="S39" s="32"/>
      <c r="T39" s="32"/>
      <c r="U39" s="32"/>
      <c r="V39" s="32"/>
      <c r="W39" s="32"/>
      <c r="X39" s="32"/>
      <c r="Y39" s="32"/>
    </row>
    <row r="40" ht="121.5" customHeight="1">
      <c r="A40" s="23" t="s">
        <v>130</v>
      </c>
      <c r="B40" s="23">
        <v>2015.0</v>
      </c>
      <c r="C40" s="23" t="s">
        <v>45</v>
      </c>
      <c r="D40" s="23" t="s">
        <v>142</v>
      </c>
      <c r="E40" s="23" t="s">
        <v>131</v>
      </c>
      <c r="F40" s="23" t="s">
        <v>26</v>
      </c>
      <c r="G40" s="23" t="s">
        <v>27</v>
      </c>
      <c r="H40" s="24" t="s">
        <v>143</v>
      </c>
      <c r="I40" s="25" t="s">
        <v>144</v>
      </c>
      <c r="J40" s="3">
        <v>0.0</v>
      </c>
      <c r="K40" s="3">
        <v>0.0</v>
      </c>
      <c r="L40" s="3">
        <v>1.0</v>
      </c>
      <c r="M40" s="3">
        <v>0.0</v>
      </c>
      <c r="N40" s="3">
        <v>0.0</v>
      </c>
      <c r="O40" s="3">
        <v>2.0</v>
      </c>
      <c r="P40" s="3">
        <v>0.0</v>
      </c>
      <c r="Q40" s="3"/>
      <c r="R40" s="3"/>
      <c r="S40" s="3"/>
      <c r="T40" s="3"/>
      <c r="U40" s="3"/>
      <c r="V40" s="3"/>
      <c r="W40" s="3"/>
      <c r="X40" s="3"/>
      <c r="Y40" s="3"/>
    </row>
    <row r="41" ht="121.5" customHeight="1">
      <c r="A41" s="23"/>
      <c r="B41" s="23"/>
      <c r="C41" s="23"/>
      <c r="D41" s="23"/>
      <c r="E41" s="23"/>
      <c r="F41" s="23"/>
      <c r="G41" s="23"/>
      <c r="H41" s="24"/>
      <c r="I41" s="25"/>
      <c r="J41" s="3"/>
      <c r="K41" s="3"/>
      <c r="L41" s="3"/>
      <c r="M41" s="3"/>
      <c r="N41" s="3"/>
      <c r="O41" s="3"/>
      <c r="P41" s="3"/>
      <c r="Q41" s="3"/>
      <c r="R41" s="3"/>
      <c r="S41" s="3"/>
      <c r="T41" s="3"/>
      <c r="U41" s="3"/>
      <c r="V41" s="3"/>
      <c r="W41" s="3"/>
      <c r="X41" s="3"/>
      <c r="Y41" s="3"/>
    </row>
    <row r="42" ht="121.5" customHeight="1">
      <c r="A42" s="23" t="s">
        <v>130</v>
      </c>
      <c r="B42" s="23">
        <v>2016.0</v>
      </c>
      <c r="C42" s="23" t="s">
        <v>46</v>
      </c>
      <c r="D42" s="23"/>
      <c r="E42" s="23"/>
      <c r="F42" s="23" t="s">
        <v>26</v>
      </c>
      <c r="G42" s="23"/>
      <c r="H42" s="45" t="s">
        <v>145</v>
      </c>
      <c r="I42" s="45" t="s">
        <v>145</v>
      </c>
      <c r="J42" s="3"/>
      <c r="K42" s="3"/>
      <c r="L42" s="3"/>
      <c r="M42" s="3"/>
      <c r="N42" s="3"/>
      <c r="O42" s="3"/>
      <c r="P42" s="3"/>
      <c r="Q42" s="3"/>
      <c r="R42" s="3"/>
      <c r="S42" s="3"/>
      <c r="T42" s="3"/>
      <c r="U42" s="3"/>
      <c r="V42" s="3"/>
      <c r="W42" s="3"/>
      <c r="X42" s="3"/>
      <c r="Y42" s="3"/>
    </row>
    <row r="43" ht="139.5" customHeight="1">
      <c r="A43" s="22" t="s">
        <v>130</v>
      </c>
      <c r="B43" s="23">
        <v>2016.0</v>
      </c>
      <c r="C43" s="23" t="s">
        <v>51</v>
      </c>
      <c r="D43" s="23" t="s">
        <v>52</v>
      </c>
      <c r="E43" s="23" t="s">
        <v>131</v>
      </c>
      <c r="F43" s="23" t="s">
        <v>26</v>
      </c>
      <c r="G43" s="23" t="s">
        <v>53</v>
      </c>
      <c r="H43" s="24" t="s">
        <v>146</v>
      </c>
      <c r="I43" s="26" t="s">
        <v>147</v>
      </c>
      <c r="J43" s="3">
        <v>4.0</v>
      </c>
      <c r="K43" s="3">
        <v>0.0</v>
      </c>
      <c r="L43" s="3">
        <v>6.0</v>
      </c>
      <c r="M43" s="3">
        <v>0.0</v>
      </c>
      <c r="N43" s="3">
        <v>0.0</v>
      </c>
      <c r="O43" s="3">
        <v>5.0</v>
      </c>
      <c r="P43" s="3">
        <v>0.0</v>
      </c>
      <c r="Q43" s="3"/>
      <c r="R43" s="3"/>
      <c r="S43" s="3"/>
      <c r="T43" s="3"/>
      <c r="U43" s="3"/>
      <c r="V43" s="3"/>
      <c r="W43" s="3"/>
      <c r="X43" s="3"/>
      <c r="Y43" s="3"/>
    </row>
    <row r="44" ht="139.5" customHeight="1">
      <c r="A44" s="22" t="s">
        <v>130</v>
      </c>
      <c r="B44" s="23">
        <v>2017.0</v>
      </c>
      <c r="C44" s="23" t="s">
        <v>148</v>
      </c>
      <c r="D44" s="23"/>
      <c r="E44" s="23" t="s">
        <v>131</v>
      </c>
      <c r="F44" s="23" t="s">
        <v>26</v>
      </c>
      <c r="G44" s="23" t="s">
        <v>103</v>
      </c>
      <c r="H44" s="24" t="s">
        <v>149</v>
      </c>
      <c r="I44" s="26" t="s">
        <v>59</v>
      </c>
      <c r="J44" s="3">
        <v>4.0</v>
      </c>
      <c r="K44" s="3">
        <v>0.0</v>
      </c>
      <c r="L44" s="3">
        <v>6.0</v>
      </c>
      <c r="M44" s="3">
        <v>0.0</v>
      </c>
      <c r="N44" s="3">
        <v>0.0</v>
      </c>
      <c r="O44" s="3">
        <v>5.0</v>
      </c>
      <c r="P44" s="3">
        <v>0.0</v>
      </c>
      <c r="Q44" s="3"/>
      <c r="R44" s="3"/>
      <c r="S44" s="3"/>
      <c r="T44" s="3"/>
      <c r="U44" s="3"/>
      <c r="V44" s="3"/>
      <c r="W44" s="3"/>
      <c r="X44" s="3"/>
      <c r="Y44" s="3"/>
    </row>
    <row r="45" ht="14.25" customHeight="1">
      <c r="A45" s="22" t="s">
        <v>130</v>
      </c>
      <c r="B45" s="23">
        <v>2017.0</v>
      </c>
      <c r="C45" s="23" t="s">
        <v>60</v>
      </c>
      <c r="D45" s="23" t="s">
        <v>150</v>
      </c>
      <c r="E45" s="23" t="s">
        <v>131</v>
      </c>
      <c r="F45" s="23" t="s">
        <v>26</v>
      </c>
      <c r="G45" s="23" t="s">
        <v>61</v>
      </c>
      <c r="H45" s="24" t="s">
        <v>151</v>
      </c>
      <c r="I45" s="26" t="s">
        <v>63</v>
      </c>
      <c r="J45" s="3"/>
      <c r="K45" s="3"/>
      <c r="L45" s="3"/>
      <c r="M45" s="3"/>
      <c r="N45" s="3"/>
      <c r="O45" s="3"/>
      <c r="P45" s="3"/>
      <c r="Q45" s="3"/>
      <c r="R45" s="3"/>
      <c r="S45" s="3"/>
      <c r="T45" s="3"/>
      <c r="U45" s="3"/>
      <c r="V45" s="3"/>
      <c r="W45" s="3"/>
      <c r="X45" s="3"/>
      <c r="Y45" s="3"/>
    </row>
    <row r="46" ht="108.0" customHeight="1">
      <c r="A46" s="22" t="s">
        <v>130</v>
      </c>
      <c r="B46" s="23">
        <v>2018.0</v>
      </c>
      <c r="C46" s="23" t="s">
        <v>67</v>
      </c>
      <c r="D46" s="23"/>
      <c r="E46" s="23" t="s">
        <v>131</v>
      </c>
      <c r="F46" s="23" t="s">
        <v>26</v>
      </c>
      <c r="G46" s="23" t="s">
        <v>48</v>
      </c>
      <c r="H46" s="24" t="s">
        <v>152</v>
      </c>
      <c r="I46" s="26" t="s">
        <v>70</v>
      </c>
      <c r="J46" s="3">
        <v>5.0</v>
      </c>
      <c r="K46" s="3">
        <v>0.0</v>
      </c>
      <c r="L46" s="3">
        <v>2.0</v>
      </c>
      <c r="M46" s="3">
        <v>0.0</v>
      </c>
      <c r="N46" s="3">
        <v>0.0</v>
      </c>
      <c r="O46" s="3">
        <v>16.0</v>
      </c>
      <c r="P46" s="3">
        <v>1.0</v>
      </c>
      <c r="Q46" s="3"/>
      <c r="R46" s="3"/>
      <c r="S46" s="3"/>
      <c r="T46" s="3"/>
      <c r="U46" s="3"/>
      <c r="V46" s="3"/>
      <c r="W46" s="3"/>
      <c r="X46" s="3"/>
      <c r="Y46" s="3"/>
    </row>
    <row r="47" ht="142.5" customHeight="1">
      <c r="A47" s="22" t="s">
        <v>130</v>
      </c>
      <c r="B47" s="23">
        <v>2018.0</v>
      </c>
      <c r="C47" s="23" t="s">
        <v>153</v>
      </c>
      <c r="D47" s="23" t="s">
        <v>52</v>
      </c>
      <c r="E47" s="23" t="s">
        <v>131</v>
      </c>
      <c r="F47" s="23" t="s">
        <v>26</v>
      </c>
      <c r="G47" s="23" t="s">
        <v>61</v>
      </c>
      <c r="H47" s="24" t="s">
        <v>154</v>
      </c>
      <c r="I47" s="26" t="s">
        <v>66</v>
      </c>
      <c r="J47" s="3">
        <v>4.0</v>
      </c>
      <c r="K47" s="3">
        <v>0.0</v>
      </c>
      <c r="L47" s="3">
        <v>1.0</v>
      </c>
      <c r="M47" s="3">
        <v>0.0</v>
      </c>
      <c r="N47" s="3">
        <v>0.0</v>
      </c>
      <c r="O47" s="3">
        <v>22.0</v>
      </c>
      <c r="P47" s="3">
        <v>0.0</v>
      </c>
      <c r="Q47" s="3"/>
      <c r="R47" s="3"/>
      <c r="S47" s="3"/>
      <c r="T47" s="3"/>
      <c r="U47" s="3"/>
      <c r="V47" s="3"/>
      <c r="W47" s="3"/>
      <c r="X47" s="3"/>
      <c r="Y47" s="3"/>
    </row>
    <row r="48" ht="183.0" customHeight="1">
      <c r="A48" s="22" t="s">
        <v>130</v>
      </c>
      <c r="B48" s="23">
        <v>2019.0</v>
      </c>
      <c r="C48" s="23" t="s">
        <v>71</v>
      </c>
      <c r="D48" s="23"/>
      <c r="E48" s="23" t="s">
        <v>131</v>
      </c>
      <c r="F48" s="23" t="s">
        <v>26</v>
      </c>
      <c r="G48" s="23" t="s">
        <v>72</v>
      </c>
      <c r="H48" s="24" t="s">
        <v>155</v>
      </c>
      <c r="I48" s="25" t="s">
        <v>156</v>
      </c>
      <c r="J48" s="3">
        <v>7.0</v>
      </c>
      <c r="K48" s="3">
        <v>0.0</v>
      </c>
      <c r="L48" s="3">
        <v>5.0</v>
      </c>
      <c r="M48" s="3">
        <v>0.0</v>
      </c>
      <c r="N48" s="3">
        <v>0.0</v>
      </c>
      <c r="O48" s="3">
        <v>5.0</v>
      </c>
      <c r="P48" s="3">
        <v>0.0</v>
      </c>
      <c r="Q48" s="3"/>
      <c r="R48" s="3"/>
      <c r="S48" s="3"/>
      <c r="T48" s="3"/>
      <c r="U48" s="3"/>
      <c r="V48" s="3"/>
      <c r="W48" s="3"/>
      <c r="X48" s="3"/>
      <c r="Y48" s="3"/>
    </row>
    <row r="49" ht="154.5" customHeight="1">
      <c r="A49" s="22" t="s">
        <v>130</v>
      </c>
      <c r="B49" s="23">
        <v>2019.0</v>
      </c>
      <c r="C49" s="23" t="s">
        <v>75</v>
      </c>
      <c r="D49" s="23"/>
      <c r="E49" s="23" t="s">
        <v>131</v>
      </c>
      <c r="F49" s="23" t="s">
        <v>26</v>
      </c>
      <c r="G49" s="23" t="s">
        <v>76</v>
      </c>
      <c r="H49" s="24" t="s">
        <v>157</v>
      </c>
      <c r="I49" s="26" t="s">
        <v>158</v>
      </c>
      <c r="J49" s="3">
        <v>10.0</v>
      </c>
      <c r="K49" s="3">
        <v>0.0</v>
      </c>
      <c r="L49" s="3">
        <v>8.0</v>
      </c>
      <c r="M49" s="3">
        <v>0.0</v>
      </c>
      <c r="N49" s="3">
        <v>0.0</v>
      </c>
      <c r="O49" s="3">
        <v>15.0</v>
      </c>
      <c r="P49" s="3">
        <v>1.0</v>
      </c>
      <c r="Q49" s="3"/>
      <c r="R49" s="3"/>
      <c r="S49" s="3"/>
      <c r="T49" s="3"/>
      <c r="U49" s="3"/>
      <c r="V49" s="3"/>
      <c r="W49" s="3"/>
      <c r="X49" s="3"/>
      <c r="Y49" s="3"/>
    </row>
    <row r="50" ht="14.25" customHeight="1">
      <c r="A50" s="22" t="s">
        <v>159</v>
      </c>
      <c r="B50" s="23">
        <v>2019.0</v>
      </c>
      <c r="C50" s="23" t="s">
        <v>160</v>
      </c>
      <c r="D50" s="23" t="s">
        <v>161</v>
      </c>
      <c r="E50" s="23" t="s">
        <v>131</v>
      </c>
      <c r="F50" s="23" t="s">
        <v>26</v>
      </c>
      <c r="G50" s="23" t="s">
        <v>126</v>
      </c>
      <c r="H50" s="24" t="s">
        <v>162</v>
      </c>
      <c r="I50" s="26" t="s">
        <v>163</v>
      </c>
      <c r="J50" s="3">
        <v>1.0</v>
      </c>
      <c r="K50" s="3"/>
      <c r="L50" s="3"/>
      <c r="M50" s="3"/>
      <c r="N50" s="3"/>
      <c r="O50" s="3"/>
      <c r="P50" s="3"/>
      <c r="Q50" s="3"/>
      <c r="R50" s="3"/>
      <c r="S50" s="3"/>
      <c r="T50" s="3"/>
      <c r="U50" s="3"/>
      <c r="V50" s="3"/>
      <c r="W50" s="3"/>
      <c r="X50" s="3"/>
      <c r="Y50" s="3"/>
    </row>
    <row r="51" ht="194.25" customHeight="1">
      <c r="A51" s="22" t="s">
        <v>130</v>
      </c>
      <c r="B51" s="23">
        <v>2020.0</v>
      </c>
      <c r="C51" s="23" t="s">
        <v>86</v>
      </c>
      <c r="D51" s="23"/>
      <c r="E51" s="23" t="s">
        <v>131</v>
      </c>
      <c r="F51" s="23" t="s">
        <v>26</v>
      </c>
      <c r="G51" s="23" t="s">
        <v>96</v>
      </c>
      <c r="H51" s="24" t="s">
        <v>164</v>
      </c>
      <c r="I51" s="26" t="s">
        <v>88</v>
      </c>
      <c r="J51" s="3">
        <v>8.0</v>
      </c>
      <c r="K51" s="3">
        <v>1.0</v>
      </c>
      <c r="L51" s="3">
        <v>0.0</v>
      </c>
      <c r="M51" s="3">
        <v>0.0</v>
      </c>
      <c r="N51" s="3">
        <v>0.0</v>
      </c>
      <c r="O51" s="3">
        <v>21.0</v>
      </c>
      <c r="P51" s="3">
        <v>0.0</v>
      </c>
      <c r="Q51" s="3"/>
      <c r="R51" s="3"/>
      <c r="S51" s="3"/>
      <c r="T51" s="3"/>
      <c r="U51" s="3"/>
      <c r="V51" s="3"/>
      <c r="W51" s="3"/>
      <c r="X51" s="3"/>
      <c r="Y51" s="3"/>
    </row>
    <row r="52" ht="165.0" customHeight="1">
      <c r="A52" s="22" t="s">
        <v>130</v>
      </c>
      <c r="B52" s="23">
        <v>2020.0</v>
      </c>
      <c r="C52" s="23" t="s">
        <v>89</v>
      </c>
      <c r="D52" s="23"/>
      <c r="E52" s="23" t="s">
        <v>131</v>
      </c>
      <c r="F52" s="23" t="s">
        <v>26</v>
      </c>
      <c r="G52" s="23" t="s">
        <v>82</v>
      </c>
      <c r="H52" s="24" t="s">
        <v>165</v>
      </c>
      <c r="I52" s="25" t="s">
        <v>166</v>
      </c>
      <c r="J52" s="3">
        <v>10.0</v>
      </c>
      <c r="K52" s="3">
        <v>0.0</v>
      </c>
      <c r="L52" s="3">
        <v>5.0</v>
      </c>
      <c r="M52" s="3">
        <v>1.0</v>
      </c>
      <c r="N52" s="3">
        <v>0.0</v>
      </c>
      <c r="O52" s="3">
        <v>24.0</v>
      </c>
      <c r="P52" s="3">
        <v>0.0</v>
      </c>
      <c r="Q52" s="3"/>
      <c r="R52" s="3"/>
      <c r="S52" s="3"/>
      <c r="T52" s="3"/>
      <c r="U52" s="3"/>
      <c r="V52" s="3"/>
      <c r="W52" s="3"/>
      <c r="X52" s="3"/>
      <c r="Y52" s="3"/>
    </row>
    <row r="53" ht="183.0" customHeight="1">
      <c r="A53" s="22" t="s">
        <v>130</v>
      </c>
      <c r="B53" s="23">
        <v>2021.0</v>
      </c>
      <c r="C53" s="23" t="s">
        <v>99</v>
      </c>
      <c r="D53" s="23"/>
      <c r="E53" s="23" t="s">
        <v>68</v>
      </c>
      <c r="F53" s="23" t="s">
        <v>26</v>
      </c>
      <c r="G53" s="23" t="s">
        <v>82</v>
      </c>
      <c r="H53" s="24" t="s">
        <v>167</v>
      </c>
      <c r="I53" s="26" t="s">
        <v>168</v>
      </c>
      <c r="J53" s="3">
        <v>9.0</v>
      </c>
      <c r="K53" s="3">
        <v>0.0</v>
      </c>
      <c r="L53" s="3">
        <v>4.0</v>
      </c>
      <c r="M53" s="3">
        <v>1.0</v>
      </c>
      <c r="N53" s="3">
        <v>0.0</v>
      </c>
      <c r="O53" s="3">
        <v>6.0</v>
      </c>
      <c r="P53" s="3">
        <v>0.0</v>
      </c>
      <c r="Q53" s="3"/>
      <c r="R53" s="3"/>
      <c r="S53" s="3"/>
      <c r="T53" s="3"/>
      <c r="U53" s="3"/>
      <c r="V53" s="3"/>
      <c r="W53" s="3"/>
      <c r="X53" s="3"/>
      <c r="Y53" s="3"/>
    </row>
    <row r="54" ht="147.0" customHeight="1">
      <c r="A54" s="22" t="s">
        <v>130</v>
      </c>
      <c r="B54" s="23">
        <v>2021.0</v>
      </c>
      <c r="C54" s="23" t="s">
        <v>169</v>
      </c>
      <c r="D54" s="23"/>
      <c r="E54" s="23" t="s">
        <v>131</v>
      </c>
      <c r="F54" s="23" t="s">
        <v>26</v>
      </c>
      <c r="G54" s="23" t="s">
        <v>82</v>
      </c>
      <c r="H54" s="24" t="s">
        <v>170</v>
      </c>
      <c r="I54" s="25" t="s">
        <v>171</v>
      </c>
      <c r="J54" s="3">
        <v>2.0</v>
      </c>
      <c r="K54" s="3">
        <v>2.0</v>
      </c>
      <c r="L54" s="3">
        <v>3.0</v>
      </c>
      <c r="M54" s="3">
        <v>0.0</v>
      </c>
      <c r="N54" s="3">
        <v>0.0</v>
      </c>
      <c r="O54" s="3">
        <v>7.0</v>
      </c>
      <c r="P54" s="3">
        <v>0.0</v>
      </c>
      <c r="Q54" s="3"/>
      <c r="R54" s="3"/>
      <c r="S54" s="3"/>
      <c r="T54" s="3"/>
      <c r="U54" s="3"/>
      <c r="V54" s="3"/>
      <c r="W54" s="3"/>
      <c r="X54" s="3"/>
      <c r="Y54" s="3"/>
    </row>
    <row r="55" ht="147.0" customHeight="1">
      <c r="A55" s="22" t="s">
        <v>130</v>
      </c>
      <c r="B55" s="23">
        <v>2021.0</v>
      </c>
      <c r="C55" s="23" t="s">
        <v>95</v>
      </c>
      <c r="D55" s="23"/>
      <c r="E55" s="23" t="s">
        <v>131</v>
      </c>
      <c r="F55" s="23" t="s">
        <v>26</v>
      </c>
      <c r="G55" s="23" t="s">
        <v>82</v>
      </c>
      <c r="H55" s="24" t="s">
        <v>172</v>
      </c>
      <c r="I55" s="26" t="s">
        <v>173</v>
      </c>
      <c r="J55" s="3">
        <v>5.0</v>
      </c>
      <c r="K55" s="3">
        <v>4.0</v>
      </c>
      <c r="L55" s="3">
        <v>3.0</v>
      </c>
      <c r="M55" s="3">
        <v>0.0</v>
      </c>
      <c r="N55" s="3">
        <v>0.0</v>
      </c>
      <c r="O55" s="3">
        <v>8.0</v>
      </c>
      <c r="P55" s="3">
        <v>0.0</v>
      </c>
      <c r="Q55" s="3"/>
      <c r="R55" s="3"/>
      <c r="S55" s="3"/>
      <c r="T55" s="3"/>
      <c r="U55" s="3"/>
      <c r="V55" s="3"/>
      <c r="W55" s="3"/>
      <c r="X55" s="3"/>
      <c r="Y55" s="3"/>
    </row>
    <row r="56" ht="189.0" customHeight="1">
      <c r="A56" s="22" t="s">
        <v>130</v>
      </c>
      <c r="B56" s="23">
        <v>2022.0</v>
      </c>
      <c r="C56" s="23" t="s">
        <v>106</v>
      </c>
      <c r="D56" s="23"/>
      <c r="E56" s="23" t="s">
        <v>131</v>
      </c>
      <c r="F56" s="23" t="s">
        <v>26</v>
      </c>
      <c r="G56" s="23" t="s">
        <v>82</v>
      </c>
      <c r="H56" s="24" t="s">
        <v>174</v>
      </c>
      <c r="I56" s="26" t="s">
        <v>175</v>
      </c>
      <c r="J56" s="3">
        <v>3.0</v>
      </c>
      <c r="K56" s="3">
        <v>1.0</v>
      </c>
      <c r="L56" s="3">
        <v>3.0</v>
      </c>
      <c r="M56" s="3">
        <v>1.0</v>
      </c>
      <c r="N56" s="3">
        <v>0.0</v>
      </c>
      <c r="O56" s="3">
        <v>5.0</v>
      </c>
      <c r="P56" s="3">
        <v>0.0</v>
      </c>
      <c r="Q56" s="3"/>
      <c r="R56" s="3"/>
      <c r="S56" s="3"/>
      <c r="T56" s="3"/>
      <c r="U56" s="3"/>
      <c r="V56" s="3"/>
      <c r="W56" s="3"/>
      <c r="X56" s="3"/>
      <c r="Y56" s="3"/>
    </row>
    <row r="57" ht="141.0" customHeight="1">
      <c r="A57" s="22" t="s">
        <v>130</v>
      </c>
      <c r="B57" s="23">
        <v>2022.0</v>
      </c>
      <c r="C57" s="23" t="s">
        <v>102</v>
      </c>
      <c r="D57" s="23" t="s">
        <v>52</v>
      </c>
      <c r="E57" s="23" t="s">
        <v>131</v>
      </c>
      <c r="F57" s="23" t="s">
        <v>26</v>
      </c>
      <c r="G57" s="23" t="s">
        <v>103</v>
      </c>
      <c r="H57" s="24" t="s">
        <v>176</v>
      </c>
      <c r="I57" s="26" t="s">
        <v>177</v>
      </c>
      <c r="J57" s="3">
        <v>4.0</v>
      </c>
      <c r="K57" s="3">
        <v>0.0</v>
      </c>
      <c r="L57" s="3">
        <v>5.0</v>
      </c>
      <c r="M57" s="3">
        <v>1.0</v>
      </c>
      <c r="N57" s="3">
        <v>0.0</v>
      </c>
      <c r="O57" s="3">
        <v>11.0</v>
      </c>
      <c r="P57" s="3">
        <v>0.0</v>
      </c>
      <c r="Q57" s="3"/>
      <c r="R57" s="3"/>
      <c r="S57" s="3"/>
      <c r="T57" s="3"/>
      <c r="U57" s="3"/>
      <c r="V57" s="3"/>
      <c r="W57" s="3"/>
      <c r="X57" s="3"/>
      <c r="Y57" s="3"/>
    </row>
    <row r="58" ht="141.0" customHeight="1">
      <c r="A58" s="22" t="s">
        <v>130</v>
      </c>
      <c r="B58" s="23">
        <v>2023.0</v>
      </c>
      <c r="C58" s="23" t="s">
        <v>109</v>
      </c>
      <c r="D58" s="23" t="s">
        <v>52</v>
      </c>
      <c r="E58" s="23" t="s">
        <v>131</v>
      </c>
      <c r="F58" s="23" t="s">
        <v>26</v>
      </c>
      <c r="G58" s="23" t="s">
        <v>27</v>
      </c>
      <c r="H58" s="24" t="s">
        <v>178</v>
      </c>
      <c r="I58" s="26" t="s">
        <v>179</v>
      </c>
      <c r="J58" s="3">
        <v>3.0</v>
      </c>
      <c r="K58" s="3">
        <v>0.0</v>
      </c>
      <c r="L58" s="3">
        <v>6.0</v>
      </c>
      <c r="M58" s="3">
        <v>1.0</v>
      </c>
      <c r="N58" s="3">
        <v>0.0</v>
      </c>
      <c r="O58" s="3">
        <v>7.0</v>
      </c>
      <c r="P58" s="3">
        <v>0.0</v>
      </c>
      <c r="Q58" s="3"/>
      <c r="R58" s="3"/>
      <c r="S58" s="3"/>
      <c r="T58" s="3"/>
      <c r="U58" s="3"/>
      <c r="V58" s="3"/>
      <c r="W58" s="3"/>
      <c r="X58" s="3"/>
      <c r="Y58" s="3"/>
    </row>
    <row r="59" ht="162.75" customHeight="1">
      <c r="A59" s="22" t="s">
        <v>130</v>
      </c>
      <c r="B59" s="23">
        <v>2023.0</v>
      </c>
      <c r="C59" s="23" t="s">
        <v>112</v>
      </c>
      <c r="D59" s="23" t="s">
        <v>52</v>
      </c>
      <c r="E59" s="23" t="s">
        <v>131</v>
      </c>
      <c r="F59" s="23" t="s">
        <v>26</v>
      </c>
      <c r="G59" s="23" t="s">
        <v>48</v>
      </c>
      <c r="H59" s="24" t="s">
        <v>180</v>
      </c>
      <c r="I59" s="26" t="s">
        <v>181</v>
      </c>
      <c r="J59" s="3">
        <v>9.0</v>
      </c>
      <c r="K59" s="3">
        <v>1.0</v>
      </c>
      <c r="L59" s="3">
        <v>5.0</v>
      </c>
      <c r="M59" s="3">
        <v>4.0</v>
      </c>
      <c r="N59" s="3">
        <v>0.0</v>
      </c>
      <c r="O59" s="3">
        <v>11.0</v>
      </c>
      <c r="P59" s="3">
        <v>0.0</v>
      </c>
      <c r="Q59" s="3"/>
      <c r="R59" s="3"/>
      <c r="S59" s="3"/>
      <c r="T59" s="3"/>
      <c r="U59" s="3"/>
      <c r="V59" s="3"/>
      <c r="W59" s="3"/>
      <c r="X59" s="3"/>
      <c r="Y59" s="3"/>
    </row>
    <row r="60" ht="144.0" customHeight="1">
      <c r="A60" s="22" t="s">
        <v>130</v>
      </c>
      <c r="B60" s="23">
        <v>2024.0</v>
      </c>
      <c r="C60" s="23" t="s">
        <v>115</v>
      </c>
      <c r="D60" s="23" t="s">
        <v>52</v>
      </c>
      <c r="E60" s="23" t="s">
        <v>131</v>
      </c>
      <c r="F60" s="23" t="s">
        <v>26</v>
      </c>
      <c r="G60" s="23" t="s">
        <v>27</v>
      </c>
      <c r="H60" s="24" t="s">
        <v>182</v>
      </c>
      <c r="I60" s="26" t="s">
        <v>183</v>
      </c>
      <c r="J60" s="3">
        <v>3.0</v>
      </c>
      <c r="K60" s="3">
        <v>0.0</v>
      </c>
      <c r="L60" s="3">
        <v>7.0</v>
      </c>
      <c r="M60" s="3">
        <v>4.0</v>
      </c>
      <c r="N60" s="3">
        <v>0.0</v>
      </c>
      <c r="O60" s="3">
        <v>9.0</v>
      </c>
      <c r="P60" s="3">
        <v>0.0</v>
      </c>
      <c r="Q60" s="3"/>
      <c r="R60" s="3"/>
      <c r="S60" s="3"/>
      <c r="T60" s="3"/>
      <c r="U60" s="3"/>
      <c r="V60" s="3"/>
      <c r="W60" s="3"/>
      <c r="X60" s="3"/>
      <c r="Y60" s="3"/>
    </row>
    <row r="61" ht="144.0" customHeight="1">
      <c r="A61" s="22" t="s">
        <v>130</v>
      </c>
      <c r="B61" s="29">
        <v>2024.0</v>
      </c>
      <c r="C61" s="29" t="s">
        <v>46</v>
      </c>
      <c r="D61" s="29"/>
      <c r="E61" s="29" t="s">
        <v>131</v>
      </c>
      <c r="F61" s="29" t="s">
        <v>26</v>
      </c>
      <c r="G61" s="29" t="s">
        <v>118</v>
      </c>
      <c r="H61" s="30" t="s">
        <v>184</v>
      </c>
      <c r="I61" s="46" t="s">
        <v>185</v>
      </c>
      <c r="J61" s="32">
        <v>9.0</v>
      </c>
      <c r="K61" s="32">
        <v>1.0</v>
      </c>
      <c r="L61" s="32">
        <v>0.0</v>
      </c>
      <c r="M61" s="32">
        <v>0.0</v>
      </c>
      <c r="N61" s="32">
        <v>0.0</v>
      </c>
      <c r="O61" s="32">
        <v>11.0</v>
      </c>
      <c r="P61" s="32">
        <v>0.0</v>
      </c>
      <c r="Q61" s="3"/>
      <c r="R61" s="3"/>
      <c r="S61" s="3"/>
      <c r="T61" s="3"/>
      <c r="U61" s="3"/>
      <c r="V61" s="3"/>
      <c r="W61" s="3"/>
      <c r="X61" s="3"/>
      <c r="Y61" s="3"/>
    </row>
    <row r="62" ht="144.0" customHeight="1">
      <c r="A62" s="22" t="s">
        <v>130</v>
      </c>
      <c r="B62" s="29">
        <v>2025.0</v>
      </c>
      <c r="C62" s="29" t="s">
        <v>121</v>
      </c>
      <c r="D62" s="29"/>
      <c r="E62" s="23" t="s">
        <v>131</v>
      </c>
      <c r="F62" s="23" t="s">
        <v>26</v>
      </c>
      <c r="G62" s="23" t="s">
        <v>31</v>
      </c>
      <c r="H62" s="24" t="s">
        <v>186</v>
      </c>
      <c r="I62" s="25" t="s">
        <v>187</v>
      </c>
      <c r="J62" s="3">
        <v>14.0</v>
      </c>
      <c r="K62" s="32">
        <v>0.0</v>
      </c>
      <c r="L62" s="32">
        <v>8.0</v>
      </c>
      <c r="M62" s="32">
        <v>3.0</v>
      </c>
      <c r="N62" s="32">
        <v>0.0</v>
      </c>
      <c r="O62" s="32">
        <v>25.0</v>
      </c>
      <c r="P62" s="32">
        <v>1.0</v>
      </c>
      <c r="Q62" s="3"/>
      <c r="R62" s="3"/>
      <c r="S62" s="3"/>
      <c r="T62" s="3"/>
      <c r="U62" s="3"/>
      <c r="V62" s="3"/>
      <c r="W62" s="3"/>
      <c r="X62" s="3"/>
      <c r="Y62" s="3"/>
    </row>
    <row r="63" ht="177.75" customHeight="1">
      <c r="A63" s="33" t="s">
        <v>130</v>
      </c>
      <c r="B63" s="29">
        <v>2025.0</v>
      </c>
      <c r="C63" s="29" t="s">
        <v>188</v>
      </c>
      <c r="D63" s="29" t="s">
        <v>52</v>
      </c>
      <c r="E63" s="29" t="s">
        <v>131</v>
      </c>
      <c r="F63" s="29" t="s">
        <v>26</v>
      </c>
      <c r="G63" s="29" t="s">
        <v>48</v>
      </c>
      <c r="H63" s="30" t="s">
        <v>189</v>
      </c>
      <c r="I63" s="31" t="s">
        <v>190</v>
      </c>
      <c r="J63" s="32">
        <v>11.0</v>
      </c>
      <c r="K63" s="32">
        <v>0.0</v>
      </c>
      <c r="L63" s="32">
        <v>6.0</v>
      </c>
      <c r="M63" s="32">
        <v>1.0</v>
      </c>
      <c r="N63" s="32">
        <v>0.0</v>
      </c>
      <c r="O63" s="32">
        <v>12.0</v>
      </c>
      <c r="P63" s="32">
        <v>0.0</v>
      </c>
      <c r="Q63" s="3"/>
      <c r="R63" s="3"/>
      <c r="S63" s="3"/>
      <c r="T63" s="3"/>
      <c r="U63" s="3"/>
      <c r="V63" s="3"/>
      <c r="W63" s="3"/>
      <c r="X63" s="3"/>
      <c r="Y63" s="3"/>
    </row>
    <row r="64" ht="177.75" customHeight="1">
      <c r="A64" s="34"/>
      <c r="B64" s="35"/>
      <c r="C64" s="35"/>
      <c r="D64" s="35"/>
      <c r="E64" s="35"/>
      <c r="F64" s="35"/>
      <c r="G64" s="35"/>
      <c r="H64" s="47" t="s">
        <v>191</v>
      </c>
      <c r="I64" s="37"/>
      <c r="J64" s="38">
        <f t="shared" ref="J64:P64" si="2">SUM(J34:J63)</f>
        <v>143</v>
      </c>
      <c r="K64" s="38">
        <f t="shared" si="2"/>
        <v>12</v>
      </c>
      <c r="L64" s="38">
        <f t="shared" si="2"/>
        <v>93</v>
      </c>
      <c r="M64" s="38">
        <f t="shared" si="2"/>
        <v>18</v>
      </c>
      <c r="N64" s="38">
        <f t="shared" si="2"/>
        <v>0</v>
      </c>
      <c r="O64" s="38">
        <f t="shared" si="2"/>
        <v>262</v>
      </c>
      <c r="P64" s="48">
        <f t="shared" si="2"/>
        <v>5</v>
      </c>
      <c r="Q64" s="3"/>
      <c r="R64" s="3"/>
      <c r="S64" s="3"/>
      <c r="T64" s="3"/>
      <c r="U64" s="3"/>
      <c r="V64" s="3"/>
      <c r="W64" s="3"/>
      <c r="X64" s="3"/>
      <c r="Y64" s="3"/>
    </row>
    <row r="65" ht="14.25" customHeight="1">
      <c r="A65" s="49" t="s">
        <v>192</v>
      </c>
      <c r="B65" s="20">
        <v>2014.0</v>
      </c>
      <c r="C65" s="20" t="s">
        <v>24</v>
      </c>
      <c r="D65" s="20" t="s">
        <v>193</v>
      </c>
      <c r="E65" s="20" t="s">
        <v>194</v>
      </c>
      <c r="F65" s="20" t="s">
        <v>26</v>
      </c>
      <c r="G65" s="20" t="s">
        <v>27</v>
      </c>
      <c r="H65" s="27" t="s">
        <v>195</v>
      </c>
      <c r="I65" s="28" t="s">
        <v>196</v>
      </c>
      <c r="J65" s="20">
        <v>2.0</v>
      </c>
      <c r="K65" s="20">
        <v>0.0</v>
      </c>
      <c r="L65" s="20">
        <v>0.0</v>
      </c>
      <c r="M65" s="21">
        <v>0.0</v>
      </c>
      <c r="N65" s="20">
        <v>0.0</v>
      </c>
      <c r="O65" s="20">
        <v>1.0</v>
      </c>
      <c r="P65" s="20">
        <v>0.0</v>
      </c>
      <c r="Q65" s="3"/>
      <c r="R65" s="3"/>
      <c r="S65" s="3"/>
      <c r="T65" s="3"/>
      <c r="U65" s="3"/>
      <c r="V65" s="3"/>
      <c r="W65" s="3"/>
      <c r="X65" s="3"/>
      <c r="Y65" s="3"/>
    </row>
    <row r="66" ht="166.5" customHeight="1">
      <c r="A66" s="23" t="s">
        <v>192</v>
      </c>
      <c r="B66" s="23">
        <v>2014.0</v>
      </c>
      <c r="C66" s="23" t="s">
        <v>30</v>
      </c>
      <c r="D66" s="23"/>
      <c r="E66" s="23" t="s">
        <v>194</v>
      </c>
      <c r="F66" s="23" t="s">
        <v>26</v>
      </c>
      <c r="G66" s="23" t="s">
        <v>31</v>
      </c>
      <c r="H66" s="50" t="s">
        <v>197</v>
      </c>
      <c r="I66" s="51" t="s">
        <v>44</v>
      </c>
      <c r="J66" s="23"/>
      <c r="K66" s="20"/>
      <c r="L66" s="20"/>
      <c r="M66" s="21"/>
      <c r="N66" s="23"/>
      <c r="O66" s="23"/>
      <c r="P66" s="23"/>
      <c r="Q66" s="3"/>
      <c r="R66" s="3"/>
      <c r="S66" s="3"/>
      <c r="T66" s="3"/>
      <c r="U66" s="3"/>
      <c r="V66" s="3"/>
      <c r="W66" s="3"/>
      <c r="X66" s="3"/>
      <c r="Y66" s="3"/>
    </row>
    <row r="67" ht="156.75" customHeight="1">
      <c r="A67" s="23" t="s">
        <v>192</v>
      </c>
      <c r="B67" s="23">
        <v>2014.0</v>
      </c>
      <c r="C67" s="23" t="s">
        <v>34</v>
      </c>
      <c r="D67" s="23"/>
      <c r="E67" s="23" t="s">
        <v>194</v>
      </c>
      <c r="F67" s="23" t="s">
        <v>26</v>
      </c>
      <c r="G67" s="23" t="s">
        <v>35</v>
      </c>
      <c r="H67" s="24" t="s">
        <v>198</v>
      </c>
      <c r="I67" s="26" t="s">
        <v>37</v>
      </c>
      <c r="J67" s="23">
        <v>1.0</v>
      </c>
      <c r="K67" s="20">
        <v>0.0</v>
      </c>
      <c r="L67" s="20">
        <v>1.0</v>
      </c>
      <c r="M67" s="21">
        <v>0.0</v>
      </c>
      <c r="N67" s="23">
        <v>0.0</v>
      </c>
      <c r="O67" s="23">
        <v>18.0</v>
      </c>
      <c r="P67" s="23">
        <v>0.0</v>
      </c>
      <c r="Q67" s="32"/>
      <c r="R67" s="32"/>
      <c r="S67" s="32"/>
      <c r="T67" s="32"/>
      <c r="U67" s="32"/>
      <c r="V67" s="32"/>
      <c r="W67" s="32"/>
      <c r="X67" s="32"/>
      <c r="Y67" s="32"/>
    </row>
    <row r="68" ht="285.75" customHeight="1">
      <c r="A68" s="49" t="s">
        <v>192</v>
      </c>
      <c r="B68" s="17">
        <v>2015.0</v>
      </c>
      <c r="C68" s="17" t="s">
        <v>115</v>
      </c>
      <c r="D68" s="17"/>
      <c r="E68" s="20" t="s">
        <v>194</v>
      </c>
      <c r="F68" s="20" t="s">
        <v>26</v>
      </c>
      <c r="G68" s="23" t="s">
        <v>27</v>
      </c>
      <c r="H68" s="24" t="s">
        <v>199</v>
      </c>
      <c r="I68" s="52" t="s">
        <v>40</v>
      </c>
      <c r="J68" s="23">
        <v>5.0</v>
      </c>
      <c r="K68" s="23">
        <v>0.0</v>
      </c>
      <c r="L68" s="23">
        <v>3.0</v>
      </c>
      <c r="M68" s="44">
        <v>0.0</v>
      </c>
      <c r="N68" s="23">
        <v>0.0</v>
      </c>
      <c r="O68" s="23">
        <v>27.0</v>
      </c>
      <c r="P68" s="23">
        <v>1.0</v>
      </c>
      <c r="Q68" s="32"/>
      <c r="R68" s="32"/>
      <c r="S68" s="32"/>
      <c r="T68" s="32"/>
      <c r="U68" s="32"/>
      <c r="V68" s="32"/>
      <c r="W68" s="32"/>
      <c r="X68" s="32"/>
      <c r="Y68" s="32"/>
    </row>
    <row r="69" ht="14.25" customHeight="1">
      <c r="A69" s="22" t="s">
        <v>192</v>
      </c>
      <c r="B69" s="29">
        <v>2015.0</v>
      </c>
      <c r="C69" s="29" t="s">
        <v>41</v>
      </c>
      <c r="D69" s="29"/>
      <c r="E69" s="23" t="s">
        <v>194</v>
      </c>
      <c r="F69" s="23" t="s">
        <v>26</v>
      </c>
      <c r="G69" s="23" t="s">
        <v>53</v>
      </c>
      <c r="H69" s="50" t="s">
        <v>200</v>
      </c>
      <c r="I69" s="23" t="s">
        <v>201</v>
      </c>
      <c r="J69" s="23"/>
      <c r="K69" s="23"/>
      <c r="L69" s="23"/>
      <c r="M69" s="44"/>
      <c r="N69" s="23"/>
      <c r="O69" s="17"/>
      <c r="P69" s="17"/>
      <c r="Q69" s="32"/>
      <c r="R69" s="32"/>
      <c r="S69" s="32"/>
      <c r="T69" s="32"/>
      <c r="U69" s="32"/>
      <c r="V69" s="32"/>
      <c r="W69" s="32"/>
      <c r="X69" s="32"/>
      <c r="Y69" s="32"/>
    </row>
    <row r="70" ht="138.75" customHeight="1">
      <c r="A70" s="22" t="s">
        <v>192</v>
      </c>
      <c r="B70" s="23">
        <v>2015.0</v>
      </c>
      <c r="C70" s="23" t="s">
        <v>188</v>
      </c>
      <c r="D70" s="23"/>
      <c r="E70" s="23" t="s">
        <v>194</v>
      </c>
      <c r="F70" s="23" t="s">
        <v>26</v>
      </c>
      <c r="G70" s="23" t="s">
        <v>27</v>
      </c>
      <c r="H70" s="24" t="s">
        <v>202</v>
      </c>
      <c r="I70" s="26" t="s">
        <v>203</v>
      </c>
      <c r="J70" s="3">
        <v>1.0</v>
      </c>
      <c r="K70" s="3">
        <v>0.0</v>
      </c>
      <c r="L70" s="3">
        <v>0.0</v>
      </c>
      <c r="M70" s="3">
        <v>0.0</v>
      </c>
      <c r="N70" s="3">
        <v>0.0</v>
      </c>
      <c r="O70" s="3">
        <v>2.0</v>
      </c>
      <c r="P70" s="3">
        <v>0.0</v>
      </c>
      <c r="Q70" s="3"/>
      <c r="R70" s="3"/>
      <c r="S70" s="3"/>
      <c r="T70" s="3"/>
      <c r="U70" s="3"/>
      <c r="V70" s="3"/>
      <c r="W70" s="3"/>
      <c r="X70" s="3"/>
      <c r="Y70" s="3"/>
    </row>
    <row r="71" ht="256.5" customHeight="1">
      <c r="A71" s="22" t="s">
        <v>192</v>
      </c>
      <c r="B71" s="23">
        <v>2016.0</v>
      </c>
      <c r="C71" s="23" t="s">
        <v>46</v>
      </c>
      <c r="D71" s="23"/>
      <c r="E71" s="23" t="s">
        <v>194</v>
      </c>
      <c r="F71" s="23" t="s">
        <v>26</v>
      </c>
      <c r="G71" s="23" t="s">
        <v>126</v>
      </c>
      <c r="H71" s="24" t="s">
        <v>204</v>
      </c>
      <c r="I71" s="26" t="s">
        <v>205</v>
      </c>
      <c r="J71" s="3">
        <v>1.0</v>
      </c>
      <c r="K71" s="3">
        <v>0.0</v>
      </c>
      <c r="L71" s="3">
        <v>1.0</v>
      </c>
      <c r="M71" s="3">
        <v>0.0</v>
      </c>
      <c r="N71" s="3">
        <v>0.0</v>
      </c>
      <c r="O71" s="3">
        <v>5.0</v>
      </c>
      <c r="P71" s="3">
        <v>0.0</v>
      </c>
      <c r="Q71" s="3"/>
      <c r="R71" s="3"/>
      <c r="S71" s="3"/>
      <c r="T71" s="3"/>
      <c r="U71" s="3"/>
      <c r="V71" s="3"/>
      <c r="W71" s="3"/>
      <c r="X71" s="3"/>
      <c r="Y71" s="3"/>
    </row>
    <row r="72" ht="183.75" customHeight="1">
      <c r="A72" s="22" t="s">
        <v>192</v>
      </c>
      <c r="B72" s="23">
        <v>2016.0</v>
      </c>
      <c r="C72" s="23" t="s">
        <v>51</v>
      </c>
      <c r="D72" s="23" t="s">
        <v>52</v>
      </c>
      <c r="E72" s="23" t="s">
        <v>194</v>
      </c>
      <c r="F72" s="23" t="s">
        <v>26</v>
      </c>
      <c r="G72" s="23" t="s">
        <v>53</v>
      </c>
      <c r="H72" s="24" t="s">
        <v>206</v>
      </c>
      <c r="I72" s="26" t="s">
        <v>147</v>
      </c>
      <c r="J72" s="3">
        <v>6.0</v>
      </c>
      <c r="K72" s="3">
        <v>0.0</v>
      </c>
      <c r="L72" s="3">
        <v>3.0</v>
      </c>
      <c r="M72" s="3">
        <v>0.0</v>
      </c>
      <c r="N72" s="3">
        <v>0.0</v>
      </c>
      <c r="O72" s="3">
        <v>10.0</v>
      </c>
      <c r="P72" s="3">
        <v>0.0</v>
      </c>
      <c r="Q72" s="3"/>
      <c r="R72" s="3"/>
      <c r="S72" s="3"/>
      <c r="T72" s="3"/>
      <c r="U72" s="3"/>
      <c r="V72" s="3"/>
      <c r="W72" s="3"/>
      <c r="X72" s="3"/>
      <c r="Y72" s="3"/>
    </row>
    <row r="73" ht="14.25" customHeight="1">
      <c r="A73" s="22" t="s">
        <v>192</v>
      </c>
      <c r="B73" s="23">
        <v>2017.0</v>
      </c>
      <c r="C73" s="23" t="s">
        <v>60</v>
      </c>
      <c r="D73" s="23" t="s">
        <v>207</v>
      </c>
      <c r="E73" s="23" t="s">
        <v>194</v>
      </c>
      <c r="F73" s="23" t="s">
        <v>26</v>
      </c>
      <c r="G73" s="23" t="s">
        <v>61</v>
      </c>
      <c r="H73" s="24" t="s">
        <v>208</v>
      </c>
      <c r="I73" s="26" t="s">
        <v>63</v>
      </c>
      <c r="J73" s="3"/>
      <c r="K73" s="3"/>
      <c r="L73" s="3"/>
      <c r="M73" s="3"/>
      <c r="N73" s="3"/>
      <c r="O73" s="3"/>
      <c r="P73" s="3"/>
      <c r="Q73" s="3"/>
      <c r="R73" s="3"/>
      <c r="S73" s="3"/>
      <c r="T73" s="3"/>
      <c r="U73" s="3"/>
      <c r="V73" s="3"/>
      <c r="W73" s="3"/>
      <c r="X73" s="3"/>
      <c r="Y73" s="3"/>
    </row>
    <row r="74" ht="177.0" customHeight="1">
      <c r="A74" s="22" t="s">
        <v>192</v>
      </c>
      <c r="B74" s="23">
        <v>2017.0</v>
      </c>
      <c r="C74" s="23" t="s">
        <v>148</v>
      </c>
      <c r="D74" s="23"/>
      <c r="E74" s="23" t="s">
        <v>194</v>
      </c>
      <c r="F74" s="23" t="s">
        <v>26</v>
      </c>
      <c r="G74" s="23" t="s">
        <v>57</v>
      </c>
      <c r="H74" s="24" t="s">
        <v>209</v>
      </c>
      <c r="I74" s="26" t="s">
        <v>59</v>
      </c>
      <c r="J74" s="3">
        <v>2.0</v>
      </c>
      <c r="K74" s="3">
        <v>1.0</v>
      </c>
      <c r="L74" s="3">
        <v>8.0</v>
      </c>
      <c r="M74" s="3">
        <v>0.0</v>
      </c>
      <c r="N74" s="3">
        <v>0.0</v>
      </c>
      <c r="O74" s="3">
        <v>17.0</v>
      </c>
      <c r="P74" s="3">
        <v>0.0</v>
      </c>
      <c r="Q74" s="3"/>
      <c r="R74" s="3"/>
      <c r="S74" s="3"/>
      <c r="T74" s="3"/>
      <c r="U74" s="3"/>
      <c r="V74" s="3"/>
      <c r="W74" s="3"/>
      <c r="X74" s="3"/>
      <c r="Y74" s="3"/>
    </row>
    <row r="75" ht="123.0" customHeight="1">
      <c r="A75" s="22" t="s">
        <v>192</v>
      </c>
      <c r="B75" s="23">
        <v>2018.0</v>
      </c>
      <c r="C75" s="23" t="s">
        <v>64</v>
      </c>
      <c r="D75" s="23" t="s">
        <v>52</v>
      </c>
      <c r="E75" s="23" t="s">
        <v>194</v>
      </c>
      <c r="F75" s="23" t="s">
        <v>26</v>
      </c>
      <c r="G75" s="23" t="s">
        <v>61</v>
      </c>
      <c r="H75" s="24" t="s">
        <v>210</v>
      </c>
      <c r="I75" s="26" t="s">
        <v>66</v>
      </c>
      <c r="J75" s="3">
        <v>5.0</v>
      </c>
      <c r="K75" s="3">
        <v>0.0</v>
      </c>
      <c r="L75" s="3">
        <v>5.0</v>
      </c>
      <c r="M75" s="3">
        <v>0.0</v>
      </c>
      <c r="N75" s="3">
        <v>0.0</v>
      </c>
      <c r="O75" s="3">
        <v>8.0</v>
      </c>
      <c r="P75" s="3">
        <v>0.0</v>
      </c>
      <c r="Q75" s="3"/>
      <c r="R75" s="3"/>
      <c r="S75" s="3"/>
      <c r="T75" s="3"/>
      <c r="U75" s="3"/>
      <c r="V75" s="3"/>
      <c r="W75" s="3"/>
      <c r="X75" s="3"/>
      <c r="Y75" s="3"/>
    </row>
    <row r="76" ht="273.75" customHeight="1">
      <c r="A76" s="22" t="s">
        <v>192</v>
      </c>
      <c r="B76" s="23">
        <v>2018.0</v>
      </c>
      <c r="C76" s="23" t="s">
        <v>67</v>
      </c>
      <c r="D76" s="23"/>
      <c r="E76" s="23" t="s">
        <v>194</v>
      </c>
      <c r="F76" s="23" t="s">
        <v>26</v>
      </c>
      <c r="G76" s="23" t="s">
        <v>126</v>
      </c>
      <c r="H76" s="24" t="s">
        <v>211</v>
      </c>
      <c r="I76" s="25" t="s">
        <v>212</v>
      </c>
      <c r="J76" s="3">
        <v>1.0</v>
      </c>
      <c r="K76" s="3">
        <v>1.0</v>
      </c>
      <c r="L76" s="3">
        <v>3.0</v>
      </c>
      <c r="M76" s="3">
        <v>3.0</v>
      </c>
      <c r="N76" s="3">
        <v>0.0</v>
      </c>
      <c r="O76" s="3">
        <v>4.0</v>
      </c>
      <c r="P76" s="3">
        <v>0.0</v>
      </c>
      <c r="Q76" s="3"/>
      <c r="R76" s="3"/>
      <c r="S76" s="3"/>
      <c r="T76" s="3"/>
      <c r="U76" s="3"/>
      <c r="V76" s="3"/>
      <c r="W76" s="3"/>
      <c r="X76" s="3"/>
      <c r="Y76" s="3"/>
    </row>
    <row r="77" ht="206.25" customHeight="1">
      <c r="A77" s="22" t="s">
        <v>192</v>
      </c>
      <c r="B77" s="23">
        <v>2019.0</v>
      </c>
      <c r="C77" s="23" t="s">
        <v>71</v>
      </c>
      <c r="D77" s="23"/>
      <c r="E77" s="23" t="s">
        <v>213</v>
      </c>
      <c r="F77" s="23" t="s">
        <v>26</v>
      </c>
      <c r="G77" s="23" t="s">
        <v>72</v>
      </c>
      <c r="H77" s="24" t="s">
        <v>214</v>
      </c>
      <c r="I77" s="26" t="s">
        <v>215</v>
      </c>
      <c r="J77" s="3">
        <v>5.0</v>
      </c>
      <c r="K77" s="3">
        <v>2.0</v>
      </c>
      <c r="L77" s="3">
        <v>5.0</v>
      </c>
      <c r="M77" s="3">
        <v>0.0</v>
      </c>
      <c r="N77" s="3">
        <v>0.0</v>
      </c>
      <c r="O77" s="3">
        <v>1.0</v>
      </c>
      <c r="P77" s="3">
        <v>0.0</v>
      </c>
      <c r="Q77" s="3"/>
      <c r="R77" s="3"/>
      <c r="S77" s="3"/>
      <c r="T77" s="3"/>
      <c r="U77" s="3"/>
      <c r="V77" s="3"/>
      <c r="W77" s="3"/>
      <c r="X77" s="3"/>
      <c r="Y77" s="3"/>
    </row>
    <row r="78" ht="206.25" customHeight="1">
      <c r="A78" s="22" t="s">
        <v>192</v>
      </c>
      <c r="B78" s="23">
        <v>2019.0</v>
      </c>
      <c r="C78" s="23" t="s">
        <v>75</v>
      </c>
      <c r="D78" s="23"/>
      <c r="E78" s="23" t="s">
        <v>213</v>
      </c>
      <c r="F78" s="23" t="s">
        <v>26</v>
      </c>
      <c r="G78" s="23" t="s">
        <v>76</v>
      </c>
      <c r="H78" s="24" t="s">
        <v>216</v>
      </c>
      <c r="I78" s="26" t="s">
        <v>217</v>
      </c>
      <c r="J78" s="3">
        <v>4.0</v>
      </c>
      <c r="K78" s="3">
        <v>3.0</v>
      </c>
      <c r="L78" s="3">
        <v>5.0</v>
      </c>
      <c r="M78" s="3">
        <v>0.0</v>
      </c>
      <c r="N78" s="3">
        <v>0.0</v>
      </c>
      <c r="O78" s="3">
        <v>7.0</v>
      </c>
      <c r="P78" s="3">
        <v>1.0</v>
      </c>
      <c r="Q78" s="3"/>
      <c r="R78" s="3"/>
      <c r="S78" s="3"/>
      <c r="T78" s="3"/>
      <c r="U78" s="3"/>
      <c r="V78" s="3"/>
      <c r="W78" s="3"/>
      <c r="X78" s="3"/>
      <c r="Y78" s="3"/>
    </row>
    <row r="79" ht="206.25" customHeight="1">
      <c r="A79" s="22" t="s">
        <v>192</v>
      </c>
      <c r="B79" s="23">
        <v>2019.0</v>
      </c>
      <c r="C79" s="23" t="s">
        <v>79</v>
      </c>
      <c r="D79" s="23" t="s">
        <v>218</v>
      </c>
      <c r="E79" s="23" t="s">
        <v>194</v>
      </c>
      <c r="F79" s="23" t="s">
        <v>26</v>
      </c>
      <c r="G79" s="23" t="s">
        <v>126</v>
      </c>
      <c r="H79" s="24" t="s">
        <v>219</v>
      </c>
      <c r="I79" s="26" t="s">
        <v>220</v>
      </c>
      <c r="J79" s="3"/>
      <c r="K79" s="3"/>
      <c r="L79" s="3"/>
      <c r="M79" s="3"/>
      <c r="N79" s="3"/>
      <c r="O79" s="3"/>
      <c r="P79" s="3"/>
      <c r="Q79" s="3"/>
      <c r="R79" s="3"/>
      <c r="S79" s="3"/>
      <c r="T79" s="3"/>
      <c r="U79" s="3"/>
      <c r="V79" s="3"/>
      <c r="W79" s="3"/>
      <c r="X79" s="3"/>
      <c r="Y79" s="3"/>
    </row>
    <row r="80" ht="152.25" customHeight="1">
      <c r="A80" s="22" t="s">
        <v>192</v>
      </c>
      <c r="B80" s="23">
        <v>2020.0</v>
      </c>
      <c r="C80" s="23" t="s">
        <v>86</v>
      </c>
      <c r="D80" s="23"/>
      <c r="E80" s="23" t="s">
        <v>213</v>
      </c>
      <c r="F80" s="23" t="s">
        <v>26</v>
      </c>
      <c r="G80" s="23" t="s">
        <v>82</v>
      </c>
      <c r="H80" s="24" t="s">
        <v>221</v>
      </c>
      <c r="I80" s="26" t="s">
        <v>88</v>
      </c>
      <c r="J80" s="3">
        <v>4.0</v>
      </c>
      <c r="K80" s="3">
        <v>0.0</v>
      </c>
      <c r="L80" s="3">
        <v>7.0</v>
      </c>
      <c r="M80" s="3">
        <v>0.0</v>
      </c>
      <c r="N80" s="3">
        <v>0.0</v>
      </c>
      <c r="O80" s="3">
        <v>8.0</v>
      </c>
      <c r="P80" s="3">
        <v>3.0</v>
      </c>
      <c r="Q80" s="3"/>
      <c r="R80" s="3"/>
      <c r="S80" s="3"/>
      <c r="T80" s="3"/>
      <c r="U80" s="3"/>
      <c r="V80" s="3"/>
      <c r="W80" s="3"/>
      <c r="X80" s="3"/>
      <c r="Y80" s="3"/>
    </row>
    <row r="81" ht="165.0" customHeight="1">
      <c r="A81" s="22" t="s">
        <v>192</v>
      </c>
      <c r="B81" s="23">
        <v>2020.0</v>
      </c>
      <c r="C81" s="23" t="s">
        <v>89</v>
      </c>
      <c r="D81" s="23"/>
      <c r="E81" s="23" t="s">
        <v>213</v>
      </c>
      <c r="F81" s="23" t="s">
        <v>26</v>
      </c>
      <c r="G81" s="23" t="s">
        <v>82</v>
      </c>
      <c r="H81" s="24" t="s">
        <v>222</v>
      </c>
      <c r="I81" s="26" t="s">
        <v>223</v>
      </c>
      <c r="J81" s="3">
        <v>4.0</v>
      </c>
      <c r="K81" s="3">
        <v>3.0</v>
      </c>
      <c r="L81" s="3">
        <v>7.0</v>
      </c>
      <c r="M81" s="3">
        <v>1.0</v>
      </c>
      <c r="N81" s="3">
        <v>0.0</v>
      </c>
      <c r="O81" s="3">
        <v>3.0</v>
      </c>
      <c r="P81" s="3">
        <v>0.0</v>
      </c>
      <c r="Q81" s="3"/>
      <c r="R81" s="3"/>
      <c r="S81" s="3"/>
      <c r="T81" s="3"/>
      <c r="U81" s="3"/>
      <c r="V81" s="3"/>
      <c r="W81" s="3"/>
      <c r="X81" s="3"/>
      <c r="Y81" s="3"/>
    </row>
    <row r="82" ht="123.0" customHeight="1">
      <c r="A82" s="22" t="s">
        <v>192</v>
      </c>
      <c r="B82" s="23">
        <v>2021.0</v>
      </c>
      <c r="C82" s="23" t="s">
        <v>99</v>
      </c>
      <c r="D82" s="23"/>
      <c r="E82" s="23" t="s">
        <v>213</v>
      </c>
      <c r="F82" s="23" t="s">
        <v>26</v>
      </c>
      <c r="G82" s="23" t="s">
        <v>82</v>
      </c>
      <c r="H82" s="24" t="s">
        <v>224</v>
      </c>
      <c r="I82" s="26" t="s">
        <v>225</v>
      </c>
      <c r="J82" s="3">
        <v>2.0</v>
      </c>
      <c r="K82" s="3">
        <v>2.0</v>
      </c>
      <c r="L82" s="3">
        <v>3.0</v>
      </c>
      <c r="M82" s="3">
        <v>0.0</v>
      </c>
      <c r="N82" s="3">
        <v>0.0</v>
      </c>
      <c r="O82" s="3">
        <v>3.0</v>
      </c>
      <c r="P82" s="3">
        <v>0.0</v>
      </c>
      <c r="Q82" s="3"/>
      <c r="R82" s="3"/>
      <c r="S82" s="3"/>
      <c r="T82" s="3"/>
      <c r="U82" s="3"/>
      <c r="V82" s="3"/>
      <c r="W82" s="3"/>
      <c r="X82" s="3"/>
      <c r="Y82" s="3"/>
    </row>
    <row r="83" ht="123.0" customHeight="1">
      <c r="A83" s="22" t="s">
        <v>192</v>
      </c>
      <c r="B83" s="23">
        <v>2021.0</v>
      </c>
      <c r="C83" s="23" t="s">
        <v>169</v>
      </c>
      <c r="D83" s="23"/>
      <c r="E83" s="23" t="s">
        <v>213</v>
      </c>
      <c r="F83" s="23" t="s">
        <v>26</v>
      </c>
      <c r="G83" s="23" t="s">
        <v>82</v>
      </c>
      <c r="H83" s="24" t="s">
        <v>226</v>
      </c>
      <c r="I83" s="26" t="s">
        <v>227</v>
      </c>
      <c r="J83" s="3">
        <v>5.0</v>
      </c>
      <c r="K83" s="3">
        <v>0.0</v>
      </c>
      <c r="L83" s="3">
        <v>7.0</v>
      </c>
      <c r="M83" s="3">
        <v>0.0</v>
      </c>
      <c r="N83" s="3">
        <v>0.0</v>
      </c>
      <c r="O83" s="3">
        <v>3.0</v>
      </c>
      <c r="P83" s="3">
        <v>0.0</v>
      </c>
      <c r="Q83" s="3"/>
      <c r="R83" s="3"/>
      <c r="S83" s="3"/>
      <c r="T83" s="3"/>
      <c r="U83" s="3"/>
      <c r="V83" s="3"/>
      <c r="W83" s="3"/>
      <c r="X83" s="3"/>
      <c r="Y83" s="3"/>
    </row>
    <row r="84" ht="147.0" customHeight="1">
      <c r="A84" s="22" t="s">
        <v>192</v>
      </c>
      <c r="B84" s="23">
        <v>2022.0</v>
      </c>
      <c r="C84" s="23" t="s">
        <v>102</v>
      </c>
      <c r="D84" s="23" t="s">
        <v>52</v>
      </c>
      <c r="E84" s="23" t="s">
        <v>228</v>
      </c>
      <c r="F84" s="23" t="s">
        <v>26</v>
      </c>
      <c r="G84" s="23" t="s">
        <v>57</v>
      </c>
      <c r="H84" s="24" t="s">
        <v>229</v>
      </c>
      <c r="I84" s="26" t="s">
        <v>230</v>
      </c>
      <c r="J84" s="3">
        <v>9.0</v>
      </c>
      <c r="K84" s="3">
        <v>4.0</v>
      </c>
      <c r="L84" s="3">
        <v>6.0</v>
      </c>
      <c r="M84" s="3">
        <v>2.0</v>
      </c>
      <c r="N84" s="3">
        <v>0.0</v>
      </c>
      <c r="O84" s="3">
        <v>12.0</v>
      </c>
      <c r="P84" s="3">
        <v>1.0</v>
      </c>
      <c r="Q84" s="3"/>
      <c r="R84" s="3"/>
      <c r="S84" s="3"/>
      <c r="T84" s="3"/>
      <c r="U84" s="3"/>
      <c r="V84" s="3"/>
      <c r="W84" s="3"/>
      <c r="X84" s="3"/>
      <c r="Y84" s="3"/>
    </row>
    <row r="85" ht="145.5" customHeight="1">
      <c r="A85" s="22" t="s">
        <v>192</v>
      </c>
      <c r="B85" s="23">
        <v>2022.0</v>
      </c>
      <c r="C85" s="23" t="s">
        <v>106</v>
      </c>
      <c r="D85" s="23"/>
      <c r="E85" s="23" t="s">
        <v>213</v>
      </c>
      <c r="F85" s="23" t="s">
        <v>26</v>
      </c>
      <c r="G85" s="23" t="s">
        <v>82</v>
      </c>
      <c r="H85" s="24" t="s">
        <v>231</v>
      </c>
      <c r="I85" s="26" t="s">
        <v>232</v>
      </c>
      <c r="J85" s="3">
        <v>4.0</v>
      </c>
      <c r="K85" s="3">
        <v>0.0</v>
      </c>
      <c r="L85" s="3">
        <v>4.0</v>
      </c>
      <c r="M85" s="3">
        <v>0.0</v>
      </c>
      <c r="N85" s="3">
        <v>0.0</v>
      </c>
      <c r="O85" s="3">
        <v>8.0</v>
      </c>
      <c r="P85" s="3">
        <v>0.0</v>
      </c>
      <c r="Q85" s="3"/>
      <c r="R85" s="3"/>
      <c r="S85" s="3"/>
      <c r="T85" s="3"/>
      <c r="U85" s="3"/>
      <c r="V85" s="3"/>
      <c r="W85" s="3"/>
      <c r="X85" s="3"/>
      <c r="Y85" s="3"/>
    </row>
    <row r="86" ht="145.5" customHeight="1">
      <c r="A86" s="22" t="s">
        <v>192</v>
      </c>
      <c r="B86" s="23">
        <v>2023.0</v>
      </c>
      <c r="C86" s="23" t="s">
        <v>109</v>
      </c>
      <c r="D86" s="23" t="s">
        <v>52</v>
      </c>
      <c r="E86" s="23" t="s">
        <v>213</v>
      </c>
      <c r="F86" s="23" t="s">
        <v>26</v>
      </c>
      <c r="G86" s="23" t="s">
        <v>27</v>
      </c>
      <c r="H86" s="24" t="s">
        <v>233</v>
      </c>
      <c r="I86" s="26" t="s">
        <v>234</v>
      </c>
      <c r="J86" s="3">
        <v>5.0</v>
      </c>
      <c r="K86" s="3">
        <v>2.0</v>
      </c>
      <c r="L86" s="3">
        <v>9.0</v>
      </c>
      <c r="M86" s="3">
        <v>1.0</v>
      </c>
      <c r="N86" s="3">
        <v>0.0</v>
      </c>
      <c r="O86" s="3">
        <v>11.0</v>
      </c>
      <c r="P86" s="3">
        <v>1.0</v>
      </c>
      <c r="Q86" s="3"/>
      <c r="R86" s="3"/>
      <c r="S86" s="3"/>
      <c r="T86" s="3"/>
      <c r="U86" s="3"/>
      <c r="V86" s="3"/>
      <c r="W86" s="3"/>
      <c r="X86" s="3"/>
      <c r="Y86" s="3"/>
    </row>
    <row r="87" ht="135.0" customHeight="1">
      <c r="A87" s="22" t="s">
        <v>192</v>
      </c>
      <c r="B87" s="23">
        <v>2023.0</v>
      </c>
      <c r="C87" s="23" t="s">
        <v>112</v>
      </c>
      <c r="D87" s="23" t="s">
        <v>52</v>
      </c>
      <c r="E87" s="23" t="s">
        <v>213</v>
      </c>
      <c r="F87" s="23" t="s">
        <v>26</v>
      </c>
      <c r="G87" s="23" t="s">
        <v>48</v>
      </c>
      <c r="H87" s="24" t="s">
        <v>235</v>
      </c>
      <c r="I87" s="26" t="s">
        <v>236</v>
      </c>
      <c r="J87" s="3">
        <v>7.0</v>
      </c>
      <c r="K87" s="3">
        <v>4.0</v>
      </c>
      <c r="L87" s="3">
        <v>7.0</v>
      </c>
      <c r="M87" s="3">
        <v>2.0</v>
      </c>
      <c r="N87" s="3">
        <v>0.0</v>
      </c>
      <c r="O87" s="3">
        <v>3.0</v>
      </c>
      <c r="P87" s="3">
        <v>0.0</v>
      </c>
      <c r="Q87" s="3"/>
      <c r="R87" s="3"/>
      <c r="S87" s="3"/>
      <c r="T87" s="3"/>
      <c r="U87" s="3"/>
      <c r="V87" s="3"/>
      <c r="W87" s="3"/>
      <c r="X87" s="3"/>
      <c r="Y87" s="3"/>
    </row>
    <row r="88" ht="144.75" customHeight="1">
      <c r="A88" s="33" t="s">
        <v>192</v>
      </c>
      <c r="B88" s="29">
        <v>2024.0</v>
      </c>
      <c r="C88" s="29" t="s">
        <v>115</v>
      </c>
      <c r="D88" s="29" t="s">
        <v>52</v>
      </c>
      <c r="E88" s="3" t="s">
        <v>213</v>
      </c>
      <c r="F88" s="29" t="s">
        <v>26</v>
      </c>
      <c r="G88" s="29" t="s">
        <v>27</v>
      </c>
      <c r="H88" s="30" t="s">
        <v>237</v>
      </c>
      <c r="I88" s="31" t="s">
        <v>117</v>
      </c>
      <c r="J88" s="32">
        <v>19.0</v>
      </c>
      <c r="K88" s="32">
        <v>1.0</v>
      </c>
      <c r="L88" s="32">
        <v>7.0</v>
      </c>
      <c r="M88" s="32">
        <v>1.0</v>
      </c>
      <c r="N88" s="32">
        <v>0.0</v>
      </c>
      <c r="O88" s="32">
        <v>11.0</v>
      </c>
      <c r="P88" s="32">
        <v>0.0</v>
      </c>
      <c r="Q88" s="3"/>
      <c r="R88" s="3"/>
      <c r="S88" s="3"/>
      <c r="T88" s="3"/>
      <c r="U88" s="3"/>
      <c r="V88" s="3"/>
      <c r="W88" s="3"/>
      <c r="X88" s="3"/>
      <c r="Y88" s="3"/>
    </row>
    <row r="89" ht="144.75" customHeight="1">
      <c r="A89" s="33" t="s">
        <v>192</v>
      </c>
      <c r="B89" s="29">
        <v>2024.0</v>
      </c>
      <c r="C89" s="29" t="s">
        <v>46</v>
      </c>
      <c r="D89" s="29"/>
      <c r="E89" s="29" t="s">
        <v>213</v>
      </c>
      <c r="F89" s="29" t="s">
        <v>26</v>
      </c>
      <c r="G89" s="29" t="s">
        <v>118</v>
      </c>
      <c r="H89" s="50" t="s">
        <v>238</v>
      </c>
      <c r="I89" s="31" t="s">
        <v>239</v>
      </c>
      <c r="J89" s="32"/>
      <c r="K89" s="32"/>
      <c r="L89" s="32"/>
      <c r="M89" s="32"/>
      <c r="N89" s="32"/>
      <c r="O89" s="32"/>
      <c r="P89" s="32"/>
      <c r="Q89" s="32"/>
      <c r="R89" s="32"/>
      <c r="S89" s="32"/>
      <c r="T89" s="32"/>
      <c r="U89" s="32"/>
      <c r="V89" s="32"/>
      <c r="W89" s="32"/>
      <c r="X89" s="32"/>
      <c r="Y89" s="32"/>
    </row>
    <row r="90" ht="144.75" customHeight="1">
      <c r="A90" s="53" t="s">
        <v>192</v>
      </c>
      <c r="B90" s="29">
        <v>2025.0</v>
      </c>
      <c r="C90" s="29" t="s">
        <v>121</v>
      </c>
      <c r="D90" s="29"/>
      <c r="E90" s="29" t="s">
        <v>213</v>
      </c>
      <c r="F90" s="29" t="s">
        <v>26</v>
      </c>
      <c r="G90" s="29" t="s">
        <v>31</v>
      </c>
      <c r="H90" s="50" t="s">
        <v>238</v>
      </c>
      <c r="I90" s="26" t="s">
        <v>240</v>
      </c>
      <c r="J90" s="3"/>
      <c r="K90" s="32"/>
      <c r="L90" s="32"/>
      <c r="M90" s="32"/>
      <c r="N90" s="32"/>
      <c r="O90" s="32"/>
      <c r="P90" s="32"/>
      <c r="Q90" s="32"/>
      <c r="R90" s="32"/>
      <c r="S90" s="32"/>
      <c r="T90" s="32"/>
      <c r="U90" s="32"/>
      <c r="V90" s="32"/>
      <c r="W90" s="32"/>
      <c r="X90" s="32"/>
      <c r="Y90" s="32"/>
    </row>
    <row r="91" ht="221.25" customHeight="1">
      <c r="A91" s="29" t="s">
        <v>192</v>
      </c>
      <c r="B91" s="29">
        <v>2025.0</v>
      </c>
      <c r="C91" s="29" t="s">
        <v>188</v>
      </c>
      <c r="D91" s="29" t="s">
        <v>52</v>
      </c>
      <c r="E91" s="29" t="s">
        <v>213</v>
      </c>
      <c r="F91" s="29" t="s">
        <v>26</v>
      </c>
      <c r="G91" s="29" t="s">
        <v>48</v>
      </c>
      <c r="H91" s="30" t="s">
        <v>241</v>
      </c>
      <c r="I91" s="31" t="s">
        <v>242</v>
      </c>
      <c r="J91" s="32">
        <v>5.0</v>
      </c>
      <c r="K91" s="32">
        <v>3.0</v>
      </c>
      <c r="L91" s="32">
        <v>6.0</v>
      </c>
      <c r="M91" s="32">
        <v>0.0</v>
      </c>
      <c r="N91" s="32">
        <v>0.0</v>
      </c>
      <c r="O91" s="32">
        <v>7.0</v>
      </c>
      <c r="P91" s="32">
        <v>2.0</v>
      </c>
      <c r="Q91" s="54"/>
      <c r="R91" s="54"/>
      <c r="S91" s="54"/>
      <c r="T91" s="54"/>
      <c r="U91" s="54"/>
      <c r="V91" s="54"/>
      <c r="W91" s="54"/>
      <c r="X91" s="54"/>
      <c r="Y91" s="54"/>
    </row>
    <row r="92" ht="221.25" customHeight="1">
      <c r="A92" s="34"/>
      <c r="B92" s="35"/>
      <c r="C92" s="35"/>
      <c r="D92" s="35"/>
      <c r="E92" s="35"/>
      <c r="F92" s="35"/>
      <c r="G92" s="35"/>
      <c r="H92" s="47" t="s">
        <v>243</v>
      </c>
      <c r="I92" s="37"/>
      <c r="J92" s="38">
        <f t="shared" ref="J92:P92" si="3">SUM(J65:J91)</f>
        <v>97</v>
      </c>
      <c r="K92" s="38">
        <f t="shared" si="3"/>
        <v>26</v>
      </c>
      <c r="L92" s="38">
        <f t="shared" si="3"/>
        <v>97</v>
      </c>
      <c r="M92" s="38">
        <f t="shared" si="3"/>
        <v>10</v>
      </c>
      <c r="N92" s="38">
        <f t="shared" si="3"/>
        <v>0</v>
      </c>
      <c r="O92" s="38">
        <f t="shared" si="3"/>
        <v>169</v>
      </c>
      <c r="P92" s="48">
        <f t="shared" si="3"/>
        <v>9</v>
      </c>
      <c r="Q92" s="55"/>
      <c r="R92" s="55"/>
      <c r="S92" s="55"/>
      <c r="T92" s="55"/>
      <c r="U92" s="55"/>
      <c r="V92" s="55"/>
      <c r="W92" s="55"/>
      <c r="X92" s="55"/>
      <c r="Y92" s="55"/>
    </row>
    <row r="93" ht="14.25" customHeight="1">
      <c r="A93" s="17" t="s">
        <v>244</v>
      </c>
      <c r="B93" s="17">
        <v>2014.0</v>
      </c>
      <c r="C93" s="17" t="s">
        <v>24</v>
      </c>
      <c r="D93" s="17"/>
      <c r="E93" s="17" t="s">
        <v>245</v>
      </c>
      <c r="F93" s="17" t="s">
        <v>26</v>
      </c>
      <c r="G93" s="17" t="s">
        <v>27</v>
      </c>
      <c r="H93" s="17" t="s">
        <v>246</v>
      </c>
      <c r="I93" s="17" t="s">
        <v>246</v>
      </c>
      <c r="J93" s="55"/>
      <c r="K93" s="55"/>
      <c r="L93" s="55"/>
      <c r="M93" s="55"/>
      <c r="N93" s="55"/>
      <c r="O93" s="55"/>
      <c r="P93" s="55"/>
      <c r="Q93" s="55"/>
      <c r="R93" s="55"/>
      <c r="S93" s="55"/>
      <c r="T93" s="55"/>
      <c r="U93" s="55"/>
      <c r="V93" s="55"/>
      <c r="W93" s="55"/>
      <c r="X93" s="55"/>
      <c r="Y93" s="55"/>
    </row>
    <row r="94" ht="14.25" customHeight="1">
      <c r="A94" s="23" t="s">
        <v>244</v>
      </c>
      <c r="B94" s="23">
        <v>2014.0</v>
      </c>
      <c r="C94" s="23" t="s">
        <v>30</v>
      </c>
      <c r="D94" s="23"/>
      <c r="E94" s="23" t="s">
        <v>245</v>
      </c>
      <c r="F94" s="23" t="s">
        <v>26</v>
      </c>
      <c r="G94" s="23" t="s">
        <v>31</v>
      </c>
      <c r="H94" s="23" t="s">
        <v>246</v>
      </c>
      <c r="I94" s="23" t="s">
        <v>145</v>
      </c>
      <c r="J94" s="3"/>
      <c r="K94" s="3"/>
      <c r="L94" s="3"/>
      <c r="M94" s="3"/>
      <c r="N94" s="3"/>
      <c r="O94" s="3"/>
      <c r="P94" s="3"/>
      <c r="Q94" s="55"/>
      <c r="R94" s="55"/>
      <c r="S94" s="55"/>
      <c r="T94" s="55"/>
      <c r="U94" s="55"/>
      <c r="V94" s="55"/>
      <c r="W94" s="55"/>
      <c r="X94" s="55"/>
      <c r="Y94" s="55"/>
    </row>
    <row r="95" ht="14.25" customHeight="1">
      <c r="A95" s="23" t="s">
        <v>244</v>
      </c>
      <c r="B95" s="23">
        <v>2014.0</v>
      </c>
      <c r="C95" s="23" t="s">
        <v>34</v>
      </c>
      <c r="D95" s="23"/>
      <c r="E95" s="23" t="s">
        <v>245</v>
      </c>
      <c r="F95" s="23" t="s">
        <v>26</v>
      </c>
      <c r="G95" s="23" t="s">
        <v>35</v>
      </c>
      <c r="H95" s="23" t="s">
        <v>247</v>
      </c>
      <c r="I95" s="23" t="s">
        <v>247</v>
      </c>
      <c r="J95" s="3"/>
      <c r="K95" s="3"/>
      <c r="L95" s="3"/>
      <c r="M95" s="3"/>
      <c r="N95" s="3"/>
      <c r="O95" s="3"/>
      <c r="P95" s="3"/>
      <c r="Q95" s="55"/>
      <c r="R95" s="55"/>
      <c r="S95" s="55"/>
      <c r="T95" s="55"/>
      <c r="U95" s="55"/>
      <c r="V95" s="55"/>
      <c r="W95" s="55"/>
      <c r="X95" s="55"/>
      <c r="Y95" s="55"/>
    </row>
    <row r="96" ht="192.0" customHeight="1">
      <c r="A96" s="23" t="s">
        <v>244</v>
      </c>
      <c r="B96" s="23">
        <v>2015.0</v>
      </c>
      <c r="C96" s="23" t="s">
        <v>115</v>
      </c>
      <c r="D96" s="23"/>
      <c r="E96" s="23" t="s">
        <v>245</v>
      </c>
      <c r="F96" s="23" t="s">
        <v>26</v>
      </c>
      <c r="G96" s="23" t="s">
        <v>27</v>
      </c>
      <c r="H96" s="24" t="s">
        <v>248</v>
      </c>
      <c r="I96" s="26" t="s">
        <v>40</v>
      </c>
      <c r="J96" s="3">
        <v>9.0</v>
      </c>
      <c r="K96" s="3">
        <v>0.0</v>
      </c>
      <c r="L96" s="3">
        <v>6.0</v>
      </c>
      <c r="M96" s="3">
        <v>1.0</v>
      </c>
      <c r="N96" s="3">
        <v>1.0</v>
      </c>
      <c r="O96" s="3">
        <v>10.0</v>
      </c>
      <c r="P96" s="3">
        <v>0.0</v>
      </c>
      <c r="Q96" s="42"/>
      <c r="R96" s="42"/>
      <c r="S96" s="42"/>
      <c r="T96" s="42"/>
      <c r="U96" s="42"/>
      <c r="V96" s="42"/>
      <c r="W96" s="42"/>
      <c r="X96" s="42"/>
      <c r="Y96" s="42"/>
    </row>
    <row r="97" ht="14.25" customHeight="1">
      <c r="A97" s="22" t="s">
        <v>244</v>
      </c>
      <c r="B97" s="29">
        <v>2015.0</v>
      </c>
      <c r="C97" s="29" t="s">
        <v>41</v>
      </c>
      <c r="D97" s="29"/>
      <c r="E97" s="20" t="s">
        <v>245</v>
      </c>
      <c r="F97" s="23" t="s">
        <v>26</v>
      </c>
      <c r="G97" s="23" t="s">
        <v>53</v>
      </c>
      <c r="H97" s="56" t="s">
        <v>200</v>
      </c>
      <c r="I97" s="26" t="s">
        <v>249</v>
      </c>
      <c r="J97" s="42"/>
      <c r="K97" s="42"/>
      <c r="L97" s="42"/>
      <c r="M97" s="42"/>
      <c r="N97" s="42"/>
      <c r="O97" s="42"/>
      <c r="P97" s="42"/>
      <c r="Q97" s="42"/>
      <c r="R97" s="42"/>
      <c r="S97" s="42"/>
      <c r="T97" s="42"/>
      <c r="U97" s="42"/>
      <c r="V97" s="42"/>
      <c r="W97" s="42"/>
      <c r="X97" s="42"/>
      <c r="Y97" s="42"/>
    </row>
    <row r="98" ht="14.25" customHeight="1">
      <c r="A98" s="22" t="s">
        <v>244</v>
      </c>
      <c r="B98" s="23">
        <v>2015.0</v>
      </c>
      <c r="C98" s="23" t="s">
        <v>188</v>
      </c>
      <c r="D98" s="23"/>
      <c r="E98" s="20" t="s">
        <v>245</v>
      </c>
      <c r="F98" s="23" t="s">
        <v>26</v>
      </c>
      <c r="G98" s="23" t="s">
        <v>27</v>
      </c>
      <c r="H98" s="56" t="s">
        <v>200</v>
      </c>
      <c r="I98" s="26" t="s">
        <v>250</v>
      </c>
      <c r="J98" s="42"/>
      <c r="K98" s="42"/>
      <c r="L98" s="42"/>
      <c r="M98" s="42"/>
      <c r="N98" s="42"/>
      <c r="O98" s="42"/>
      <c r="P98" s="42"/>
      <c r="Q98" s="42"/>
      <c r="R98" s="42"/>
      <c r="S98" s="42"/>
      <c r="T98" s="42"/>
      <c r="U98" s="42"/>
      <c r="V98" s="42"/>
      <c r="W98" s="42"/>
      <c r="X98" s="42"/>
      <c r="Y98" s="42"/>
    </row>
    <row r="99" ht="181.5" customHeight="1">
      <c r="A99" s="22" t="s">
        <v>244</v>
      </c>
      <c r="B99" s="23">
        <v>2016.0</v>
      </c>
      <c r="C99" s="23" t="s">
        <v>51</v>
      </c>
      <c r="D99" s="23" t="s">
        <v>52</v>
      </c>
      <c r="E99" s="23" t="s">
        <v>245</v>
      </c>
      <c r="F99" s="23" t="s">
        <v>26</v>
      </c>
      <c r="G99" s="23" t="s">
        <v>53</v>
      </c>
      <c r="H99" s="24" t="s">
        <v>251</v>
      </c>
      <c r="I99" s="26" t="s">
        <v>147</v>
      </c>
      <c r="J99" s="3">
        <v>4.0</v>
      </c>
      <c r="K99" s="3">
        <v>0.0</v>
      </c>
      <c r="L99" s="3">
        <v>7.0</v>
      </c>
      <c r="M99" s="3">
        <v>0.0</v>
      </c>
      <c r="N99" s="3">
        <v>0.0</v>
      </c>
      <c r="O99" s="3">
        <v>15.0</v>
      </c>
      <c r="P99" s="3">
        <v>0.0</v>
      </c>
      <c r="Q99" s="3"/>
      <c r="R99" s="3"/>
      <c r="S99" s="3"/>
      <c r="T99" s="3"/>
      <c r="U99" s="3"/>
      <c r="V99" s="3"/>
      <c r="W99" s="3"/>
      <c r="X99" s="3"/>
      <c r="Y99" s="3"/>
    </row>
    <row r="100" ht="181.5" customHeight="1">
      <c r="A100" s="22" t="s">
        <v>244</v>
      </c>
      <c r="B100" s="23">
        <v>2016.0</v>
      </c>
      <c r="C100" s="23" t="s">
        <v>46</v>
      </c>
      <c r="D100" s="23"/>
      <c r="E100" s="23" t="s">
        <v>245</v>
      </c>
      <c r="F100" s="23" t="s">
        <v>26</v>
      </c>
      <c r="G100" s="23" t="s">
        <v>126</v>
      </c>
      <c r="H100" s="24" t="s">
        <v>252</v>
      </c>
      <c r="I100" s="26" t="s">
        <v>253</v>
      </c>
      <c r="J100" s="3">
        <v>3.0</v>
      </c>
      <c r="K100" s="3">
        <v>2.0</v>
      </c>
      <c r="L100" s="3">
        <v>4.0</v>
      </c>
      <c r="M100" s="3">
        <v>1.0</v>
      </c>
      <c r="N100" s="3">
        <v>0.0</v>
      </c>
      <c r="O100" s="3">
        <v>5.0</v>
      </c>
      <c r="P100" s="3">
        <v>0.0</v>
      </c>
      <c r="Q100" s="3"/>
      <c r="R100" s="3"/>
      <c r="S100" s="3"/>
      <c r="T100" s="3"/>
      <c r="U100" s="3"/>
      <c r="V100" s="3"/>
      <c r="W100" s="3"/>
      <c r="X100" s="3"/>
      <c r="Y100" s="3"/>
    </row>
    <row r="101" ht="181.5" customHeight="1">
      <c r="A101" s="22" t="s">
        <v>244</v>
      </c>
      <c r="B101" s="23">
        <v>2017.0</v>
      </c>
      <c r="C101" s="23" t="s">
        <v>148</v>
      </c>
      <c r="D101" s="23"/>
      <c r="E101" s="23" t="s">
        <v>245</v>
      </c>
      <c r="F101" s="23" t="s">
        <v>26</v>
      </c>
      <c r="G101" s="23" t="s">
        <v>103</v>
      </c>
      <c r="H101" s="24" t="s">
        <v>254</v>
      </c>
      <c r="I101" s="26" t="s">
        <v>59</v>
      </c>
      <c r="J101" s="3">
        <v>6.0</v>
      </c>
      <c r="K101" s="3">
        <v>0.0</v>
      </c>
      <c r="L101" s="3">
        <v>5.0</v>
      </c>
      <c r="M101" s="3">
        <v>0.0</v>
      </c>
      <c r="N101" s="3">
        <v>0.0</v>
      </c>
      <c r="O101" s="3">
        <v>9.0</v>
      </c>
      <c r="P101" s="3">
        <v>0.0</v>
      </c>
      <c r="Q101" s="3"/>
      <c r="R101" s="3"/>
      <c r="S101" s="3"/>
      <c r="T101" s="3"/>
      <c r="U101" s="3"/>
      <c r="V101" s="3"/>
      <c r="W101" s="3"/>
      <c r="X101" s="3"/>
      <c r="Y101" s="3"/>
    </row>
    <row r="102" ht="138.75" customHeight="1">
      <c r="A102" s="22" t="s">
        <v>244</v>
      </c>
      <c r="B102" s="23">
        <v>2017.0</v>
      </c>
      <c r="C102" s="23" t="s">
        <v>60</v>
      </c>
      <c r="D102" s="23"/>
      <c r="E102" s="23" t="s">
        <v>245</v>
      </c>
      <c r="F102" s="23" t="s">
        <v>26</v>
      </c>
      <c r="G102" s="23" t="s">
        <v>61</v>
      </c>
      <c r="H102" s="24" t="s">
        <v>255</v>
      </c>
      <c r="I102" s="26" t="s">
        <v>63</v>
      </c>
      <c r="J102" s="3">
        <v>4.0</v>
      </c>
      <c r="K102" s="3">
        <v>0.0</v>
      </c>
      <c r="L102" s="3">
        <v>6.0</v>
      </c>
      <c r="M102" s="3">
        <v>0.0</v>
      </c>
      <c r="N102" s="3">
        <v>0.0</v>
      </c>
      <c r="O102" s="3">
        <v>9.0</v>
      </c>
      <c r="P102" s="3">
        <v>0.0</v>
      </c>
      <c r="Q102" s="3"/>
      <c r="R102" s="3"/>
      <c r="S102" s="3"/>
      <c r="T102" s="3"/>
      <c r="U102" s="3"/>
      <c r="V102" s="3"/>
      <c r="W102" s="3"/>
      <c r="X102" s="3"/>
      <c r="Y102" s="3"/>
    </row>
    <row r="103" ht="138.75" customHeight="1">
      <c r="A103" s="22" t="s">
        <v>244</v>
      </c>
      <c r="B103" s="23">
        <v>2018.0</v>
      </c>
      <c r="C103" s="23" t="s">
        <v>67</v>
      </c>
      <c r="D103" s="23"/>
      <c r="E103" s="23" t="s">
        <v>256</v>
      </c>
      <c r="F103" s="23" t="s">
        <v>26</v>
      </c>
      <c r="G103" s="23" t="s">
        <v>126</v>
      </c>
      <c r="H103" s="24" t="s">
        <v>257</v>
      </c>
      <c r="I103" s="26" t="s">
        <v>258</v>
      </c>
      <c r="J103" s="3">
        <v>5.0</v>
      </c>
      <c r="K103" s="3">
        <v>0.0</v>
      </c>
      <c r="L103" s="3">
        <v>6.0</v>
      </c>
      <c r="M103" s="3">
        <v>0.0</v>
      </c>
      <c r="N103" s="3">
        <v>0.0</v>
      </c>
      <c r="O103" s="3">
        <v>10.0</v>
      </c>
      <c r="P103" s="3">
        <v>1.0</v>
      </c>
      <c r="Q103" s="3"/>
      <c r="R103" s="3"/>
      <c r="S103" s="3"/>
      <c r="T103" s="3"/>
      <c r="U103" s="3"/>
      <c r="V103" s="3"/>
      <c r="W103" s="3"/>
      <c r="X103" s="3"/>
      <c r="Y103" s="3"/>
    </row>
    <row r="104" ht="120.0" customHeight="1">
      <c r="A104" s="22" t="s">
        <v>244</v>
      </c>
      <c r="B104" s="23">
        <v>2018.0</v>
      </c>
      <c r="C104" s="23" t="s">
        <v>64</v>
      </c>
      <c r="D104" s="23" t="s">
        <v>52</v>
      </c>
      <c r="E104" s="23" t="s">
        <v>256</v>
      </c>
      <c r="F104" s="23" t="s">
        <v>26</v>
      </c>
      <c r="G104" s="23" t="s">
        <v>61</v>
      </c>
      <c r="H104" s="24" t="s">
        <v>259</v>
      </c>
      <c r="I104" s="26" t="s">
        <v>66</v>
      </c>
      <c r="J104" s="3">
        <v>4.0</v>
      </c>
      <c r="K104" s="3"/>
      <c r="L104" s="3">
        <v>2.0</v>
      </c>
      <c r="M104" s="3">
        <v>0.0</v>
      </c>
      <c r="N104" s="3">
        <v>0.0</v>
      </c>
      <c r="O104" s="3">
        <v>13.0</v>
      </c>
      <c r="P104" s="3">
        <v>1.0</v>
      </c>
      <c r="Q104" s="3"/>
      <c r="R104" s="3"/>
      <c r="S104" s="3"/>
      <c r="T104" s="3"/>
      <c r="U104" s="3"/>
      <c r="V104" s="3"/>
      <c r="W104" s="3"/>
      <c r="X104" s="3"/>
      <c r="Y104" s="3"/>
    </row>
    <row r="105" ht="259.5" customHeight="1">
      <c r="A105" s="22" t="s">
        <v>244</v>
      </c>
      <c r="B105" s="23">
        <v>2019.0</v>
      </c>
      <c r="C105" s="23" t="s">
        <v>71</v>
      </c>
      <c r="D105" s="23"/>
      <c r="E105" s="23" t="s">
        <v>256</v>
      </c>
      <c r="F105" s="23" t="s">
        <v>26</v>
      </c>
      <c r="G105" s="23" t="s">
        <v>72</v>
      </c>
      <c r="H105" s="24" t="s">
        <v>260</v>
      </c>
      <c r="I105" s="26" t="s">
        <v>261</v>
      </c>
      <c r="J105" s="3">
        <v>6.0</v>
      </c>
      <c r="K105" s="3">
        <v>0.0</v>
      </c>
      <c r="L105" s="3">
        <v>3.0</v>
      </c>
      <c r="M105" s="3">
        <v>0.0</v>
      </c>
      <c r="N105" s="3">
        <v>0.0</v>
      </c>
      <c r="O105" s="3">
        <v>11.0</v>
      </c>
      <c r="P105" s="3">
        <v>0.0</v>
      </c>
      <c r="Q105" s="3"/>
      <c r="R105" s="3"/>
      <c r="S105" s="3"/>
      <c r="T105" s="3"/>
      <c r="U105" s="3"/>
      <c r="V105" s="3"/>
      <c r="W105" s="3"/>
      <c r="X105" s="3"/>
      <c r="Y105" s="3"/>
    </row>
    <row r="106" ht="250.5" customHeight="1">
      <c r="A106" s="22" t="s">
        <v>244</v>
      </c>
      <c r="B106" s="23">
        <v>2019.0</v>
      </c>
      <c r="C106" s="23" t="s">
        <v>75</v>
      </c>
      <c r="D106" s="23"/>
      <c r="E106" s="23" t="s">
        <v>256</v>
      </c>
      <c r="F106" s="23" t="s">
        <v>26</v>
      </c>
      <c r="G106" s="23" t="s">
        <v>76</v>
      </c>
      <c r="H106" s="57" t="s">
        <v>262</v>
      </c>
      <c r="I106" s="58" t="s">
        <v>263</v>
      </c>
      <c r="J106" s="3">
        <v>10.0</v>
      </c>
      <c r="K106" s="3">
        <v>2.0</v>
      </c>
      <c r="L106" s="3">
        <v>2.0</v>
      </c>
      <c r="M106" s="3">
        <v>1.0</v>
      </c>
      <c r="N106" s="3">
        <v>0.0</v>
      </c>
      <c r="O106" s="3">
        <v>11.0</v>
      </c>
      <c r="P106" s="3">
        <v>2.0</v>
      </c>
      <c r="Q106" s="3"/>
      <c r="R106" s="3"/>
      <c r="S106" s="3"/>
      <c r="T106" s="3"/>
      <c r="U106" s="3"/>
      <c r="V106" s="3"/>
      <c r="W106" s="3"/>
      <c r="X106" s="3"/>
      <c r="Y106" s="3"/>
    </row>
    <row r="107" ht="75.0" customHeight="1">
      <c r="A107" s="22" t="s">
        <v>244</v>
      </c>
      <c r="B107" s="23">
        <v>2019.0</v>
      </c>
      <c r="C107" s="23" t="s">
        <v>79</v>
      </c>
      <c r="D107" s="59" t="s">
        <v>264</v>
      </c>
      <c r="E107" s="23" t="s">
        <v>256</v>
      </c>
      <c r="F107" s="23" t="s">
        <v>26</v>
      </c>
      <c r="G107" s="23" t="s">
        <v>126</v>
      </c>
      <c r="H107" s="24" t="s">
        <v>265</v>
      </c>
      <c r="I107" s="26" t="s">
        <v>266</v>
      </c>
      <c r="J107" s="3"/>
      <c r="K107" s="3"/>
      <c r="L107" s="3"/>
      <c r="M107" s="3"/>
      <c r="N107" s="3"/>
      <c r="O107" s="3"/>
      <c r="P107" s="3"/>
      <c r="Q107" s="3"/>
      <c r="R107" s="3"/>
      <c r="S107" s="3"/>
      <c r="T107" s="3"/>
      <c r="U107" s="3"/>
      <c r="V107" s="3"/>
      <c r="W107" s="3"/>
      <c r="X107" s="3"/>
      <c r="Y107" s="3"/>
    </row>
    <row r="108" ht="207.0" customHeight="1">
      <c r="A108" s="22" t="s">
        <v>244</v>
      </c>
      <c r="B108" s="23">
        <v>2020.0</v>
      </c>
      <c r="C108" s="23" t="s">
        <v>148</v>
      </c>
      <c r="D108" s="23"/>
      <c r="E108" s="23" t="s">
        <v>267</v>
      </c>
      <c r="F108" s="23" t="s">
        <v>26</v>
      </c>
      <c r="G108" s="23" t="s">
        <v>82</v>
      </c>
      <c r="H108" s="24" t="s">
        <v>268</v>
      </c>
      <c r="I108" s="26" t="s">
        <v>269</v>
      </c>
      <c r="J108" s="3">
        <v>3.0</v>
      </c>
      <c r="K108" s="3">
        <v>0.0</v>
      </c>
      <c r="L108" s="3">
        <v>5.0</v>
      </c>
      <c r="M108" s="3">
        <v>0.0</v>
      </c>
      <c r="N108" s="3">
        <v>0.0</v>
      </c>
      <c r="O108" s="3">
        <v>4.0</v>
      </c>
      <c r="P108" s="3">
        <v>0.0</v>
      </c>
      <c r="Q108" s="3"/>
      <c r="R108" s="3"/>
      <c r="S108" s="3"/>
      <c r="T108" s="3"/>
      <c r="U108" s="3"/>
      <c r="V108" s="3"/>
      <c r="W108" s="3"/>
      <c r="X108" s="3"/>
      <c r="Y108" s="3"/>
    </row>
    <row r="109" ht="147.0" customHeight="1">
      <c r="A109" s="22" t="s">
        <v>244</v>
      </c>
      <c r="B109" s="23">
        <v>2020.0</v>
      </c>
      <c r="C109" s="23" t="s">
        <v>86</v>
      </c>
      <c r="D109" s="23"/>
      <c r="E109" s="23" t="s">
        <v>256</v>
      </c>
      <c r="F109" s="23" t="s">
        <v>26</v>
      </c>
      <c r="G109" s="23" t="s">
        <v>82</v>
      </c>
      <c r="H109" s="24" t="s">
        <v>270</v>
      </c>
      <c r="I109" s="26" t="s">
        <v>88</v>
      </c>
      <c r="J109" s="3">
        <v>2.0</v>
      </c>
      <c r="K109" s="3">
        <v>1.0</v>
      </c>
      <c r="L109" s="3">
        <v>4.0</v>
      </c>
      <c r="M109" s="3">
        <v>0.0</v>
      </c>
      <c r="N109" s="3">
        <v>0.0</v>
      </c>
      <c r="O109" s="3">
        <v>5.0</v>
      </c>
      <c r="P109" s="3">
        <v>0.0</v>
      </c>
      <c r="Q109" s="3"/>
      <c r="R109" s="3"/>
      <c r="S109" s="3"/>
      <c r="T109" s="3"/>
      <c r="U109" s="3"/>
      <c r="V109" s="3"/>
      <c r="W109" s="3"/>
      <c r="X109" s="3"/>
      <c r="Y109" s="3"/>
    </row>
    <row r="110" ht="183.0" customHeight="1">
      <c r="A110" s="22" t="s">
        <v>244</v>
      </c>
      <c r="B110" s="23">
        <v>2020.0</v>
      </c>
      <c r="C110" s="23" t="s">
        <v>271</v>
      </c>
      <c r="D110" s="23"/>
      <c r="E110" s="23" t="s">
        <v>256</v>
      </c>
      <c r="F110" s="23" t="s">
        <v>26</v>
      </c>
      <c r="G110" s="23" t="s">
        <v>96</v>
      </c>
      <c r="H110" s="24" t="s">
        <v>272</v>
      </c>
      <c r="I110" s="26" t="s">
        <v>273</v>
      </c>
      <c r="J110" s="3">
        <v>4.0</v>
      </c>
      <c r="K110" s="3">
        <v>0.0</v>
      </c>
      <c r="L110" s="3">
        <v>2.0</v>
      </c>
      <c r="M110" s="3">
        <v>0.0</v>
      </c>
      <c r="N110" s="3">
        <v>0.0</v>
      </c>
      <c r="O110" s="3">
        <v>10.0</v>
      </c>
      <c r="P110" s="3">
        <v>0.0</v>
      </c>
      <c r="Q110" s="3"/>
      <c r="R110" s="3"/>
      <c r="S110" s="3"/>
      <c r="T110" s="3"/>
      <c r="U110" s="3"/>
      <c r="V110" s="3"/>
      <c r="W110" s="3"/>
      <c r="X110" s="3"/>
      <c r="Y110" s="3"/>
    </row>
    <row r="111" ht="183.0" customHeight="1">
      <c r="A111" s="22" t="s">
        <v>244</v>
      </c>
      <c r="B111" s="23">
        <v>2021.0</v>
      </c>
      <c r="C111" s="23" t="s">
        <v>99</v>
      </c>
      <c r="D111" s="23"/>
      <c r="E111" s="23" t="s">
        <v>256</v>
      </c>
      <c r="F111" s="23" t="s">
        <v>26</v>
      </c>
      <c r="G111" s="23" t="s">
        <v>82</v>
      </c>
      <c r="H111" s="24" t="s">
        <v>274</v>
      </c>
      <c r="I111" s="25" t="s">
        <v>275</v>
      </c>
      <c r="J111" s="3">
        <v>6.0</v>
      </c>
      <c r="K111" s="3">
        <v>0.0</v>
      </c>
      <c r="L111" s="3">
        <v>3.0</v>
      </c>
      <c r="M111" s="3">
        <v>0.0</v>
      </c>
      <c r="N111" s="3">
        <v>0.0</v>
      </c>
      <c r="O111" s="3">
        <v>8.0</v>
      </c>
      <c r="P111" s="3">
        <v>0.0</v>
      </c>
      <c r="Q111" s="3"/>
      <c r="R111" s="3"/>
      <c r="S111" s="3"/>
      <c r="T111" s="3"/>
      <c r="U111" s="3"/>
      <c r="V111" s="3"/>
      <c r="W111" s="3"/>
      <c r="X111" s="3"/>
      <c r="Y111" s="3"/>
    </row>
    <row r="112" ht="183.0" customHeight="1">
      <c r="A112" s="22" t="s">
        <v>244</v>
      </c>
      <c r="B112" s="23">
        <v>2021.0</v>
      </c>
      <c r="C112" s="23" t="s">
        <v>95</v>
      </c>
      <c r="D112" s="23"/>
      <c r="E112" s="23" t="s">
        <v>267</v>
      </c>
      <c r="F112" s="23" t="s">
        <v>26</v>
      </c>
      <c r="G112" s="23" t="s">
        <v>82</v>
      </c>
      <c r="H112" s="24" t="s">
        <v>276</v>
      </c>
      <c r="I112" s="26" t="s">
        <v>277</v>
      </c>
      <c r="J112" s="3">
        <v>4.0</v>
      </c>
      <c r="K112" s="3">
        <v>1.0</v>
      </c>
      <c r="L112" s="3">
        <v>4.0</v>
      </c>
      <c r="M112" s="3">
        <v>0.0</v>
      </c>
      <c r="N112" s="3">
        <v>0.0</v>
      </c>
      <c r="O112" s="3">
        <v>5.0</v>
      </c>
      <c r="P112" s="3">
        <v>0.0</v>
      </c>
      <c r="Q112" s="3"/>
      <c r="R112" s="3"/>
      <c r="S112" s="3"/>
      <c r="T112" s="3"/>
      <c r="U112" s="3"/>
      <c r="V112" s="3"/>
      <c r="W112" s="3"/>
      <c r="X112" s="3"/>
      <c r="Y112" s="3"/>
    </row>
    <row r="113" ht="154.5" customHeight="1">
      <c r="A113" s="22" t="s">
        <v>244</v>
      </c>
      <c r="B113" s="23">
        <v>2021.0</v>
      </c>
      <c r="C113" s="23" t="s">
        <v>169</v>
      </c>
      <c r="D113" s="23"/>
      <c r="E113" s="23" t="s">
        <v>256</v>
      </c>
      <c r="F113" s="23" t="s">
        <v>26</v>
      </c>
      <c r="G113" s="23" t="s">
        <v>82</v>
      </c>
      <c r="H113" s="24" t="s">
        <v>272</v>
      </c>
      <c r="I113" s="26" t="s">
        <v>273</v>
      </c>
      <c r="J113" s="3">
        <v>4.0</v>
      </c>
      <c r="K113" s="3">
        <v>0.0</v>
      </c>
      <c r="L113" s="3">
        <v>2.0</v>
      </c>
      <c r="M113" s="3">
        <v>0.0</v>
      </c>
      <c r="N113" s="3">
        <v>0.0</v>
      </c>
      <c r="O113" s="3">
        <v>10.0</v>
      </c>
      <c r="P113" s="3">
        <v>0.0</v>
      </c>
      <c r="Q113" s="3"/>
      <c r="R113" s="3"/>
      <c r="S113" s="3"/>
      <c r="T113" s="3"/>
      <c r="U113" s="3"/>
      <c r="V113" s="3"/>
      <c r="W113" s="3"/>
      <c r="X113" s="3"/>
      <c r="Y113" s="3"/>
    </row>
    <row r="114" ht="189.0" customHeight="1">
      <c r="A114" s="22" t="s">
        <v>244</v>
      </c>
      <c r="B114" s="23">
        <v>2022.0</v>
      </c>
      <c r="C114" s="23" t="s">
        <v>102</v>
      </c>
      <c r="D114" s="23"/>
      <c r="E114" s="23" t="s">
        <v>256</v>
      </c>
      <c r="F114" s="23" t="s">
        <v>26</v>
      </c>
      <c r="G114" s="23" t="s">
        <v>103</v>
      </c>
      <c r="H114" s="24" t="s">
        <v>278</v>
      </c>
      <c r="I114" s="25" t="s">
        <v>279</v>
      </c>
      <c r="J114" s="3">
        <v>9.0</v>
      </c>
      <c r="K114" s="3">
        <v>0.0</v>
      </c>
      <c r="L114" s="3">
        <v>5.0</v>
      </c>
      <c r="M114" s="3">
        <v>3.0</v>
      </c>
      <c r="N114" s="3">
        <v>0.0</v>
      </c>
      <c r="O114" s="3">
        <v>13.0</v>
      </c>
      <c r="P114" s="3">
        <v>0.0</v>
      </c>
      <c r="Q114" s="3"/>
      <c r="R114" s="3"/>
      <c r="S114" s="3"/>
      <c r="T114" s="3"/>
      <c r="U114" s="3"/>
      <c r="V114" s="3"/>
      <c r="W114" s="3"/>
      <c r="X114" s="3"/>
      <c r="Y114" s="3"/>
    </row>
    <row r="115" ht="189.0" customHeight="1">
      <c r="A115" s="22" t="s">
        <v>244</v>
      </c>
      <c r="B115" s="23">
        <v>2022.0</v>
      </c>
      <c r="C115" s="23" t="s">
        <v>106</v>
      </c>
      <c r="D115" s="23"/>
      <c r="E115" s="23" t="s">
        <v>256</v>
      </c>
      <c r="F115" s="23" t="s">
        <v>26</v>
      </c>
      <c r="G115" s="23" t="s">
        <v>82</v>
      </c>
      <c r="H115" s="24" t="s">
        <v>280</v>
      </c>
      <c r="I115" s="25" t="s">
        <v>281</v>
      </c>
      <c r="J115" s="3">
        <v>3.0</v>
      </c>
      <c r="K115" s="3">
        <v>0.0</v>
      </c>
      <c r="L115" s="3">
        <v>3.0</v>
      </c>
      <c r="M115" s="3">
        <v>0.0</v>
      </c>
      <c r="N115" s="3">
        <v>0.0</v>
      </c>
      <c r="O115" s="3">
        <v>4.0</v>
      </c>
      <c r="P115" s="3">
        <v>0.0</v>
      </c>
      <c r="Q115" s="3"/>
      <c r="R115" s="3"/>
      <c r="S115" s="3"/>
      <c r="T115" s="3"/>
      <c r="U115" s="3"/>
      <c r="V115" s="3"/>
      <c r="W115" s="3"/>
      <c r="X115" s="3"/>
      <c r="Y115" s="3"/>
    </row>
    <row r="116" ht="126.75" customHeight="1">
      <c r="A116" s="22" t="s">
        <v>244</v>
      </c>
      <c r="B116" s="23">
        <v>2023.0</v>
      </c>
      <c r="C116" s="23" t="s">
        <v>112</v>
      </c>
      <c r="D116" s="23"/>
      <c r="E116" s="23" t="s">
        <v>256</v>
      </c>
      <c r="F116" s="23" t="s">
        <v>26</v>
      </c>
      <c r="G116" s="23" t="s">
        <v>48</v>
      </c>
      <c r="H116" s="24" t="s">
        <v>282</v>
      </c>
      <c r="I116" s="26" t="s">
        <v>283</v>
      </c>
      <c r="J116" s="3">
        <v>2.0</v>
      </c>
      <c r="K116" s="3">
        <v>1.0</v>
      </c>
      <c r="L116" s="3">
        <v>2.0</v>
      </c>
      <c r="M116" s="3">
        <v>1.0</v>
      </c>
      <c r="N116" s="3">
        <v>0.0</v>
      </c>
      <c r="O116" s="3">
        <v>6.0</v>
      </c>
      <c r="P116" s="3">
        <v>0.0</v>
      </c>
      <c r="Q116" s="3"/>
      <c r="R116" s="3"/>
      <c r="S116" s="3"/>
      <c r="T116" s="3"/>
      <c r="U116" s="3"/>
      <c r="V116" s="3"/>
      <c r="W116" s="3"/>
      <c r="X116" s="3"/>
      <c r="Y116" s="3"/>
    </row>
    <row r="117" ht="126.75" customHeight="1">
      <c r="A117" s="22" t="s">
        <v>244</v>
      </c>
      <c r="B117" s="23">
        <v>2023.0</v>
      </c>
      <c r="C117" s="23" t="s">
        <v>109</v>
      </c>
      <c r="D117" s="23" t="s">
        <v>52</v>
      </c>
      <c r="E117" s="23" t="s">
        <v>256</v>
      </c>
      <c r="F117" s="23" t="s">
        <v>26</v>
      </c>
      <c r="G117" s="23" t="s">
        <v>27</v>
      </c>
      <c r="H117" s="24" t="s">
        <v>284</v>
      </c>
      <c r="I117" s="26" t="s">
        <v>179</v>
      </c>
      <c r="J117" s="3">
        <v>2.0</v>
      </c>
      <c r="K117" s="3">
        <v>0.0</v>
      </c>
      <c r="L117" s="3">
        <v>0.0</v>
      </c>
      <c r="M117" s="3">
        <v>1.0</v>
      </c>
      <c r="N117" s="3">
        <v>0.0</v>
      </c>
      <c r="O117" s="3">
        <v>7.0</v>
      </c>
      <c r="P117" s="3">
        <v>0.0</v>
      </c>
      <c r="Q117" s="3"/>
      <c r="R117" s="3"/>
      <c r="S117" s="3"/>
      <c r="T117" s="3"/>
      <c r="U117" s="3"/>
      <c r="V117" s="3"/>
      <c r="W117" s="3"/>
      <c r="X117" s="3"/>
      <c r="Y117" s="3"/>
    </row>
    <row r="118" ht="152.25" customHeight="1">
      <c r="A118" s="22" t="s">
        <v>244</v>
      </c>
      <c r="B118" s="23">
        <v>2024.0</v>
      </c>
      <c r="C118" s="23" t="s">
        <v>115</v>
      </c>
      <c r="D118" s="23" t="s">
        <v>52</v>
      </c>
      <c r="E118" s="23" t="s">
        <v>256</v>
      </c>
      <c r="F118" s="23" t="s">
        <v>26</v>
      </c>
      <c r="G118" s="23" t="s">
        <v>27</v>
      </c>
      <c r="H118" s="24" t="s">
        <v>285</v>
      </c>
      <c r="I118" s="25" t="s">
        <v>286</v>
      </c>
      <c r="J118" s="3">
        <v>2.0</v>
      </c>
      <c r="K118" s="3">
        <v>0.0</v>
      </c>
      <c r="L118" s="3">
        <v>3.0</v>
      </c>
      <c r="M118" s="3">
        <v>1.0</v>
      </c>
      <c r="N118" s="3">
        <v>0.0</v>
      </c>
      <c r="O118" s="3">
        <v>7.0</v>
      </c>
      <c r="P118" s="3">
        <v>0.0</v>
      </c>
      <c r="Q118" s="3"/>
      <c r="R118" s="3"/>
      <c r="S118" s="3"/>
      <c r="T118" s="3"/>
      <c r="U118" s="3"/>
      <c r="V118" s="3"/>
      <c r="W118" s="3"/>
      <c r="X118" s="3"/>
      <c r="Y118" s="3"/>
    </row>
    <row r="119" ht="152.25" customHeight="1">
      <c r="A119" s="33" t="s">
        <v>244</v>
      </c>
      <c r="B119" s="29">
        <v>2024.0</v>
      </c>
      <c r="C119" s="29" t="s">
        <v>46</v>
      </c>
      <c r="D119" s="29"/>
      <c r="E119" s="23" t="s">
        <v>256</v>
      </c>
      <c r="F119" s="23" t="s">
        <v>26</v>
      </c>
      <c r="G119" s="23" t="s">
        <v>82</v>
      </c>
      <c r="H119" s="24" t="s">
        <v>287</v>
      </c>
      <c r="I119" s="23" t="s">
        <v>288</v>
      </c>
      <c r="J119" s="60">
        <v>2.0</v>
      </c>
      <c r="K119" s="60">
        <v>0.0</v>
      </c>
      <c r="L119" s="32">
        <v>0.0</v>
      </c>
      <c r="M119" s="32">
        <v>0.0</v>
      </c>
      <c r="N119" s="32">
        <v>0.0</v>
      </c>
      <c r="O119" s="32">
        <v>5.0</v>
      </c>
      <c r="P119" s="32">
        <v>0.0</v>
      </c>
      <c r="Q119" s="3"/>
      <c r="R119" s="3"/>
      <c r="S119" s="3"/>
      <c r="T119" s="3"/>
      <c r="U119" s="3"/>
      <c r="V119" s="3"/>
      <c r="W119" s="3"/>
      <c r="X119" s="3"/>
      <c r="Y119" s="3"/>
    </row>
    <row r="120" ht="152.25" customHeight="1">
      <c r="A120" s="33" t="s">
        <v>244</v>
      </c>
      <c r="B120" s="29">
        <v>2025.0</v>
      </c>
      <c r="C120" s="29" t="s">
        <v>121</v>
      </c>
      <c r="D120" s="29"/>
      <c r="E120" s="23" t="s">
        <v>256</v>
      </c>
      <c r="F120" s="23" t="s">
        <v>26</v>
      </c>
      <c r="G120" s="23" t="s">
        <v>82</v>
      </c>
      <c r="H120" s="56" t="s">
        <v>289</v>
      </c>
      <c r="I120" s="25" t="s">
        <v>290</v>
      </c>
      <c r="J120" s="60"/>
      <c r="K120" s="60"/>
      <c r="L120" s="32"/>
      <c r="M120" s="32"/>
      <c r="N120" s="32"/>
      <c r="O120" s="32"/>
      <c r="P120" s="32"/>
      <c r="Q120" s="3"/>
      <c r="R120" s="3"/>
      <c r="S120" s="3"/>
      <c r="T120" s="3"/>
      <c r="U120" s="3"/>
      <c r="V120" s="3"/>
      <c r="W120" s="3"/>
      <c r="X120" s="3"/>
      <c r="Y120" s="3"/>
    </row>
    <row r="121" ht="150.0" customHeight="1">
      <c r="A121" s="33" t="s">
        <v>244</v>
      </c>
      <c r="B121" s="29">
        <v>2025.0</v>
      </c>
      <c r="C121" s="29" t="s">
        <v>45</v>
      </c>
      <c r="D121" s="29" t="s">
        <v>52</v>
      </c>
      <c r="E121" s="29" t="s">
        <v>256</v>
      </c>
      <c r="F121" s="29" t="s">
        <v>26</v>
      </c>
      <c r="G121" s="29" t="s">
        <v>48</v>
      </c>
      <c r="H121" s="30" t="s">
        <v>291</v>
      </c>
      <c r="I121" s="31" t="s">
        <v>292</v>
      </c>
      <c r="J121" s="60">
        <v>4.0</v>
      </c>
      <c r="K121" s="60">
        <v>1.0</v>
      </c>
      <c r="L121" s="32">
        <v>7.0</v>
      </c>
      <c r="M121" s="32">
        <v>1.0</v>
      </c>
      <c r="N121" s="32">
        <v>0.0</v>
      </c>
      <c r="O121" s="32">
        <v>6.0</v>
      </c>
      <c r="P121" s="32">
        <v>0.0</v>
      </c>
      <c r="Q121" s="3"/>
      <c r="R121" s="3"/>
      <c r="S121" s="3"/>
      <c r="T121" s="3"/>
      <c r="U121" s="3"/>
      <c r="V121" s="3"/>
      <c r="W121" s="3"/>
      <c r="X121" s="3"/>
      <c r="Y121" s="3"/>
    </row>
    <row r="122" ht="150.0" customHeight="1">
      <c r="A122" s="34"/>
      <c r="B122" s="35"/>
      <c r="C122" s="35"/>
      <c r="D122" s="35"/>
      <c r="E122" s="35"/>
      <c r="F122" s="35"/>
      <c r="G122" s="35"/>
      <c r="H122" s="35" t="s">
        <v>293</v>
      </c>
      <c r="I122" s="37"/>
      <c r="J122" s="61">
        <f t="shared" ref="J122:P122" si="4">SUM(J93:J121)</f>
        <v>98</v>
      </c>
      <c r="K122" s="61">
        <f t="shared" si="4"/>
        <v>8</v>
      </c>
      <c r="L122" s="61">
        <f t="shared" si="4"/>
        <v>81</v>
      </c>
      <c r="M122" s="61">
        <f t="shared" si="4"/>
        <v>10</v>
      </c>
      <c r="N122" s="61">
        <f t="shared" si="4"/>
        <v>1</v>
      </c>
      <c r="O122" s="61">
        <f t="shared" si="4"/>
        <v>183</v>
      </c>
      <c r="P122" s="62">
        <f t="shared" si="4"/>
        <v>4</v>
      </c>
      <c r="Q122" s="3"/>
      <c r="R122" s="3"/>
      <c r="S122" s="3"/>
      <c r="T122" s="3"/>
      <c r="U122" s="3"/>
      <c r="V122" s="3"/>
      <c r="W122" s="3"/>
      <c r="X122" s="3"/>
      <c r="Y122" s="3"/>
    </row>
    <row r="123" ht="150.0" customHeight="1">
      <c r="A123" s="20" t="s">
        <v>294</v>
      </c>
      <c r="B123" s="20">
        <v>2014.0</v>
      </c>
      <c r="C123" s="20" t="s">
        <v>24</v>
      </c>
      <c r="D123" s="20"/>
      <c r="E123" s="20" t="s">
        <v>295</v>
      </c>
      <c r="F123" s="20" t="s">
        <v>26</v>
      </c>
      <c r="G123" s="20" t="s">
        <v>27</v>
      </c>
      <c r="H123" s="27" t="s">
        <v>296</v>
      </c>
      <c r="I123" s="19" t="s">
        <v>297</v>
      </c>
      <c r="J123" s="63">
        <v>1.0</v>
      </c>
      <c r="K123" s="63">
        <v>0.0</v>
      </c>
      <c r="L123" s="55">
        <v>0.0</v>
      </c>
      <c r="M123" s="55">
        <v>0.0</v>
      </c>
      <c r="N123" s="55">
        <v>0.0</v>
      </c>
      <c r="O123" s="55">
        <v>1.0</v>
      </c>
      <c r="P123" s="55">
        <v>0.0</v>
      </c>
      <c r="Q123" s="3"/>
      <c r="R123" s="3"/>
      <c r="S123" s="3"/>
      <c r="T123" s="3"/>
      <c r="U123" s="3"/>
      <c r="V123" s="3"/>
      <c r="W123" s="3"/>
      <c r="X123" s="3"/>
      <c r="Y123" s="3"/>
    </row>
    <row r="124" ht="150.0" customHeight="1">
      <c r="A124" s="23" t="s">
        <v>294</v>
      </c>
      <c r="B124" s="23">
        <v>2014.0</v>
      </c>
      <c r="C124" s="23" t="s">
        <v>30</v>
      </c>
      <c r="D124" s="23"/>
      <c r="E124" s="23" t="s">
        <v>295</v>
      </c>
      <c r="F124" s="23" t="s">
        <v>26</v>
      </c>
      <c r="G124" s="23" t="s">
        <v>31</v>
      </c>
      <c r="H124" s="24" t="s">
        <v>298</v>
      </c>
      <c r="I124" s="25" t="s">
        <v>299</v>
      </c>
      <c r="J124" s="3">
        <v>8.0</v>
      </c>
      <c r="K124" s="3">
        <v>0.0</v>
      </c>
      <c r="L124" s="3">
        <v>2.0</v>
      </c>
      <c r="M124" s="3">
        <v>1.0</v>
      </c>
      <c r="N124" s="3">
        <v>0.0</v>
      </c>
      <c r="O124" s="3">
        <v>4.0</v>
      </c>
      <c r="P124" s="3">
        <v>0.0</v>
      </c>
      <c r="Q124" s="3"/>
      <c r="R124" s="3"/>
      <c r="S124" s="3"/>
      <c r="T124" s="3"/>
      <c r="U124" s="3"/>
      <c r="V124" s="3"/>
      <c r="W124" s="3"/>
      <c r="X124" s="3"/>
      <c r="Y124" s="3"/>
    </row>
    <row r="125" ht="150.0" customHeight="1">
      <c r="A125" s="23" t="s">
        <v>294</v>
      </c>
      <c r="B125" s="29">
        <v>2014.0</v>
      </c>
      <c r="C125" s="23" t="s">
        <v>34</v>
      </c>
      <c r="D125" s="23"/>
      <c r="E125" s="23" t="s">
        <v>295</v>
      </c>
      <c r="F125" s="23" t="s">
        <v>26</v>
      </c>
      <c r="G125" s="23" t="s">
        <v>35</v>
      </c>
      <c r="H125" s="52" t="s">
        <v>246</v>
      </c>
      <c r="I125" s="52" t="s">
        <v>246</v>
      </c>
      <c r="J125" s="3"/>
      <c r="K125" s="3"/>
      <c r="L125" s="3"/>
      <c r="M125" s="3"/>
      <c r="N125" s="3"/>
      <c r="O125" s="3"/>
      <c r="P125" s="3"/>
      <c r="Q125" s="3"/>
      <c r="R125" s="3"/>
      <c r="S125" s="3"/>
      <c r="T125" s="3"/>
      <c r="U125" s="3"/>
      <c r="V125" s="3"/>
      <c r="W125" s="3"/>
      <c r="X125" s="3"/>
      <c r="Y125" s="3"/>
    </row>
    <row r="126" ht="270.75" customHeight="1">
      <c r="A126" s="23" t="s">
        <v>294</v>
      </c>
      <c r="B126" s="23">
        <v>2015.0</v>
      </c>
      <c r="C126" s="23" t="s">
        <v>115</v>
      </c>
      <c r="D126" s="23"/>
      <c r="E126" s="23" t="s">
        <v>295</v>
      </c>
      <c r="F126" s="23" t="s">
        <v>26</v>
      </c>
      <c r="G126" s="23" t="s">
        <v>27</v>
      </c>
      <c r="H126" s="24" t="s">
        <v>300</v>
      </c>
      <c r="I126" s="23" t="s">
        <v>301</v>
      </c>
      <c r="J126" s="3">
        <v>8.0</v>
      </c>
      <c r="K126" s="3">
        <v>0.0</v>
      </c>
      <c r="L126" s="3">
        <v>3.0</v>
      </c>
      <c r="M126" s="3">
        <v>0.0</v>
      </c>
      <c r="N126" s="3">
        <v>0.0</v>
      </c>
      <c r="O126" s="3">
        <v>9.0</v>
      </c>
      <c r="P126" s="3">
        <v>1.0</v>
      </c>
      <c r="Q126" s="3"/>
      <c r="R126" s="3"/>
      <c r="S126" s="3"/>
      <c r="T126" s="3"/>
      <c r="U126" s="3"/>
      <c r="V126" s="3"/>
      <c r="W126" s="3"/>
      <c r="X126" s="3"/>
      <c r="Y126" s="3"/>
    </row>
    <row r="127" ht="14.25" customHeight="1">
      <c r="A127" s="23" t="s">
        <v>294</v>
      </c>
      <c r="B127" s="29">
        <v>2015.0</v>
      </c>
      <c r="C127" s="23" t="s">
        <v>41</v>
      </c>
      <c r="D127" s="23"/>
      <c r="E127" s="23" t="s">
        <v>295</v>
      </c>
      <c r="F127" s="23" t="s">
        <v>26</v>
      </c>
      <c r="G127" s="23" t="s">
        <v>53</v>
      </c>
      <c r="H127" s="64" t="s">
        <v>43</v>
      </c>
      <c r="I127" s="20" t="s">
        <v>302</v>
      </c>
      <c r="J127" s="42"/>
      <c r="K127" s="42"/>
      <c r="L127" s="42"/>
      <c r="M127" s="42"/>
      <c r="N127" s="42"/>
      <c r="O127" s="42"/>
      <c r="P127" s="42"/>
      <c r="Q127" s="3"/>
      <c r="R127" s="3"/>
      <c r="S127" s="3"/>
      <c r="T127" s="3"/>
      <c r="U127" s="3"/>
      <c r="V127" s="3"/>
      <c r="W127" s="3"/>
      <c r="X127" s="3"/>
      <c r="Y127" s="3"/>
    </row>
    <row r="128" ht="14.25" customHeight="1">
      <c r="A128" s="23" t="s">
        <v>294</v>
      </c>
      <c r="B128" s="23">
        <v>2015.0</v>
      </c>
      <c r="C128" s="23" t="s">
        <v>188</v>
      </c>
      <c r="D128" s="23"/>
      <c r="E128" s="23" t="s">
        <v>295</v>
      </c>
      <c r="F128" s="23" t="s">
        <v>26</v>
      </c>
      <c r="G128" s="23" t="s">
        <v>27</v>
      </c>
      <c r="H128" s="64" t="s">
        <v>43</v>
      </c>
      <c r="I128" s="20" t="s">
        <v>303</v>
      </c>
      <c r="J128" s="42"/>
      <c r="K128" s="42"/>
      <c r="L128" s="42"/>
      <c r="M128" s="42"/>
      <c r="N128" s="42"/>
      <c r="O128" s="42"/>
      <c r="P128" s="42"/>
      <c r="Q128" s="3"/>
      <c r="R128" s="3"/>
      <c r="S128" s="3"/>
      <c r="T128" s="3"/>
      <c r="U128" s="3"/>
      <c r="V128" s="3"/>
      <c r="W128" s="3"/>
      <c r="X128" s="3"/>
      <c r="Y128" s="3"/>
    </row>
    <row r="129" ht="141.0" customHeight="1">
      <c r="A129" s="23" t="s">
        <v>294</v>
      </c>
      <c r="B129" s="23">
        <v>2016.0</v>
      </c>
      <c r="C129" s="23" t="s">
        <v>46</v>
      </c>
      <c r="D129" s="23"/>
      <c r="E129" s="23" t="s">
        <v>295</v>
      </c>
      <c r="F129" s="23" t="s">
        <v>26</v>
      </c>
      <c r="G129" s="23" t="s">
        <v>126</v>
      </c>
      <c r="H129" s="27" t="s">
        <v>304</v>
      </c>
      <c r="I129" s="28" t="s">
        <v>305</v>
      </c>
      <c r="J129" s="42">
        <v>3.0</v>
      </c>
      <c r="K129" s="42">
        <v>0.0</v>
      </c>
      <c r="L129" s="42">
        <v>2.0</v>
      </c>
      <c r="M129" s="42">
        <v>0.0</v>
      </c>
      <c r="N129" s="42">
        <v>0.0</v>
      </c>
      <c r="O129" s="42">
        <v>0.0</v>
      </c>
      <c r="P129" s="42">
        <v>0.0</v>
      </c>
      <c r="Q129" s="3"/>
      <c r="R129" s="3"/>
      <c r="S129" s="3"/>
      <c r="T129" s="3"/>
      <c r="U129" s="3"/>
      <c r="V129" s="3"/>
      <c r="W129" s="3"/>
      <c r="X129" s="3"/>
      <c r="Y129" s="3"/>
    </row>
    <row r="130" ht="135.0" customHeight="1">
      <c r="A130" s="23" t="s">
        <v>294</v>
      </c>
      <c r="B130" s="23">
        <v>2016.0</v>
      </c>
      <c r="C130" s="23" t="s">
        <v>51</v>
      </c>
      <c r="D130" s="23" t="s">
        <v>52</v>
      </c>
      <c r="E130" s="23" t="s">
        <v>306</v>
      </c>
      <c r="F130" s="23" t="s">
        <v>26</v>
      </c>
      <c r="G130" s="23" t="s">
        <v>53</v>
      </c>
      <c r="H130" s="24" t="s">
        <v>307</v>
      </c>
      <c r="I130" s="26" t="s">
        <v>147</v>
      </c>
      <c r="J130" s="3">
        <v>5.0</v>
      </c>
      <c r="K130" s="3">
        <v>1.0</v>
      </c>
      <c r="L130" s="3">
        <v>0.0</v>
      </c>
      <c r="M130" s="3">
        <v>0.0</v>
      </c>
      <c r="N130" s="3">
        <v>0.0</v>
      </c>
      <c r="O130" s="3">
        <v>5.0</v>
      </c>
      <c r="P130" s="3">
        <v>0.0</v>
      </c>
      <c r="Q130" s="3"/>
      <c r="R130" s="3"/>
      <c r="S130" s="3"/>
      <c r="T130" s="3"/>
      <c r="U130" s="3"/>
      <c r="V130" s="3"/>
      <c r="W130" s="3"/>
      <c r="X130" s="3"/>
      <c r="Y130" s="3"/>
    </row>
    <row r="131" ht="14.25" customHeight="1">
      <c r="A131" s="22" t="s">
        <v>294</v>
      </c>
      <c r="B131" s="23">
        <v>2017.0</v>
      </c>
      <c r="C131" s="23" t="s">
        <v>308</v>
      </c>
      <c r="D131" s="23"/>
      <c r="E131" s="23" t="s">
        <v>309</v>
      </c>
      <c r="F131" s="23" t="s">
        <v>26</v>
      </c>
      <c r="G131" s="23" t="s">
        <v>61</v>
      </c>
      <c r="H131" s="64" t="s">
        <v>43</v>
      </c>
      <c r="I131" s="64" t="s">
        <v>43</v>
      </c>
      <c r="J131" s="3"/>
      <c r="K131" s="3"/>
      <c r="L131" s="3"/>
      <c r="M131" s="3"/>
      <c r="N131" s="3"/>
      <c r="O131" s="3"/>
      <c r="P131" s="3"/>
      <c r="Q131" s="3"/>
      <c r="R131" s="3"/>
      <c r="S131" s="3"/>
      <c r="T131" s="3"/>
      <c r="U131" s="3"/>
      <c r="V131" s="3"/>
      <c r="W131" s="3"/>
      <c r="X131" s="3"/>
      <c r="Y131" s="3"/>
    </row>
    <row r="132" ht="114.0" customHeight="1">
      <c r="A132" s="22" t="s">
        <v>294</v>
      </c>
      <c r="B132" s="23">
        <v>2017.0</v>
      </c>
      <c r="C132" s="23" t="s">
        <v>148</v>
      </c>
      <c r="D132" s="23"/>
      <c r="E132" s="23" t="s">
        <v>306</v>
      </c>
      <c r="F132" s="23" t="s">
        <v>26</v>
      </c>
      <c r="G132" s="23" t="s">
        <v>103</v>
      </c>
      <c r="H132" s="24" t="s">
        <v>310</v>
      </c>
      <c r="I132" s="26" t="s">
        <v>59</v>
      </c>
      <c r="J132" s="3">
        <v>11.0</v>
      </c>
      <c r="K132" s="3">
        <v>0.0</v>
      </c>
      <c r="L132" s="3">
        <v>9.0</v>
      </c>
      <c r="M132" s="3">
        <v>0.0</v>
      </c>
      <c r="N132" s="3">
        <v>0.0</v>
      </c>
      <c r="O132" s="3">
        <v>14.0</v>
      </c>
      <c r="P132" s="3">
        <v>0.0</v>
      </c>
      <c r="Q132" s="3"/>
      <c r="R132" s="3"/>
      <c r="S132" s="3"/>
      <c r="T132" s="3"/>
      <c r="U132" s="3"/>
      <c r="V132" s="3"/>
      <c r="W132" s="3"/>
      <c r="X132" s="3"/>
      <c r="Y132" s="3"/>
    </row>
    <row r="133" ht="138.75" customHeight="1">
      <c r="A133" s="22" t="s">
        <v>294</v>
      </c>
      <c r="B133" s="23">
        <v>2018.0</v>
      </c>
      <c r="C133" s="23" t="s">
        <v>67</v>
      </c>
      <c r="D133" s="23" t="s">
        <v>311</v>
      </c>
      <c r="E133" s="23" t="s">
        <v>312</v>
      </c>
      <c r="F133" s="23" t="s">
        <v>26</v>
      </c>
      <c r="G133" s="23" t="s">
        <v>126</v>
      </c>
      <c r="H133" s="24" t="s">
        <v>313</v>
      </c>
      <c r="I133" s="25" t="s">
        <v>314</v>
      </c>
      <c r="J133" s="3">
        <v>4.0</v>
      </c>
      <c r="K133" s="3">
        <v>0.0</v>
      </c>
      <c r="L133" s="3">
        <v>3.0</v>
      </c>
      <c r="M133" s="3">
        <v>0.0</v>
      </c>
      <c r="N133" s="3">
        <v>0.0</v>
      </c>
      <c r="O133" s="3">
        <v>8.0</v>
      </c>
      <c r="P133" s="3">
        <v>0.0</v>
      </c>
      <c r="Q133" s="3"/>
      <c r="R133" s="3"/>
      <c r="S133" s="3"/>
      <c r="T133" s="3"/>
      <c r="U133" s="3"/>
      <c r="V133" s="3"/>
      <c r="W133" s="3"/>
      <c r="X133" s="3"/>
      <c r="Y133" s="3"/>
    </row>
    <row r="134" ht="141.0" customHeight="1">
      <c r="A134" s="22" t="s">
        <v>294</v>
      </c>
      <c r="B134" s="23">
        <v>2018.0</v>
      </c>
      <c r="C134" s="23" t="s">
        <v>64</v>
      </c>
      <c r="D134" s="23" t="s">
        <v>52</v>
      </c>
      <c r="E134" s="23" t="s">
        <v>312</v>
      </c>
      <c r="F134" s="23" t="s">
        <v>26</v>
      </c>
      <c r="G134" s="23" t="s">
        <v>61</v>
      </c>
      <c r="H134" s="24" t="s">
        <v>315</v>
      </c>
      <c r="I134" s="26" t="s">
        <v>66</v>
      </c>
      <c r="J134" s="3">
        <v>6.0</v>
      </c>
      <c r="K134" s="3">
        <v>0.0</v>
      </c>
      <c r="L134" s="3">
        <v>5.0</v>
      </c>
      <c r="M134" s="3">
        <v>0.0</v>
      </c>
      <c r="N134" s="3">
        <v>0.0</v>
      </c>
      <c r="O134" s="3">
        <v>8.0</v>
      </c>
      <c r="P134" s="3">
        <v>0.0</v>
      </c>
      <c r="Q134" s="3"/>
      <c r="R134" s="3"/>
      <c r="S134" s="3"/>
      <c r="T134" s="3"/>
      <c r="U134" s="3"/>
      <c r="V134" s="3"/>
      <c r="W134" s="3"/>
      <c r="X134" s="3"/>
      <c r="Y134" s="3"/>
    </row>
    <row r="135" ht="141.0" customHeight="1">
      <c r="A135" s="22" t="s">
        <v>294</v>
      </c>
      <c r="B135" s="23">
        <v>2019.0</v>
      </c>
      <c r="C135" s="23" t="s">
        <v>75</v>
      </c>
      <c r="D135" s="23"/>
      <c r="E135" s="23" t="s">
        <v>312</v>
      </c>
      <c r="F135" s="23" t="s">
        <v>26</v>
      </c>
      <c r="G135" s="23" t="s">
        <v>76</v>
      </c>
      <c r="H135" s="24" t="s">
        <v>316</v>
      </c>
      <c r="I135" s="26" t="s">
        <v>317</v>
      </c>
      <c r="J135" s="3">
        <v>2.0</v>
      </c>
      <c r="K135" s="3">
        <v>0.0</v>
      </c>
      <c r="L135" s="3">
        <v>2.0</v>
      </c>
      <c r="M135" s="3">
        <v>0.0</v>
      </c>
      <c r="N135" s="3">
        <v>0.0</v>
      </c>
      <c r="O135" s="3">
        <v>3.0</v>
      </c>
      <c r="P135" s="3">
        <v>0.0</v>
      </c>
      <c r="Q135" s="3"/>
      <c r="R135" s="3"/>
      <c r="S135" s="3"/>
      <c r="T135" s="3"/>
      <c r="U135" s="3"/>
      <c r="V135" s="3"/>
      <c r="W135" s="3"/>
      <c r="X135" s="3"/>
      <c r="Y135" s="3"/>
    </row>
    <row r="136" ht="141.0" customHeight="1">
      <c r="A136" s="22" t="s">
        <v>294</v>
      </c>
      <c r="B136" s="23">
        <v>2019.0</v>
      </c>
      <c r="C136" s="23" t="s">
        <v>79</v>
      </c>
      <c r="D136" s="23"/>
      <c r="E136" s="23" t="s">
        <v>312</v>
      </c>
      <c r="F136" s="23" t="s">
        <v>26</v>
      </c>
      <c r="G136" s="23" t="s">
        <v>126</v>
      </c>
      <c r="H136" s="64" t="s">
        <v>43</v>
      </c>
      <c r="I136" s="23" t="s">
        <v>318</v>
      </c>
      <c r="J136" s="3"/>
      <c r="K136" s="3"/>
      <c r="L136" s="3"/>
      <c r="M136" s="3"/>
      <c r="N136" s="3"/>
      <c r="O136" s="3"/>
      <c r="P136" s="3"/>
      <c r="Q136" s="3"/>
      <c r="R136" s="3"/>
      <c r="S136" s="3"/>
      <c r="T136" s="3"/>
      <c r="U136" s="3"/>
      <c r="V136" s="3"/>
      <c r="W136" s="3"/>
      <c r="X136" s="3"/>
      <c r="Y136" s="3"/>
    </row>
    <row r="137" ht="202.5" customHeight="1">
      <c r="A137" s="22" t="s">
        <v>294</v>
      </c>
      <c r="B137" s="23">
        <v>2019.0</v>
      </c>
      <c r="C137" s="23" t="s">
        <v>71</v>
      </c>
      <c r="D137" s="23"/>
      <c r="E137" s="23" t="s">
        <v>312</v>
      </c>
      <c r="F137" s="23" t="s">
        <v>26</v>
      </c>
      <c r="G137" s="23" t="s">
        <v>72</v>
      </c>
      <c r="H137" s="24" t="s">
        <v>319</v>
      </c>
      <c r="I137" s="23" t="s">
        <v>320</v>
      </c>
      <c r="J137" s="3">
        <v>9.0</v>
      </c>
      <c r="K137" s="3">
        <v>0.0</v>
      </c>
      <c r="L137" s="3">
        <v>3.0</v>
      </c>
      <c r="M137" s="3">
        <v>0.0</v>
      </c>
      <c r="N137" s="3">
        <v>0.0</v>
      </c>
      <c r="O137" s="3">
        <v>10.0</v>
      </c>
      <c r="P137" s="3">
        <v>1.0</v>
      </c>
      <c r="Q137" s="3"/>
      <c r="R137" s="3"/>
      <c r="S137" s="3"/>
      <c r="T137" s="3"/>
      <c r="U137" s="3"/>
      <c r="V137" s="3"/>
      <c r="W137" s="3"/>
      <c r="X137" s="3"/>
      <c r="Y137" s="3"/>
    </row>
    <row r="138" ht="201.75" customHeight="1">
      <c r="A138" s="22" t="s">
        <v>294</v>
      </c>
      <c r="B138" s="23">
        <v>2020.0</v>
      </c>
      <c r="C138" s="23" t="s">
        <v>56</v>
      </c>
      <c r="D138" s="23"/>
      <c r="E138" s="23" t="s">
        <v>312</v>
      </c>
      <c r="F138" s="23" t="s">
        <v>26</v>
      </c>
      <c r="G138" s="23" t="s">
        <v>82</v>
      </c>
      <c r="H138" s="24" t="s">
        <v>321</v>
      </c>
      <c r="I138" s="23" t="s">
        <v>322</v>
      </c>
      <c r="J138" s="3">
        <v>6.0</v>
      </c>
      <c r="K138" s="3">
        <v>0.0</v>
      </c>
      <c r="L138" s="3">
        <v>11.0</v>
      </c>
      <c r="M138" s="3">
        <v>0.0</v>
      </c>
      <c r="N138" s="3">
        <v>0.0</v>
      </c>
      <c r="O138" s="3">
        <v>11.0</v>
      </c>
      <c r="P138" s="3">
        <v>0.0</v>
      </c>
      <c r="Q138" s="3"/>
      <c r="R138" s="3"/>
      <c r="S138" s="3"/>
      <c r="T138" s="3"/>
      <c r="U138" s="3"/>
      <c r="V138" s="3"/>
      <c r="W138" s="3"/>
      <c r="X138" s="3"/>
      <c r="Y138" s="3"/>
    </row>
    <row r="139" ht="147.0" customHeight="1">
      <c r="A139" s="22" t="s">
        <v>294</v>
      </c>
      <c r="B139" s="23">
        <v>2020.0</v>
      </c>
      <c r="C139" s="23" t="s">
        <v>86</v>
      </c>
      <c r="D139" s="23"/>
      <c r="E139" s="23" t="s">
        <v>312</v>
      </c>
      <c r="F139" s="23" t="s">
        <v>26</v>
      </c>
      <c r="G139" s="23" t="s">
        <v>82</v>
      </c>
      <c r="H139" s="24" t="s">
        <v>323</v>
      </c>
      <c r="I139" s="26" t="s">
        <v>88</v>
      </c>
      <c r="J139" s="3">
        <v>3.0</v>
      </c>
      <c r="K139" s="3">
        <v>0.0</v>
      </c>
      <c r="L139" s="3">
        <v>1.0</v>
      </c>
      <c r="M139" s="3">
        <v>0.0</v>
      </c>
      <c r="N139" s="3">
        <v>0.0</v>
      </c>
      <c r="O139" s="3">
        <v>3.0</v>
      </c>
      <c r="P139" s="3">
        <v>0.0</v>
      </c>
      <c r="Q139" s="3"/>
      <c r="R139" s="3"/>
      <c r="S139" s="3"/>
      <c r="T139" s="3"/>
      <c r="U139" s="3"/>
      <c r="V139" s="3"/>
      <c r="W139" s="3"/>
      <c r="X139" s="3"/>
      <c r="Y139" s="3"/>
    </row>
    <row r="140" ht="180.75" customHeight="1">
      <c r="A140" s="22" t="s">
        <v>294</v>
      </c>
      <c r="B140" s="23">
        <v>2020.0</v>
      </c>
      <c r="C140" s="23" t="s">
        <v>271</v>
      </c>
      <c r="D140" s="23"/>
      <c r="E140" s="23" t="s">
        <v>324</v>
      </c>
      <c r="F140" s="23" t="s">
        <v>26</v>
      </c>
      <c r="G140" s="23" t="s">
        <v>325</v>
      </c>
      <c r="H140" s="24" t="s">
        <v>326</v>
      </c>
      <c r="I140" s="25" t="s">
        <v>327</v>
      </c>
      <c r="J140" s="3">
        <v>3.0</v>
      </c>
      <c r="K140" s="3">
        <v>0.0</v>
      </c>
      <c r="L140" s="3">
        <v>3.0</v>
      </c>
      <c r="M140" s="3">
        <v>0.0</v>
      </c>
      <c r="N140" s="3">
        <v>0.0</v>
      </c>
      <c r="O140" s="3">
        <v>12.0</v>
      </c>
      <c r="P140" s="3">
        <v>0.0</v>
      </c>
      <c r="Q140" s="3"/>
      <c r="R140" s="3"/>
      <c r="S140" s="3"/>
      <c r="T140" s="3"/>
      <c r="U140" s="3"/>
      <c r="V140" s="3"/>
      <c r="W140" s="3"/>
      <c r="X140" s="3"/>
      <c r="Y140" s="3"/>
    </row>
    <row r="141" ht="180.75" customHeight="1">
      <c r="A141" s="22" t="s">
        <v>294</v>
      </c>
      <c r="B141" s="23">
        <v>2021.0</v>
      </c>
      <c r="C141" s="23" t="s">
        <v>99</v>
      </c>
      <c r="D141" s="23"/>
      <c r="E141" s="23" t="s">
        <v>328</v>
      </c>
      <c r="F141" s="23" t="s">
        <v>26</v>
      </c>
      <c r="G141" s="23" t="s">
        <v>82</v>
      </c>
      <c r="H141" s="24" t="s">
        <v>329</v>
      </c>
      <c r="I141" s="25" t="s">
        <v>330</v>
      </c>
      <c r="J141" s="3">
        <v>4.0</v>
      </c>
      <c r="K141" s="3">
        <v>0.0</v>
      </c>
      <c r="L141" s="3">
        <v>0.0</v>
      </c>
      <c r="M141" s="3">
        <v>0.0</v>
      </c>
      <c r="N141" s="3">
        <v>0.0</v>
      </c>
      <c r="O141" s="3">
        <v>3.0</v>
      </c>
      <c r="P141" s="3">
        <v>0.0</v>
      </c>
      <c r="Q141" s="3"/>
      <c r="R141" s="3"/>
      <c r="S141" s="3"/>
      <c r="T141" s="3"/>
      <c r="U141" s="3"/>
      <c r="V141" s="3"/>
      <c r="W141" s="3"/>
      <c r="X141" s="3"/>
      <c r="Y141" s="3"/>
    </row>
    <row r="142" ht="174.0" customHeight="1">
      <c r="A142" s="22" t="s">
        <v>294</v>
      </c>
      <c r="B142" s="23">
        <v>2021.0</v>
      </c>
      <c r="C142" s="23" t="s">
        <v>95</v>
      </c>
      <c r="D142" s="23"/>
      <c r="E142" s="23" t="s">
        <v>328</v>
      </c>
      <c r="F142" s="23" t="s">
        <v>26</v>
      </c>
      <c r="G142" s="23" t="s">
        <v>96</v>
      </c>
      <c r="H142" s="24" t="s">
        <v>331</v>
      </c>
      <c r="I142" s="25" t="s">
        <v>332</v>
      </c>
      <c r="J142" s="3">
        <v>5.0</v>
      </c>
      <c r="K142" s="3">
        <v>0.0</v>
      </c>
      <c r="L142" s="3">
        <v>4.0</v>
      </c>
      <c r="M142" s="3">
        <v>3.0</v>
      </c>
      <c r="N142" s="3">
        <v>0.0</v>
      </c>
      <c r="O142" s="3">
        <v>13.0</v>
      </c>
      <c r="P142" s="3">
        <v>0.0</v>
      </c>
      <c r="Q142" s="3"/>
      <c r="R142" s="3"/>
      <c r="S142" s="3"/>
      <c r="T142" s="3"/>
      <c r="U142" s="3"/>
      <c r="V142" s="3"/>
      <c r="W142" s="3"/>
      <c r="X142" s="3"/>
      <c r="Y142" s="3"/>
    </row>
    <row r="143" ht="180.75" customHeight="1">
      <c r="A143" s="22" t="s">
        <v>294</v>
      </c>
      <c r="B143" s="23">
        <v>2021.0</v>
      </c>
      <c r="C143" s="23" t="s">
        <v>169</v>
      </c>
      <c r="D143" s="23"/>
      <c r="E143" s="23" t="s">
        <v>328</v>
      </c>
      <c r="F143" s="23" t="s">
        <v>26</v>
      </c>
      <c r="G143" s="23" t="s">
        <v>82</v>
      </c>
      <c r="H143" s="24" t="s">
        <v>333</v>
      </c>
      <c r="I143" s="25" t="s">
        <v>334</v>
      </c>
      <c r="J143" s="3">
        <v>4.0</v>
      </c>
      <c r="K143" s="3">
        <v>1.0</v>
      </c>
      <c r="L143" s="3">
        <v>8.0</v>
      </c>
      <c r="M143" s="3">
        <v>2.0</v>
      </c>
      <c r="N143" s="3">
        <v>0.0</v>
      </c>
      <c r="O143" s="3">
        <v>14.0</v>
      </c>
      <c r="P143" s="3">
        <v>1.0</v>
      </c>
      <c r="Q143" s="3"/>
      <c r="R143" s="3"/>
      <c r="S143" s="3"/>
      <c r="T143" s="3"/>
      <c r="U143" s="3"/>
      <c r="V143" s="3"/>
      <c r="W143" s="3"/>
      <c r="X143" s="3"/>
      <c r="Y143" s="3"/>
    </row>
    <row r="144" ht="138.0" customHeight="1">
      <c r="A144" s="22" t="s">
        <v>294</v>
      </c>
      <c r="B144" s="23">
        <v>2022.0</v>
      </c>
      <c r="C144" s="23" t="s">
        <v>106</v>
      </c>
      <c r="D144" s="23"/>
      <c r="E144" s="23" t="s">
        <v>328</v>
      </c>
      <c r="F144" s="23" t="s">
        <v>26</v>
      </c>
      <c r="G144" s="23" t="s">
        <v>96</v>
      </c>
      <c r="H144" s="24" t="s">
        <v>335</v>
      </c>
      <c r="I144" s="26" t="s">
        <v>336</v>
      </c>
      <c r="J144" s="3">
        <v>15.0</v>
      </c>
      <c r="K144" s="3">
        <v>0.0</v>
      </c>
      <c r="L144" s="3">
        <v>11.0</v>
      </c>
      <c r="M144" s="3">
        <v>0.0</v>
      </c>
      <c r="N144" s="3">
        <v>0.0</v>
      </c>
      <c r="O144" s="3">
        <v>10.0</v>
      </c>
      <c r="P144" s="3">
        <v>2.0</v>
      </c>
      <c r="Q144" s="3"/>
      <c r="R144" s="3"/>
      <c r="S144" s="3"/>
      <c r="T144" s="3"/>
      <c r="U144" s="3"/>
      <c r="V144" s="3"/>
      <c r="W144" s="3"/>
      <c r="X144" s="3"/>
      <c r="Y144" s="3"/>
    </row>
    <row r="145" ht="145.5" customHeight="1">
      <c r="A145" s="22" t="s">
        <v>294</v>
      </c>
      <c r="B145" s="23">
        <v>2022.0</v>
      </c>
      <c r="C145" s="23" t="s">
        <v>337</v>
      </c>
      <c r="D145" s="23"/>
      <c r="E145" s="23" t="s">
        <v>328</v>
      </c>
      <c r="F145" s="23" t="s">
        <v>26</v>
      </c>
      <c r="G145" s="23" t="s">
        <v>103</v>
      </c>
      <c r="H145" s="24" t="s">
        <v>338</v>
      </c>
      <c r="I145" s="26" t="s">
        <v>339</v>
      </c>
      <c r="J145" s="3">
        <v>13.0</v>
      </c>
      <c r="K145" s="3">
        <v>0.0</v>
      </c>
      <c r="L145" s="3">
        <v>11.0</v>
      </c>
      <c r="M145" s="3">
        <v>1.0</v>
      </c>
      <c r="N145" s="3">
        <v>0.0</v>
      </c>
      <c r="O145" s="3">
        <v>20.0</v>
      </c>
      <c r="P145" s="3">
        <v>0.0</v>
      </c>
      <c r="Q145" s="3"/>
      <c r="R145" s="3"/>
      <c r="S145" s="3"/>
      <c r="T145" s="3"/>
      <c r="U145" s="3"/>
      <c r="V145" s="3"/>
      <c r="W145" s="3"/>
      <c r="X145" s="3"/>
      <c r="Y145" s="3"/>
    </row>
    <row r="146" ht="145.5" customHeight="1">
      <c r="A146" s="22" t="s">
        <v>294</v>
      </c>
      <c r="B146" s="23">
        <v>2023.0</v>
      </c>
      <c r="C146" s="23" t="s">
        <v>109</v>
      </c>
      <c r="D146" s="23" t="s">
        <v>52</v>
      </c>
      <c r="E146" s="23" t="s">
        <v>328</v>
      </c>
      <c r="F146" s="23" t="s">
        <v>26</v>
      </c>
      <c r="G146" s="23" t="s">
        <v>27</v>
      </c>
      <c r="H146" s="24" t="s">
        <v>340</v>
      </c>
      <c r="I146" s="26" t="s">
        <v>179</v>
      </c>
      <c r="J146" s="3">
        <v>8.0</v>
      </c>
      <c r="K146" s="3">
        <v>1.0</v>
      </c>
      <c r="L146" s="3">
        <v>6.0</v>
      </c>
      <c r="M146" s="3">
        <v>0.0</v>
      </c>
      <c r="N146" s="3">
        <v>0.0</v>
      </c>
      <c r="O146" s="3">
        <v>12.0</v>
      </c>
      <c r="P146" s="3">
        <v>1.0</v>
      </c>
      <c r="Q146" s="3"/>
      <c r="R146" s="3"/>
      <c r="S146" s="3"/>
      <c r="T146" s="3"/>
      <c r="U146" s="3"/>
      <c r="V146" s="3"/>
      <c r="W146" s="3"/>
      <c r="X146" s="3"/>
      <c r="Y146" s="3"/>
    </row>
    <row r="147" ht="129.0" customHeight="1">
      <c r="A147" s="22" t="s">
        <v>294</v>
      </c>
      <c r="B147" s="23">
        <v>2023.0</v>
      </c>
      <c r="C147" s="23" t="s">
        <v>112</v>
      </c>
      <c r="D147" s="23" t="s">
        <v>52</v>
      </c>
      <c r="E147" s="23" t="s">
        <v>328</v>
      </c>
      <c r="F147" s="23" t="s">
        <v>26</v>
      </c>
      <c r="G147" s="23" t="s">
        <v>27</v>
      </c>
      <c r="H147" s="24" t="s">
        <v>341</v>
      </c>
      <c r="I147" s="25" t="s">
        <v>342</v>
      </c>
      <c r="J147" s="3">
        <v>5.0</v>
      </c>
      <c r="K147" s="3">
        <v>1.0</v>
      </c>
      <c r="L147" s="3">
        <v>3.0</v>
      </c>
      <c r="M147" s="3">
        <v>0.0</v>
      </c>
      <c r="N147" s="3">
        <v>0.0</v>
      </c>
      <c r="O147" s="3">
        <v>24.0</v>
      </c>
      <c r="P147" s="3">
        <v>2.0</v>
      </c>
      <c r="Q147" s="3"/>
      <c r="R147" s="3"/>
      <c r="S147" s="3"/>
      <c r="T147" s="3"/>
      <c r="U147" s="3"/>
      <c r="V147" s="3"/>
      <c r="W147" s="3"/>
      <c r="X147" s="3"/>
      <c r="Y147" s="3"/>
    </row>
    <row r="148" ht="129.0" customHeight="1">
      <c r="A148" s="22" t="s">
        <v>294</v>
      </c>
      <c r="B148" s="23">
        <v>2024.0</v>
      </c>
      <c r="C148" s="29" t="s">
        <v>46</v>
      </c>
      <c r="D148" s="29"/>
      <c r="E148" s="29" t="s">
        <v>328</v>
      </c>
      <c r="F148" s="29" t="s">
        <v>26</v>
      </c>
      <c r="G148" s="29" t="s">
        <v>118</v>
      </c>
      <c r="H148" s="65" t="s">
        <v>200</v>
      </c>
      <c r="I148" s="46" t="s">
        <v>343</v>
      </c>
      <c r="J148" s="3"/>
      <c r="K148" s="3"/>
      <c r="L148" s="3"/>
      <c r="M148" s="3"/>
      <c r="N148" s="3"/>
      <c r="O148" s="3"/>
      <c r="P148" s="3"/>
      <c r="Q148" s="3"/>
      <c r="R148" s="3"/>
      <c r="S148" s="3"/>
      <c r="T148" s="3"/>
      <c r="U148" s="3"/>
      <c r="V148" s="3"/>
      <c r="W148" s="3"/>
      <c r="X148" s="3"/>
      <c r="Y148" s="3"/>
    </row>
    <row r="149" ht="138.0" customHeight="1">
      <c r="A149" s="22" t="s">
        <v>294</v>
      </c>
      <c r="B149" s="23">
        <v>2024.0</v>
      </c>
      <c r="C149" s="23" t="s">
        <v>115</v>
      </c>
      <c r="D149" s="66" t="s">
        <v>52</v>
      </c>
      <c r="E149" s="23" t="s">
        <v>328</v>
      </c>
      <c r="F149" s="23" t="s">
        <v>26</v>
      </c>
      <c r="G149" s="23" t="s">
        <v>48</v>
      </c>
      <c r="H149" s="24" t="s">
        <v>344</v>
      </c>
      <c r="I149" s="23" t="s">
        <v>345</v>
      </c>
      <c r="J149" s="67">
        <v>9.0</v>
      </c>
      <c r="K149" s="67">
        <v>0.0</v>
      </c>
      <c r="L149" s="3">
        <v>24.0</v>
      </c>
      <c r="M149" s="3">
        <v>1.0</v>
      </c>
      <c r="N149" s="3">
        <v>0.0</v>
      </c>
      <c r="O149" s="3">
        <v>16.0</v>
      </c>
      <c r="P149" s="3">
        <v>0.0</v>
      </c>
      <c r="Q149" s="3"/>
      <c r="R149" s="3"/>
      <c r="S149" s="3"/>
      <c r="T149" s="3"/>
      <c r="U149" s="3"/>
      <c r="V149" s="3"/>
      <c r="W149" s="3"/>
      <c r="X149" s="3"/>
      <c r="Y149" s="3"/>
    </row>
    <row r="150" ht="102.75" customHeight="1">
      <c r="A150" s="33" t="s">
        <v>294</v>
      </c>
      <c r="B150" s="29">
        <v>2025.0</v>
      </c>
      <c r="C150" s="29" t="s">
        <v>121</v>
      </c>
      <c r="D150" s="68"/>
      <c r="E150" s="23" t="s">
        <v>328</v>
      </c>
      <c r="F150" s="23" t="s">
        <v>26</v>
      </c>
      <c r="G150" s="23" t="s">
        <v>31</v>
      </c>
      <c r="H150" s="65" t="s">
        <v>200</v>
      </c>
      <c r="I150" s="25" t="s">
        <v>346</v>
      </c>
      <c r="J150" s="60"/>
      <c r="K150" s="60"/>
      <c r="L150" s="32"/>
      <c r="M150" s="32"/>
      <c r="N150" s="32"/>
      <c r="O150" s="32"/>
      <c r="P150" s="32"/>
      <c r="Q150" s="3"/>
      <c r="R150" s="3"/>
      <c r="S150" s="3"/>
      <c r="T150" s="3"/>
      <c r="U150" s="3"/>
      <c r="V150" s="3"/>
      <c r="W150" s="3"/>
      <c r="X150" s="3"/>
      <c r="Y150" s="3"/>
    </row>
    <row r="151" ht="139.5" customHeight="1">
      <c r="A151" s="69" t="s">
        <v>294</v>
      </c>
      <c r="B151" s="70">
        <v>2025.0</v>
      </c>
      <c r="C151" s="70" t="s">
        <v>45</v>
      </c>
      <c r="D151" s="70" t="s">
        <v>52</v>
      </c>
      <c r="E151" s="71" t="s">
        <v>328</v>
      </c>
      <c r="F151" s="71" t="s">
        <v>26</v>
      </c>
      <c r="G151" s="71" t="s">
        <v>48</v>
      </c>
      <c r="H151" s="72" t="s">
        <v>347</v>
      </c>
      <c r="I151" s="73" t="s">
        <v>348</v>
      </c>
      <c r="J151" s="54">
        <v>0.0</v>
      </c>
      <c r="K151" s="54">
        <v>0.0</v>
      </c>
      <c r="L151" s="54">
        <v>6.0</v>
      </c>
      <c r="M151" s="54">
        <v>0.0</v>
      </c>
      <c r="N151" s="54">
        <v>0.0</v>
      </c>
      <c r="O151" s="54">
        <v>3.0</v>
      </c>
      <c r="P151" s="54">
        <v>1.0</v>
      </c>
      <c r="Q151" s="3"/>
      <c r="R151" s="3"/>
      <c r="S151" s="3"/>
      <c r="T151" s="3"/>
      <c r="U151" s="3"/>
      <c r="V151" s="3"/>
      <c r="W151" s="3"/>
      <c r="X151" s="3"/>
      <c r="Y151" s="3"/>
    </row>
    <row r="152" ht="139.5" customHeight="1">
      <c r="A152" s="74"/>
      <c r="B152" s="17"/>
      <c r="C152" s="17"/>
      <c r="D152" s="17"/>
      <c r="E152" s="17"/>
      <c r="F152" s="17"/>
      <c r="G152" s="75"/>
      <c r="H152" s="76" t="s">
        <v>349</v>
      </c>
      <c r="I152" s="37"/>
      <c r="J152" s="38">
        <f t="shared" ref="J152:P152" si="5">SUM(J123:J151)</f>
        <v>132</v>
      </c>
      <c r="K152" s="38">
        <f t="shared" si="5"/>
        <v>4</v>
      </c>
      <c r="L152" s="38">
        <f t="shared" si="5"/>
        <v>117</v>
      </c>
      <c r="M152" s="38">
        <f t="shared" si="5"/>
        <v>8</v>
      </c>
      <c r="N152" s="38">
        <f t="shared" si="5"/>
        <v>0</v>
      </c>
      <c r="O152" s="38">
        <f t="shared" si="5"/>
        <v>203</v>
      </c>
      <c r="P152" s="48">
        <f t="shared" si="5"/>
        <v>9</v>
      </c>
      <c r="Q152" s="3"/>
      <c r="R152" s="3"/>
      <c r="S152" s="3"/>
      <c r="T152" s="3"/>
      <c r="U152" s="3"/>
      <c r="V152" s="3"/>
      <c r="W152" s="3"/>
      <c r="X152" s="3"/>
      <c r="Y152" s="3"/>
    </row>
    <row r="153" ht="12.0" customHeight="1">
      <c r="A153" s="42"/>
      <c r="B153" s="42"/>
      <c r="C153" s="42"/>
      <c r="D153" s="42"/>
      <c r="E153" s="42"/>
      <c r="F153" s="42"/>
      <c r="G153" s="20"/>
      <c r="H153" s="27"/>
      <c r="I153" s="42"/>
      <c r="J153" s="42"/>
      <c r="K153" s="42"/>
      <c r="L153" s="42"/>
      <c r="M153" s="42"/>
      <c r="N153" s="42"/>
      <c r="O153" s="42"/>
      <c r="P153" s="42"/>
      <c r="Q153" s="3"/>
      <c r="R153" s="3"/>
      <c r="S153" s="3"/>
      <c r="T153" s="3"/>
      <c r="U153" s="3"/>
      <c r="V153" s="3"/>
      <c r="W153" s="3"/>
      <c r="X153" s="3"/>
      <c r="Y153" s="3"/>
    </row>
    <row r="154" ht="14.25" customHeight="1">
      <c r="A154" s="3"/>
      <c r="B154" s="3"/>
      <c r="C154" s="3"/>
      <c r="D154" s="3"/>
      <c r="E154" s="3"/>
      <c r="F154" s="3"/>
      <c r="G154" s="23"/>
      <c r="H154" s="24"/>
      <c r="I154" s="3"/>
      <c r="J154" s="3"/>
      <c r="K154" s="3"/>
      <c r="L154" s="3"/>
      <c r="M154" s="3"/>
      <c r="N154" s="3"/>
      <c r="O154" s="3"/>
      <c r="P154" s="3"/>
      <c r="Q154" s="3"/>
      <c r="R154" s="3"/>
      <c r="S154" s="3"/>
      <c r="T154" s="3"/>
      <c r="U154" s="3"/>
      <c r="V154" s="3"/>
      <c r="W154" s="3"/>
      <c r="X154" s="3"/>
      <c r="Y154" s="3"/>
    </row>
    <row r="155" ht="14.25" customHeight="1">
      <c r="A155" s="3"/>
      <c r="B155" s="3"/>
      <c r="C155" s="3"/>
      <c r="D155" s="3"/>
      <c r="E155" s="3"/>
      <c r="F155" s="3"/>
      <c r="G155" s="23"/>
      <c r="H155" s="24"/>
      <c r="I155" s="3"/>
      <c r="J155" s="3"/>
      <c r="K155" s="3"/>
      <c r="L155" s="3"/>
      <c r="M155" s="3"/>
      <c r="N155" s="3"/>
      <c r="O155" s="3"/>
      <c r="P155" s="3"/>
      <c r="Q155" s="3"/>
      <c r="R155" s="3"/>
      <c r="S155" s="3"/>
      <c r="T155" s="3"/>
      <c r="U155" s="3"/>
      <c r="V155" s="3"/>
      <c r="W155" s="3"/>
      <c r="X155" s="3"/>
      <c r="Y155" s="3"/>
    </row>
    <row r="156" ht="14.25" customHeight="1">
      <c r="A156" s="3"/>
      <c r="B156" s="3"/>
      <c r="C156" s="3"/>
      <c r="D156" s="3"/>
      <c r="E156" s="3"/>
      <c r="F156" s="3"/>
      <c r="G156" s="23"/>
      <c r="H156" s="24"/>
      <c r="I156" s="3"/>
      <c r="J156" s="3"/>
      <c r="K156" s="3"/>
      <c r="L156" s="3"/>
      <c r="M156" s="3"/>
      <c r="N156" s="3"/>
      <c r="O156" s="3"/>
      <c r="P156" s="3"/>
      <c r="Q156" s="3"/>
      <c r="R156" s="3"/>
      <c r="S156" s="3"/>
      <c r="T156" s="3"/>
      <c r="U156" s="3"/>
      <c r="V156" s="3"/>
      <c r="W156" s="3"/>
      <c r="X156" s="3"/>
      <c r="Y156" s="3"/>
    </row>
    <row r="157" ht="14.25" customHeight="1">
      <c r="A157" s="3"/>
      <c r="B157" s="3"/>
      <c r="C157" s="3"/>
      <c r="D157" s="3"/>
      <c r="E157" s="3"/>
      <c r="F157" s="3"/>
      <c r="G157" s="23"/>
      <c r="H157" s="24"/>
      <c r="I157" s="3"/>
      <c r="J157" s="3"/>
      <c r="K157" s="3"/>
      <c r="L157" s="3"/>
      <c r="M157" s="3"/>
      <c r="N157" s="3"/>
      <c r="O157" s="3"/>
      <c r="P157" s="3"/>
      <c r="Q157" s="3"/>
      <c r="R157" s="3"/>
      <c r="S157" s="3"/>
      <c r="T157" s="3"/>
      <c r="U157" s="3"/>
      <c r="V157" s="3"/>
      <c r="W157" s="3"/>
      <c r="X157" s="3"/>
      <c r="Y157" s="3"/>
    </row>
    <row r="158" ht="14.25" customHeight="1">
      <c r="A158" s="3"/>
      <c r="B158" s="3"/>
      <c r="C158" s="3"/>
      <c r="D158" s="3"/>
      <c r="E158" s="3"/>
      <c r="F158" s="3"/>
      <c r="G158" s="23"/>
      <c r="H158" s="24"/>
      <c r="I158" s="3"/>
      <c r="J158" s="3"/>
      <c r="K158" s="3"/>
      <c r="L158" s="3"/>
      <c r="M158" s="3"/>
      <c r="N158" s="3"/>
      <c r="O158" s="3"/>
      <c r="P158" s="3"/>
      <c r="Q158" s="3"/>
      <c r="R158" s="3"/>
      <c r="S158" s="3"/>
      <c r="T158" s="3"/>
      <c r="U158" s="3"/>
      <c r="V158" s="3"/>
      <c r="W158" s="3"/>
      <c r="X158" s="3"/>
      <c r="Y158" s="3"/>
    </row>
    <row r="159" ht="14.25" customHeight="1">
      <c r="A159" s="3"/>
      <c r="B159" s="3"/>
      <c r="C159" s="3"/>
      <c r="D159" s="3"/>
      <c r="E159" s="3"/>
      <c r="F159" s="3"/>
      <c r="G159" s="23"/>
      <c r="H159" s="24"/>
      <c r="I159" s="3"/>
      <c r="J159" s="3"/>
      <c r="K159" s="3"/>
      <c r="L159" s="3"/>
      <c r="M159" s="3"/>
      <c r="N159" s="3"/>
      <c r="O159" s="3"/>
      <c r="P159" s="3"/>
      <c r="Q159" s="3"/>
      <c r="R159" s="3"/>
      <c r="S159" s="3"/>
      <c r="T159" s="3"/>
      <c r="U159" s="3"/>
      <c r="V159" s="3"/>
      <c r="W159" s="3"/>
      <c r="X159" s="3"/>
      <c r="Y159" s="3"/>
    </row>
    <row r="160" ht="14.25" customHeight="1">
      <c r="A160" s="3"/>
      <c r="B160" s="3"/>
      <c r="C160" s="3"/>
      <c r="D160" s="3"/>
      <c r="E160" s="3"/>
      <c r="F160" s="3"/>
      <c r="G160" s="23"/>
      <c r="H160" s="24"/>
      <c r="I160" s="3"/>
      <c r="J160" s="3"/>
      <c r="K160" s="3"/>
      <c r="L160" s="3"/>
      <c r="M160" s="3"/>
      <c r="N160" s="3"/>
      <c r="O160" s="3"/>
      <c r="P160" s="3"/>
      <c r="Q160" s="3"/>
      <c r="R160" s="3"/>
      <c r="S160" s="3"/>
      <c r="T160" s="3"/>
      <c r="U160" s="3"/>
      <c r="V160" s="3"/>
      <c r="W160" s="3"/>
      <c r="X160" s="3"/>
      <c r="Y160" s="3"/>
    </row>
    <row r="161" ht="14.25" customHeight="1">
      <c r="A161" s="3"/>
      <c r="B161" s="3"/>
      <c r="C161" s="3"/>
      <c r="D161" s="3"/>
      <c r="E161" s="3"/>
      <c r="F161" s="3"/>
      <c r="G161" s="23"/>
      <c r="H161" s="24"/>
      <c r="I161" s="3"/>
      <c r="J161" s="3"/>
      <c r="K161" s="3"/>
      <c r="L161" s="3"/>
      <c r="M161" s="3"/>
      <c r="N161" s="3"/>
      <c r="O161" s="3"/>
      <c r="P161" s="3"/>
      <c r="Q161" s="3"/>
      <c r="R161" s="3"/>
      <c r="S161" s="3"/>
      <c r="T161" s="3"/>
      <c r="U161" s="3"/>
      <c r="V161" s="3"/>
      <c r="W161" s="3"/>
      <c r="X161" s="3"/>
      <c r="Y161" s="3"/>
    </row>
    <row r="162" ht="14.25" customHeight="1">
      <c r="A162" s="3"/>
      <c r="B162" s="3"/>
      <c r="C162" s="3"/>
      <c r="D162" s="3"/>
      <c r="E162" s="3"/>
      <c r="F162" s="3"/>
      <c r="G162" s="23"/>
      <c r="H162" s="24"/>
      <c r="I162" s="3"/>
      <c r="J162" s="3"/>
      <c r="K162" s="3"/>
      <c r="L162" s="3"/>
      <c r="M162" s="3"/>
      <c r="N162" s="3"/>
      <c r="O162" s="3"/>
      <c r="P162" s="3"/>
      <c r="Q162" s="3"/>
      <c r="R162" s="3"/>
      <c r="S162" s="3"/>
      <c r="T162" s="3"/>
      <c r="U162" s="3"/>
      <c r="V162" s="3"/>
      <c r="W162" s="3"/>
      <c r="X162" s="3"/>
      <c r="Y162" s="3"/>
    </row>
    <row r="163" ht="14.25" customHeight="1">
      <c r="A163" s="3"/>
      <c r="B163" s="3"/>
      <c r="C163" s="3"/>
      <c r="D163" s="3"/>
      <c r="E163" s="3"/>
      <c r="F163" s="3"/>
      <c r="G163" s="23"/>
      <c r="H163" s="24"/>
      <c r="I163" s="3"/>
      <c r="J163" s="3"/>
      <c r="K163" s="3"/>
      <c r="L163" s="3"/>
      <c r="M163" s="3"/>
      <c r="N163" s="3"/>
      <c r="O163" s="3"/>
      <c r="P163" s="3"/>
      <c r="Q163" s="3"/>
      <c r="R163" s="3"/>
      <c r="S163" s="3"/>
      <c r="T163" s="3"/>
      <c r="U163" s="3"/>
      <c r="V163" s="3"/>
      <c r="W163" s="3"/>
      <c r="X163" s="3"/>
      <c r="Y163" s="3"/>
    </row>
    <row r="164" ht="14.25" customHeight="1">
      <c r="A164" s="3"/>
      <c r="B164" s="3"/>
      <c r="C164" s="3"/>
      <c r="D164" s="3"/>
      <c r="E164" s="3"/>
      <c r="F164" s="3"/>
      <c r="G164" s="23"/>
      <c r="H164" s="24"/>
      <c r="I164" s="3"/>
      <c r="J164" s="3"/>
      <c r="K164" s="3"/>
      <c r="L164" s="3"/>
      <c r="M164" s="3"/>
      <c r="N164" s="3"/>
      <c r="O164" s="3"/>
      <c r="P164" s="3"/>
      <c r="Q164" s="3"/>
      <c r="R164" s="3"/>
      <c r="S164" s="3"/>
      <c r="T164" s="3"/>
      <c r="U164" s="3"/>
      <c r="V164" s="3"/>
      <c r="W164" s="3"/>
      <c r="X164" s="3"/>
      <c r="Y164" s="3"/>
    </row>
    <row r="165" ht="14.25" customHeight="1">
      <c r="A165" s="3"/>
      <c r="B165" s="3"/>
      <c r="C165" s="3"/>
      <c r="D165" s="3"/>
      <c r="E165" s="3"/>
      <c r="F165" s="3"/>
      <c r="G165" s="23"/>
      <c r="H165" s="24"/>
      <c r="I165" s="3"/>
      <c r="J165" s="3"/>
      <c r="K165" s="3"/>
      <c r="L165" s="3"/>
      <c r="M165" s="3"/>
      <c r="N165" s="3"/>
      <c r="O165" s="3"/>
      <c r="P165" s="3"/>
      <c r="Q165" s="3"/>
      <c r="R165" s="3"/>
      <c r="S165" s="3"/>
      <c r="T165" s="3"/>
      <c r="U165" s="3"/>
      <c r="V165" s="3"/>
      <c r="W165" s="3"/>
      <c r="X165" s="3"/>
      <c r="Y165" s="3"/>
    </row>
    <row r="166" ht="14.25" customHeight="1">
      <c r="A166" s="3"/>
      <c r="B166" s="3"/>
      <c r="C166" s="3"/>
      <c r="D166" s="3"/>
      <c r="E166" s="3"/>
      <c r="F166" s="3"/>
      <c r="G166" s="23"/>
      <c r="H166" s="24"/>
      <c r="I166" s="3"/>
      <c r="J166" s="3"/>
      <c r="K166" s="3"/>
      <c r="L166" s="3"/>
      <c r="M166" s="3"/>
      <c r="N166" s="3"/>
      <c r="O166" s="3"/>
      <c r="P166" s="3"/>
      <c r="Q166" s="3"/>
      <c r="R166" s="3"/>
      <c r="S166" s="3"/>
      <c r="T166" s="3"/>
      <c r="U166" s="3"/>
      <c r="V166" s="3"/>
      <c r="W166" s="3"/>
      <c r="X166" s="3"/>
      <c r="Y166" s="3"/>
    </row>
    <row r="167" ht="14.25" customHeight="1">
      <c r="A167" s="3"/>
      <c r="B167" s="3"/>
      <c r="C167" s="3"/>
      <c r="D167" s="3"/>
      <c r="E167" s="3"/>
      <c r="F167" s="3"/>
      <c r="G167" s="23"/>
      <c r="H167" s="24"/>
      <c r="I167" s="3"/>
      <c r="J167" s="3"/>
      <c r="K167" s="3"/>
      <c r="L167" s="3"/>
      <c r="M167" s="3"/>
      <c r="N167" s="3"/>
      <c r="O167" s="3"/>
      <c r="P167" s="3"/>
      <c r="Q167" s="3"/>
      <c r="R167" s="3"/>
      <c r="S167" s="3"/>
      <c r="T167" s="3"/>
      <c r="U167" s="3"/>
      <c r="V167" s="3"/>
      <c r="W167" s="3"/>
      <c r="X167" s="3"/>
      <c r="Y167" s="3"/>
    </row>
    <row r="168" ht="14.25" customHeight="1">
      <c r="A168" s="3"/>
      <c r="B168" s="3"/>
      <c r="C168" s="3"/>
      <c r="D168" s="3"/>
      <c r="E168" s="3"/>
      <c r="F168" s="3"/>
      <c r="G168" s="23"/>
      <c r="H168" s="24"/>
      <c r="I168" s="3"/>
      <c r="J168" s="3"/>
      <c r="K168" s="3"/>
      <c r="L168" s="3"/>
      <c r="M168" s="3"/>
      <c r="N168" s="3"/>
      <c r="O168" s="3"/>
      <c r="P168" s="3"/>
      <c r="Q168" s="3"/>
      <c r="R168" s="3"/>
      <c r="S168" s="3"/>
      <c r="T168" s="3"/>
      <c r="U168" s="3"/>
      <c r="V168" s="3"/>
      <c r="W168" s="3"/>
      <c r="X168" s="3"/>
      <c r="Y168" s="3"/>
    </row>
    <row r="169" ht="14.25" customHeight="1">
      <c r="A169" s="3"/>
      <c r="B169" s="3"/>
      <c r="C169" s="3"/>
      <c r="D169" s="3"/>
      <c r="E169" s="3"/>
      <c r="F169" s="3"/>
      <c r="G169" s="23"/>
      <c r="H169" s="24"/>
      <c r="I169" s="3"/>
      <c r="J169" s="3"/>
      <c r="K169" s="3"/>
      <c r="L169" s="3"/>
      <c r="M169" s="3"/>
      <c r="N169" s="3"/>
      <c r="O169" s="3"/>
      <c r="P169" s="3"/>
      <c r="Q169" s="3"/>
      <c r="R169" s="3"/>
      <c r="S169" s="3"/>
      <c r="T169" s="3"/>
      <c r="U169" s="3"/>
      <c r="V169" s="3"/>
      <c r="W169" s="3"/>
      <c r="X169" s="3"/>
      <c r="Y169" s="3"/>
    </row>
    <row r="170" ht="14.25" customHeight="1">
      <c r="A170" s="3"/>
      <c r="B170" s="3"/>
      <c r="C170" s="3"/>
      <c r="D170" s="3"/>
      <c r="E170" s="3"/>
      <c r="F170" s="3"/>
      <c r="G170" s="23"/>
      <c r="H170" s="24"/>
      <c r="I170" s="3"/>
      <c r="J170" s="3"/>
      <c r="K170" s="3"/>
      <c r="L170" s="3"/>
      <c r="M170" s="3"/>
      <c r="N170" s="3"/>
      <c r="O170" s="3"/>
      <c r="P170" s="3"/>
      <c r="Q170" s="3"/>
      <c r="R170" s="3"/>
      <c r="S170" s="3"/>
      <c r="T170" s="3"/>
      <c r="U170" s="3"/>
      <c r="V170" s="3"/>
      <c r="W170" s="3"/>
      <c r="X170" s="3"/>
      <c r="Y170" s="3"/>
    </row>
    <row r="171" ht="14.25" customHeight="1">
      <c r="A171" s="3"/>
      <c r="B171" s="3"/>
      <c r="C171" s="3"/>
      <c r="D171" s="3"/>
      <c r="E171" s="3"/>
      <c r="F171" s="3"/>
      <c r="G171" s="23"/>
      <c r="H171" s="24"/>
      <c r="I171" s="3"/>
      <c r="J171" s="3"/>
      <c r="K171" s="3"/>
      <c r="L171" s="3"/>
      <c r="M171" s="3"/>
      <c r="N171" s="3"/>
      <c r="O171" s="3"/>
      <c r="P171" s="3"/>
      <c r="Q171" s="3"/>
      <c r="R171" s="3"/>
      <c r="S171" s="3"/>
      <c r="T171" s="3"/>
      <c r="U171" s="3"/>
      <c r="V171" s="3"/>
      <c r="W171" s="3"/>
      <c r="X171" s="3"/>
      <c r="Y171" s="3"/>
    </row>
    <row r="172" ht="14.25" customHeight="1">
      <c r="A172" s="3"/>
      <c r="B172" s="3"/>
      <c r="C172" s="3"/>
      <c r="D172" s="3"/>
      <c r="E172" s="3"/>
      <c r="F172" s="3"/>
      <c r="G172" s="23"/>
      <c r="H172" s="24"/>
      <c r="I172" s="3"/>
      <c r="J172" s="3"/>
      <c r="K172" s="3"/>
      <c r="L172" s="3"/>
      <c r="M172" s="3"/>
      <c r="N172" s="3"/>
      <c r="O172" s="3"/>
      <c r="P172" s="3"/>
      <c r="Q172" s="3"/>
      <c r="R172" s="3"/>
      <c r="S172" s="3"/>
      <c r="T172" s="3"/>
      <c r="U172" s="3"/>
      <c r="V172" s="3"/>
      <c r="W172" s="3"/>
      <c r="X172" s="3"/>
      <c r="Y172" s="3"/>
    </row>
    <row r="173" ht="14.25" customHeight="1">
      <c r="A173" s="3"/>
      <c r="B173" s="3"/>
      <c r="C173" s="3"/>
      <c r="D173" s="3"/>
      <c r="E173" s="3"/>
      <c r="F173" s="3"/>
      <c r="G173" s="23"/>
      <c r="H173" s="24"/>
      <c r="I173" s="3"/>
      <c r="J173" s="3"/>
      <c r="K173" s="3"/>
      <c r="L173" s="3"/>
      <c r="M173" s="3"/>
      <c r="N173" s="3"/>
      <c r="O173" s="3"/>
      <c r="P173" s="3"/>
      <c r="Q173" s="3"/>
      <c r="R173" s="3"/>
      <c r="S173" s="3"/>
      <c r="T173" s="3"/>
      <c r="U173" s="3"/>
      <c r="V173" s="3"/>
      <c r="W173" s="3"/>
      <c r="X173" s="3"/>
      <c r="Y173" s="3"/>
    </row>
    <row r="174" ht="14.25" customHeight="1">
      <c r="A174" s="3"/>
      <c r="B174" s="3"/>
      <c r="C174" s="3"/>
      <c r="D174" s="3"/>
      <c r="E174" s="3"/>
      <c r="F174" s="3"/>
      <c r="G174" s="23"/>
      <c r="H174" s="24"/>
      <c r="I174" s="3"/>
      <c r="J174" s="3"/>
      <c r="K174" s="3"/>
      <c r="L174" s="3"/>
      <c r="M174" s="3"/>
      <c r="N174" s="3"/>
      <c r="O174" s="3"/>
      <c r="P174" s="3"/>
      <c r="Q174" s="3"/>
      <c r="R174" s="3"/>
      <c r="S174" s="3"/>
      <c r="T174" s="3"/>
      <c r="U174" s="3"/>
      <c r="V174" s="3"/>
      <c r="W174" s="3"/>
      <c r="X174" s="3"/>
      <c r="Y174" s="3"/>
    </row>
    <row r="175" ht="14.25" customHeight="1">
      <c r="A175" s="3"/>
      <c r="B175" s="3"/>
      <c r="C175" s="3"/>
      <c r="D175" s="3"/>
      <c r="E175" s="3"/>
      <c r="F175" s="3"/>
      <c r="G175" s="23"/>
      <c r="H175" s="24"/>
      <c r="I175" s="3"/>
      <c r="J175" s="3"/>
      <c r="K175" s="3"/>
      <c r="L175" s="3"/>
      <c r="M175" s="3"/>
      <c r="N175" s="3"/>
      <c r="O175" s="3"/>
      <c r="P175" s="3"/>
      <c r="Q175" s="3"/>
      <c r="R175" s="3"/>
      <c r="S175" s="3"/>
      <c r="T175" s="3"/>
      <c r="U175" s="3"/>
      <c r="V175" s="3"/>
      <c r="W175" s="3"/>
      <c r="X175" s="3"/>
      <c r="Y175" s="3"/>
    </row>
    <row r="176" ht="14.25" customHeight="1">
      <c r="A176" s="3"/>
      <c r="B176" s="3"/>
      <c r="C176" s="3"/>
      <c r="D176" s="3"/>
      <c r="E176" s="3"/>
      <c r="F176" s="3"/>
      <c r="G176" s="23"/>
      <c r="H176" s="24"/>
      <c r="I176" s="3"/>
      <c r="J176" s="3"/>
      <c r="K176" s="3"/>
      <c r="L176" s="3"/>
      <c r="M176" s="3"/>
      <c r="N176" s="3"/>
      <c r="O176" s="3"/>
      <c r="P176" s="3"/>
      <c r="Q176" s="3"/>
      <c r="R176" s="3"/>
      <c r="S176" s="3"/>
      <c r="T176" s="3"/>
      <c r="U176" s="3"/>
      <c r="V176" s="3"/>
      <c r="W176" s="3"/>
      <c r="X176" s="3"/>
      <c r="Y176" s="3"/>
    </row>
    <row r="177" ht="14.25" customHeight="1">
      <c r="A177" s="3"/>
      <c r="B177" s="3"/>
      <c r="C177" s="3"/>
      <c r="D177" s="3"/>
      <c r="E177" s="3"/>
      <c r="F177" s="3"/>
      <c r="G177" s="23"/>
      <c r="H177" s="24"/>
      <c r="I177" s="3"/>
      <c r="J177" s="3"/>
      <c r="K177" s="3"/>
      <c r="L177" s="3"/>
      <c r="M177" s="3"/>
      <c r="N177" s="3"/>
      <c r="O177" s="3"/>
      <c r="P177" s="3"/>
      <c r="Q177" s="3"/>
      <c r="R177" s="3"/>
      <c r="S177" s="3"/>
      <c r="T177" s="3"/>
      <c r="U177" s="3"/>
      <c r="V177" s="3"/>
      <c r="W177" s="3"/>
      <c r="X177" s="3"/>
      <c r="Y177" s="3"/>
    </row>
    <row r="178" ht="14.25" customHeight="1">
      <c r="A178" s="3"/>
      <c r="B178" s="3"/>
      <c r="C178" s="3"/>
      <c r="D178" s="3"/>
      <c r="E178" s="3"/>
      <c r="F178" s="3"/>
      <c r="G178" s="23"/>
      <c r="H178" s="24"/>
      <c r="I178" s="3"/>
      <c r="J178" s="3"/>
      <c r="K178" s="3"/>
      <c r="L178" s="3"/>
      <c r="M178" s="3"/>
      <c r="N178" s="3"/>
      <c r="O178" s="3"/>
      <c r="P178" s="3"/>
      <c r="Q178" s="3"/>
      <c r="R178" s="3"/>
      <c r="S178" s="3"/>
      <c r="T178" s="3"/>
      <c r="U178" s="3"/>
      <c r="V178" s="3"/>
      <c r="W178" s="3"/>
      <c r="X178" s="3"/>
      <c r="Y178" s="3"/>
    </row>
    <row r="179" ht="14.25" customHeight="1">
      <c r="A179" s="3"/>
      <c r="B179" s="3"/>
      <c r="C179" s="3"/>
      <c r="D179" s="3"/>
      <c r="E179" s="3"/>
      <c r="F179" s="3"/>
      <c r="G179" s="23"/>
      <c r="H179" s="24"/>
      <c r="I179" s="3"/>
      <c r="J179" s="3"/>
      <c r="K179" s="3"/>
      <c r="L179" s="3"/>
      <c r="M179" s="3"/>
      <c r="N179" s="3"/>
      <c r="O179" s="3"/>
      <c r="P179" s="3"/>
      <c r="Q179" s="3"/>
      <c r="R179" s="3"/>
      <c r="S179" s="3"/>
      <c r="T179" s="3"/>
      <c r="U179" s="3"/>
      <c r="V179" s="3"/>
      <c r="W179" s="3"/>
      <c r="X179" s="3"/>
      <c r="Y179" s="3"/>
    </row>
    <row r="180" ht="14.25" customHeight="1">
      <c r="A180" s="3"/>
      <c r="B180" s="3"/>
      <c r="C180" s="3"/>
      <c r="D180" s="3"/>
      <c r="E180" s="3"/>
      <c r="F180" s="3"/>
      <c r="G180" s="23"/>
      <c r="H180" s="24"/>
      <c r="I180" s="3"/>
      <c r="J180" s="3"/>
      <c r="K180" s="3"/>
      <c r="L180" s="3"/>
      <c r="M180" s="3"/>
      <c r="N180" s="3"/>
      <c r="O180" s="3"/>
      <c r="P180" s="3"/>
      <c r="Q180" s="3"/>
      <c r="R180" s="3"/>
      <c r="S180" s="3"/>
      <c r="T180" s="3"/>
      <c r="U180" s="3"/>
      <c r="V180" s="3"/>
      <c r="W180" s="3"/>
      <c r="X180" s="3"/>
      <c r="Y180" s="3"/>
    </row>
    <row r="181" ht="14.25" customHeight="1">
      <c r="A181" s="3"/>
      <c r="B181" s="3"/>
      <c r="C181" s="3"/>
      <c r="D181" s="3"/>
      <c r="E181" s="3"/>
      <c r="F181" s="3"/>
      <c r="G181" s="23"/>
      <c r="H181" s="24"/>
      <c r="I181" s="3"/>
      <c r="J181" s="3"/>
      <c r="K181" s="3"/>
      <c r="L181" s="3"/>
      <c r="M181" s="3"/>
      <c r="N181" s="3"/>
      <c r="O181" s="3"/>
      <c r="P181" s="3"/>
      <c r="Q181" s="3"/>
      <c r="R181" s="3"/>
      <c r="S181" s="3"/>
      <c r="T181" s="3"/>
      <c r="U181" s="3"/>
      <c r="V181" s="3"/>
      <c r="W181" s="3"/>
      <c r="X181" s="3"/>
      <c r="Y181" s="3"/>
    </row>
    <row r="182" ht="14.25" customHeight="1">
      <c r="A182" s="3"/>
      <c r="B182" s="3"/>
      <c r="C182" s="3"/>
      <c r="D182" s="3"/>
      <c r="E182" s="3"/>
      <c r="F182" s="3"/>
      <c r="G182" s="23"/>
      <c r="H182" s="24"/>
      <c r="I182" s="3"/>
      <c r="J182" s="3"/>
      <c r="K182" s="3"/>
      <c r="L182" s="3"/>
      <c r="M182" s="3"/>
      <c r="N182" s="3"/>
      <c r="O182" s="3"/>
      <c r="P182" s="3"/>
      <c r="Q182" s="3"/>
      <c r="R182" s="3"/>
      <c r="S182" s="3"/>
      <c r="T182" s="3"/>
      <c r="U182" s="3"/>
      <c r="V182" s="3"/>
      <c r="W182" s="3"/>
      <c r="X182" s="3"/>
      <c r="Y182" s="3"/>
    </row>
    <row r="183" ht="14.25" customHeight="1">
      <c r="A183" s="3"/>
      <c r="B183" s="3"/>
      <c r="C183" s="3"/>
      <c r="D183" s="3"/>
      <c r="E183" s="3"/>
      <c r="F183" s="3"/>
      <c r="G183" s="23"/>
      <c r="H183" s="24"/>
      <c r="I183" s="3"/>
      <c r="J183" s="3"/>
      <c r="K183" s="3"/>
      <c r="L183" s="3"/>
      <c r="M183" s="3"/>
      <c r="N183" s="3"/>
      <c r="O183" s="3"/>
      <c r="P183" s="3"/>
      <c r="Q183" s="3"/>
      <c r="R183" s="3"/>
      <c r="S183" s="3"/>
      <c r="T183" s="3"/>
      <c r="U183" s="3"/>
      <c r="V183" s="3"/>
      <c r="W183" s="3"/>
      <c r="X183" s="3"/>
      <c r="Y183" s="3"/>
    </row>
    <row r="184" ht="14.25" customHeight="1">
      <c r="A184" s="3"/>
      <c r="B184" s="3"/>
      <c r="C184" s="3"/>
      <c r="D184" s="3"/>
      <c r="E184" s="3"/>
      <c r="F184" s="3"/>
      <c r="G184" s="23"/>
      <c r="H184" s="24"/>
      <c r="I184" s="3"/>
      <c r="J184" s="3"/>
      <c r="K184" s="3"/>
      <c r="L184" s="3"/>
      <c r="M184" s="3"/>
      <c r="N184" s="3"/>
      <c r="O184" s="3"/>
      <c r="P184" s="3"/>
      <c r="Q184" s="3"/>
      <c r="R184" s="3"/>
      <c r="S184" s="3"/>
      <c r="T184" s="3"/>
      <c r="U184" s="3"/>
      <c r="V184" s="3"/>
      <c r="W184" s="3"/>
      <c r="X184" s="3"/>
      <c r="Y184" s="3"/>
    </row>
    <row r="185" ht="14.25" customHeight="1">
      <c r="A185" s="3"/>
      <c r="B185" s="3"/>
      <c r="C185" s="3"/>
      <c r="D185" s="3"/>
      <c r="E185" s="3"/>
      <c r="F185" s="3"/>
      <c r="G185" s="23"/>
      <c r="H185" s="24"/>
      <c r="I185" s="3"/>
      <c r="J185" s="3"/>
      <c r="K185" s="3"/>
      <c r="L185" s="3"/>
      <c r="M185" s="3"/>
      <c r="N185" s="3"/>
      <c r="O185" s="3"/>
      <c r="P185" s="3"/>
      <c r="Q185" s="3"/>
      <c r="R185" s="3"/>
      <c r="S185" s="3"/>
      <c r="T185" s="3"/>
      <c r="U185" s="3"/>
      <c r="V185" s="3"/>
      <c r="W185" s="3"/>
      <c r="X185" s="3"/>
      <c r="Y185" s="3"/>
    </row>
    <row r="186" ht="14.25" customHeight="1">
      <c r="A186" s="3"/>
      <c r="B186" s="3"/>
      <c r="C186" s="3"/>
      <c r="D186" s="3"/>
      <c r="E186" s="3"/>
      <c r="F186" s="3"/>
      <c r="G186" s="23"/>
      <c r="H186" s="24"/>
      <c r="I186" s="3"/>
      <c r="J186" s="3"/>
      <c r="K186" s="3"/>
      <c r="L186" s="3"/>
      <c r="M186" s="3"/>
      <c r="N186" s="3"/>
      <c r="O186" s="3"/>
      <c r="P186" s="3"/>
      <c r="Q186" s="3"/>
      <c r="R186" s="3"/>
      <c r="S186" s="3"/>
      <c r="T186" s="3"/>
      <c r="U186" s="3"/>
      <c r="V186" s="3"/>
      <c r="W186" s="3"/>
      <c r="X186" s="3"/>
      <c r="Y186" s="3"/>
    </row>
    <row r="187" ht="14.25" customHeight="1">
      <c r="A187" s="3"/>
      <c r="B187" s="3"/>
      <c r="C187" s="3"/>
      <c r="D187" s="3"/>
      <c r="E187" s="3"/>
      <c r="F187" s="3"/>
      <c r="G187" s="23"/>
      <c r="H187" s="24"/>
      <c r="I187" s="3"/>
      <c r="J187" s="3"/>
      <c r="K187" s="3"/>
      <c r="L187" s="3"/>
      <c r="M187" s="3"/>
      <c r="N187" s="3"/>
      <c r="O187" s="3"/>
      <c r="P187" s="3"/>
      <c r="Q187" s="3"/>
      <c r="R187" s="3"/>
      <c r="S187" s="3"/>
      <c r="T187" s="3"/>
      <c r="U187" s="3"/>
      <c r="V187" s="3"/>
      <c r="W187" s="3"/>
      <c r="X187" s="3"/>
      <c r="Y187" s="3"/>
    </row>
    <row r="188" ht="14.25" customHeight="1">
      <c r="A188" s="3"/>
      <c r="B188" s="3"/>
      <c r="C188" s="3"/>
      <c r="D188" s="3"/>
      <c r="E188" s="3"/>
      <c r="F188" s="3"/>
      <c r="G188" s="23"/>
      <c r="H188" s="24"/>
      <c r="I188" s="3"/>
      <c r="J188" s="3"/>
      <c r="K188" s="3"/>
      <c r="L188" s="3"/>
      <c r="M188" s="3"/>
      <c r="N188" s="3"/>
      <c r="O188" s="3"/>
      <c r="P188" s="3"/>
      <c r="Q188" s="3"/>
      <c r="R188" s="3"/>
      <c r="S188" s="3"/>
      <c r="T188" s="3"/>
      <c r="U188" s="3"/>
      <c r="V188" s="3"/>
      <c r="W188" s="3"/>
      <c r="X188" s="3"/>
      <c r="Y188" s="3"/>
    </row>
    <row r="189" ht="14.25" customHeight="1">
      <c r="A189" s="3"/>
      <c r="B189" s="3"/>
      <c r="C189" s="3"/>
      <c r="D189" s="3"/>
      <c r="E189" s="3"/>
      <c r="F189" s="3"/>
      <c r="G189" s="23"/>
      <c r="H189" s="24"/>
      <c r="I189" s="3"/>
      <c r="J189" s="3"/>
      <c r="K189" s="3"/>
      <c r="L189" s="3"/>
      <c r="M189" s="3"/>
      <c r="N189" s="3"/>
      <c r="O189" s="3"/>
      <c r="P189" s="3"/>
      <c r="Q189" s="3"/>
      <c r="R189" s="3"/>
      <c r="S189" s="3"/>
      <c r="T189" s="3"/>
      <c r="U189" s="3"/>
      <c r="V189" s="3"/>
      <c r="W189" s="3"/>
      <c r="X189" s="3"/>
      <c r="Y189" s="3"/>
    </row>
    <row r="190" ht="14.25" customHeight="1">
      <c r="A190" s="3"/>
      <c r="B190" s="3"/>
      <c r="C190" s="3"/>
      <c r="D190" s="3"/>
      <c r="E190" s="3"/>
      <c r="F190" s="3"/>
      <c r="G190" s="23"/>
      <c r="H190" s="24"/>
      <c r="I190" s="3"/>
      <c r="J190" s="3"/>
      <c r="K190" s="3"/>
      <c r="L190" s="3"/>
      <c r="M190" s="3"/>
      <c r="N190" s="3"/>
      <c r="O190" s="3"/>
      <c r="P190" s="3"/>
      <c r="Q190" s="3"/>
      <c r="R190" s="3"/>
      <c r="S190" s="3"/>
      <c r="T190" s="3"/>
      <c r="U190" s="3"/>
      <c r="V190" s="3"/>
      <c r="W190" s="3"/>
      <c r="X190" s="3"/>
      <c r="Y190" s="3"/>
    </row>
    <row r="191" ht="14.25" customHeight="1">
      <c r="A191" s="3"/>
      <c r="B191" s="3"/>
      <c r="C191" s="3"/>
      <c r="D191" s="3"/>
      <c r="E191" s="3"/>
      <c r="F191" s="3"/>
      <c r="G191" s="23"/>
      <c r="H191" s="24"/>
      <c r="I191" s="3"/>
      <c r="J191" s="3"/>
      <c r="K191" s="3"/>
      <c r="L191" s="3"/>
      <c r="M191" s="3"/>
      <c r="N191" s="3"/>
      <c r="O191" s="3"/>
      <c r="P191" s="3"/>
      <c r="Q191" s="3"/>
      <c r="R191" s="3"/>
      <c r="S191" s="3"/>
      <c r="T191" s="3"/>
      <c r="U191" s="3"/>
      <c r="V191" s="3"/>
      <c r="W191" s="3"/>
      <c r="X191" s="3"/>
      <c r="Y191" s="3"/>
    </row>
    <row r="192" ht="14.25" customHeight="1">
      <c r="A192" s="3"/>
      <c r="B192" s="3"/>
      <c r="C192" s="3"/>
      <c r="D192" s="3"/>
      <c r="E192" s="3"/>
      <c r="F192" s="3"/>
      <c r="G192" s="23"/>
      <c r="H192" s="24"/>
      <c r="I192" s="3"/>
      <c r="J192" s="3"/>
      <c r="K192" s="3"/>
      <c r="L192" s="3"/>
      <c r="M192" s="3"/>
      <c r="N192" s="3"/>
      <c r="O192" s="3"/>
      <c r="P192" s="3"/>
      <c r="Q192" s="3"/>
      <c r="R192" s="3"/>
      <c r="S192" s="3"/>
      <c r="T192" s="3"/>
      <c r="U192" s="3"/>
      <c r="V192" s="3"/>
      <c r="W192" s="3"/>
      <c r="X192" s="3"/>
      <c r="Y192" s="3"/>
    </row>
    <row r="193" ht="14.25" customHeight="1">
      <c r="A193" s="3"/>
      <c r="B193" s="3"/>
      <c r="C193" s="3"/>
      <c r="D193" s="3"/>
      <c r="E193" s="3"/>
      <c r="F193" s="3"/>
      <c r="G193" s="23"/>
      <c r="H193" s="24"/>
      <c r="I193" s="3"/>
      <c r="J193" s="3"/>
      <c r="K193" s="3"/>
      <c r="L193" s="3"/>
      <c r="M193" s="3"/>
      <c r="N193" s="3"/>
      <c r="O193" s="3"/>
      <c r="P193" s="3"/>
      <c r="Q193" s="3"/>
      <c r="R193" s="3"/>
      <c r="S193" s="3"/>
      <c r="T193" s="3"/>
      <c r="U193" s="3"/>
      <c r="V193" s="3"/>
      <c r="W193" s="3"/>
      <c r="X193" s="3"/>
      <c r="Y193" s="3"/>
    </row>
    <row r="194" ht="14.25" customHeight="1">
      <c r="A194" s="3"/>
      <c r="B194" s="3"/>
      <c r="C194" s="3"/>
      <c r="D194" s="3"/>
      <c r="E194" s="3"/>
      <c r="F194" s="3"/>
      <c r="G194" s="23"/>
      <c r="H194" s="24"/>
      <c r="I194" s="3"/>
      <c r="J194" s="3"/>
      <c r="K194" s="3"/>
      <c r="L194" s="3"/>
      <c r="M194" s="3"/>
      <c r="N194" s="3"/>
      <c r="O194" s="3"/>
      <c r="P194" s="3"/>
      <c r="Q194" s="3"/>
      <c r="R194" s="3"/>
      <c r="S194" s="3"/>
      <c r="T194" s="3"/>
      <c r="U194" s="3"/>
      <c r="V194" s="3"/>
      <c r="W194" s="3"/>
      <c r="X194" s="3"/>
      <c r="Y194" s="3"/>
    </row>
    <row r="195" ht="14.25" customHeight="1">
      <c r="A195" s="3"/>
      <c r="B195" s="3"/>
      <c r="C195" s="3"/>
      <c r="D195" s="3"/>
      <c r="E195" s="3"/>
      <c r="F195" s="3"/>
      <c r="G195" s="23"/>
      <c r="H195" s="24"/>
      <c r="I195" s="3"/>
      <c r="J195" s="3"/>
      <c r="K195" s="3"/>
      <c r="L195" s="3"/>
      <c r="M195" s="3"/>
      <c r="N195" s="3"/>
      <c r="O195" s="3"/>
      <c r="P195" s="3"/>
      <c r="Q195" s="3"/>
      <c r="R195" s="3"/>
      <c r="S195" s="3"/>
      <c r="T195" s="3"/>
      <c r="U195" s="3"/>
      <c r="V195" s="3"/>
      <c r="W195" s="3"/>
      <c r="X195" s="3"/>
      <c r="Y195" s="3"/>
    </row>
    <row r="196" ht="14.25" customHeight="1">
      <c r="A196" s="3"/>
      <c r="B196" s="3"/>
      <c r="C196" s="3"/>
      <c r="D196" s="3"/>
      <c r="E196" s="3"/>
      <c r="F196" s="3"/>
      <c r="G196" s="23"/>
      <c r="H196" s="24"/>
      <c r="I196" s="3"/>
      <c r="J196" s="3"/>
      <c r="K196" s="3"/>
      <c r="L196" s="3"/>
      <c r="M196" s="3"/>
      <c r="N196" s="3"/>
      <c r="O196" s="3"/>
      <c r="P196" s="3"/>
      <c r="Q196" s="3"/>
      <c r="R196" s="3"/>
      <c r="S196" s="3"/>
      <c r="T196" s="3"/>
      <c r="U196" s="3"/>
      <c r="V196" s="3"/>
      <c r="W196" s="3"/>
      <c r="X196" s="3"/>
      <c r="Y196" s="3"/>
    </row>
    <row r="197" ht="14.25" customHeight="1">
      <c r="A197" s="3"/>
      <c r="B197" s="3"/>
      <c r="C197" s="3"/>
      <c r="D197" s="3"/>
      <c r="E197" s="3"/>
      <c r="F197" s="3"/>
      <c r="G197" s="23"/>
      <c r="H197" s="24"/>
      <c r="I197" s="3"/>
      <c r="J197" s="3"/>
      <c r="K197" s="3"/>
      <c r="L197" s="3"/>
      <c r="M197" s="3"/>
      <c r="N197" s="3"/>
      <c r="O197" s="3"/>
      <c r="P197" s="3"/>
      <c r="Q197" s="3"/>
      <c r="R197" s="3"/>
      <c r="S197" s="3"/>
      <c r="T197" s="3"/>
      <c r="U197" s="3"/>
      <c r="V197" s="3"/>
      <c r="W197" s="3"/>
      <c r="X197" s="3"/>
      <c r="Y197" s="3"/>
    </row>
    <row r="198" ht="14.25" customHeight="1">
      <c r="A198" s="3"/>
      <c r="B198" s="3"/>
      <c r="C198" s="3"/>
      <c r="D198" s="3"/>
      <c r="E198" s="3"/>
      <c r="F198" s="3"/>
      <c r="G198" s="23"/>
      <c r="H198" s="24"/>
      <c r="I198" s="3"/>
      <c r="J198" s="3"/>
      <c r="K198" s="3"/>
      <c r="L198" s="3"/>
      <c r="M198" s="3"/>
      <c r="N198" s="3"/>
      <c r="O198" s="3"/>
      <c r="P198" s="3"/>
      <c r="Q198" s="3"/>
      <c r="R198" s="3"/>
      <c r="S198" s="3"/>
      <c r="T198" s="3"/>
      <c r="U198" s="3"/>
      <c r="V198" s="3"/>
      <c r="W198" s="3"/>
      <c r="X198" s="3"/>
      <c r="Y198" s="3"/>
    </row>
    <row r="199" ht="14.25" customHeight="1">
      <c r="A199" s="3"/>
      <c r="B199" s="3"/>
      <c r="C199" s="3"/>
      <c r="D199" s="3"/>
      <c r="E199" s="3"/>
      <c r="F199" s="3"/>
      <c r="G199" s="23"/>
      <c r="H199" s="24"/>
      <c r="I199" s="3"/>
      <c r="J199" s="3"/>
      <c r="K199" s="3"/>
      <c r="L199" s="3"/>
      <c r="M199" s="3"/>
      <c r="N199" s="3"/>
      <c r="O199" s="3"/>
      <c r="P199" s="3"/>
      <c r="Q199" s="3"/>
      <c r="R199" s="3"/>
      <c r="S199" s="3"/>
      <c r="T199" s="3"/>
      <c r="U199" s="3"/>
      <c r="V199" s="3"/>
      <c r="W199" s="3"/>
      <c r="X199" s="3"/>
      <c r="Y199" s="3"/>
    </row>
    <row r="200" ht="14.25" customHeight="1">
      <c r="A200" s="3"/>
      <c r="B200" s="3"/>
      <c r="C200" s="3"/>
      <c r="D200" s="3"/>
      <c r="E200" s="3"/>
      <c r="F200" s="3"/>
      <c r="G200" s="23"/>
      <c r="H200" s="24"/>
      <c r="I200" s="3"/>
      <c r="J200" s="3"/>
      <c r="K200" s="3"/>
      <c r="L200" s="3"/>
      <c r="M200" s="3"/>
      <c r="N200" s="3"/>
      <c r="O200" s="3"/>
      <c r="P200" s="3"/>
      <c r="Q200" s="3"/>
      <c r="R200" s="3"/>
      <c r="S200" s="3"/>
      <c r="T200" s="3"/>
      <c r="U200" s="3"/>
      <c r="V200" s="3"/>
      <c r="W200" s="3"/>
      <c r="X200" s="3"/>
      <c r="Y200" s="3"/>
    </row>
    <row r="201" ht="14.25" customHeight="1">
      <c r="A201" s="3"/>
      <c r="B201" s="3"/>
      <c r="C201" s="3"/>
      <c r="D201" s="3"/>
      <c r="E201" s="3"/>
      <c r="F201" s="3"/>
      <c r="G201" s="23"/>
      <c r="H201" s="24"/>
      <c r="I201" s="3"/>
      <c r="J201" s="3"/>
      <c r="K201" s="3"/>
      <c r="L201" s="3"/>
      <c r="M201" s="3"/>
      <c r="N201" s="3"/>
      <c r="O201" s="3"/>
      <c r="P201" s="3"/>
      <c r="Q201" s="3"/>
      <c r="R201" s="3"/>
      <c r="S201" s="3"/>
      <c r="T201" s="3"/>
      <c r="U201" s="3"/>
      <c r="V201" s="3"/>
      <c r="W201" s="3"/>
      <c r="X201" s="3"/>
      <c r="Y201" s="3"/>
    </row>
    <row r="202" ht="14.25" customHeight="1">
      <c r="A202" s="3"/>
      <c r="B202" s="3"/>
      <c r="C202" s="3"/>
      <c r="D202" s="3"/>
      <c r="E202" s="3"/>
      <c r="F202" s="3"/>
      <c r="G202" s="23"/>
      <c r="H202" s="24"/>
      <c r="I202" s="3"/>
      <c r="J202" s="3"/>
      <c r="K202" s="3"/>
      <c r="L202" s="3"/>
      <c r="M202" s="3"/>
      <c r="N202" s="3"/>
      <c r="O202" s="3"/>
      <c r="P202" s="3"/>
      <c r="Q202" s="3"/>
      <c r="R202" s="3"/>
      <c r="S202" s="3"/>
      <c r="T202" s="3"/>
      <c r="U202" s="3"/>
      <c r="V202" s="3"/>
      <c r="W202" s="3"/>
      <c r="X202" s="3"/>
      <c r="Y202" s="3"/>
    </row>
    <row r="203" ht="14.25" customHeight="1">
      <c r="A203" s="3"/>
      <c r="B203" s="3"/>
      <c r="C203" s="3"/>
      <c r="D203" s="3"/>
      <c r="E203" s="3"/>
      <c r="F203" s="3"/>
      <c r="G203" s="23"/>
      <c r="H203" s="24"/>
      <c r="I203" s="3"/>
      <c r="J203" s="3"/>
      <c r="K203" s="3"/>
      <c r="L203" s="3"/>
      <c r="M203" s="3"/>
      <c r="N203" s="3"/>
      <c r="O203" s="3"/>
      <c r="P203" s="3"/>
      <c r="Q203" s="3"/>
      <c r="R203" s="3"/>
      <c r="S203" s="3"/>
      <c r="T203" s="3"/>
      <c r="U203" s="3"/>
      <c r="V203" s="3"/>
      <c r="W203" s="3"/>
      <c r="X203" s="3"/>
      <c r="Y203" s="3"/>
    </row>
    <row r="204" ht="14.25" customHeight="1">
      <c r="A204" s="3"/>
      <c r="B204" s="3"/>
      <c r="C204" s="3"/>
      <c r="D204" s="3"/>
      <c r="E204" s="3"/>
      <c r="F204" s="3"/>
      <c r="G204" s="23"/>
      <c r="H204" s="24"/>
      <c r="I204" s="3"/>
      <c r="J204" s="3"/>
      <c r="K204" s="3"/>
      <c r="L204" s="3"/>
      <c r="M204" s="3"/>
      <c r="N204" s="3"/>
      <c r="O204" s="3"/>
      <c r="P204" s="3"/>
      <c r="Q204" s="3"/>
      <c r="R204" s="3"/>
      <c r="S204" s="3"/>
      <c r="T204" s="3"/>
      <c r="U204" s="3"/>
      <c r="V204" s="3"/>
      <c r="W204" s="3"/>
      <c r="X204" s="3"/>
      <c r="Y204" s="3"/>
    </row>
    <row r="205" ht="14.25" customHeight="1">
      <c r="A205" s="3"/>
      <c r="B205" s="3"/>
      <c r="C205" s="3"/>
      <c r="D205" s="3"/>
      <c r="E205" s="3"/>
      <c r="F205" s="3"/>
      <c r="G205" s="23"/>
      <c r="H205" s="24"/>
      <c r="I205" s="3"/>
      <c r="J205" s="3"/>
      <c r="K205" s="3"/>
      <c r="L205" s="3"/>
      <c r="M205" s="3"/>
      <c r="N205" s="3"/>
      <c r="O205" s="3"/>
      <c r="P205" s="3"/>
      <c r="Q205" s="3"/>
      <c r="R205" s="3"/>
      <c r="S205" s="3"/>
      <c r="T205" s="3"/>
      <c r="U205" s="3"/>
      <c r="V205" s="3"/>
      <c r="W205" s="3"/>
      <c r="X205" s="3"/>
      <c r="Y205" s="3"/>
    </row>
    <row r="206" ht="14.25" customHeight="1">
      <c r="A206" s="3"/>
      <c r="B206" s="3"/>
      <c r="C206" s="3"/>
      <c r="D206" s="3"/>
      <c r="E206" s="3"/>
      <c r="F206" s="3"/>
      <c r="G206" s="23"/>
      <c r="H206" s="24"/>
      <c r="I206" s="3"/>
      <c r="J206" s="3"/>
      <c r="K206" s="3"/>
      <c r="L206" s="3"/>
      <c r="M206" s="3"/>
      <c r="N206" s="3"/>
      <c r="O206" s="3"/>
      <c r="P206" s="3"/>
      <c r="Q206" s="3"/>
      <c r="R206" s="3"/>
      <c r="S206" s="3"/>
      <c r="T206" s="3"/>
      <c r="U206" s="3"/>
      <c r="V206" s="3"/>
      <c r="W206" s="3"/>
      <c r="X206" s="3"/>
      <c r="Y206" s="3"/>
    </row>
    <row r="207" ht="14.25" customHeight="1">
      <c r="A207" s="3"/>
      <c r="B207" s="3"/>
      <c r="C207" s="3"/>
      <c r="D207" s="3"/>
      <c r="E207" s="3"/>
      <c r="F207" s="3"/>
      <c r="G207" s="23"/>
      <c r="H207" s="24"/>
      <c r="I207" s="3"/>
      <c r="J207" s="3"/>
      <c r="K207" s="3"/>
      <c r="L207" s="3"/>
      <c r="M207" s="3"/>
      <c r="N207" s="3"/>
      <c r="O207" s="3"/>
      <c r="P207" s="3"/>
      <c r="Q207" s="3"/>
      <c r="R207" s="3"/>
      <c r="S207" s="3"/>
      <c r="T207" s="3"/>
      <c r="U207" s="3"/>
      <c r="V207" s="3"/>
      <c r="W207" s="3"/>
      <c r="X207" s="3"/>
      <c r="Y207" s="3"/>
    </row>
    <row r="208" ht="14.25" customHeight="1">
      <c r="A208" s="3"/>
      <c r="B208" s="3"/>
      <c r="C208" s="3"/>
      <c r="D208" s="3"/>
      <c r="E208" s="3"/>
      <c r="F208" s="3"/>
      <c r="G208" s="23"/>
      <c r="H208" s="24"/>
      <c r="I208" s="3"/>
      <c r="J208" s="3"/>
      <c r="K208" s="3"/>
      <c r="L208" s="3"/>
      <c r="M208" s="3"/>
      <c r="N208" s="3"/>
      <c r="O208" s="3"/>
      <c r="P208" s="3"/>
      <c r="Q208" s="3"/>
      <c r="R208" s="3"/>
      <c r="S208" s="3"/>
      <c r="T208" s="3"/>
      <c r="U208" s="3"/>
      <c r="V208" s="3"/>
      <c r="W208" s="3"/>
      <c r="X208" s="3"/>
      <c r="Y208" s="3"/>
    </row>
    <row r="209" ht="14.25" customHeight="1">
      <c r="A209" s="3"/>
      <c r="B209" s="3"/>
      <c r="C209" s="3"/>
      <c r="D209" s="3"/>
      <c r="E209" s="3"/>
      <c r="F209" s="3"/>
      <c r="G209" s="23"/>
      <c r="H209" s="24"/>
      <c r="I209" s="3"/>
      <c r="J209" s="3"/>
      <c r="K209" s="3"/>
      <c r="L209" s="3"/>
      <c r="M209" s="3"/>
      <c r="N209" s="3"/>
      <c r="O209" s="3"/>
      <c r="P209" s="3"/>
      <c r="Q209" s="3"/>
      <c r="R209" s="3"/>
      <c r="S209" s="3"/>
      <c r="T209" s="3"/>
      <c r="U209" s="3"/>
      <c r="V209" s="3"/>
      <c r="W209" s="3"/>
      <c r="X209" s="3"/>
      <c r="Y209" s="3"/>
    </row>
    <row r="210" ht="14.25" customHeight="1">
      <c r="A210" s="3"/>
      <c r="B210" s="3"/>
      <c r="C210" s="3"/>
      <c r="D210" s="3"/>
      <c r="E210" s="3"/>
      <c r="F210" s="3"/>
      <c r="G210" s="23"/>
      <c r="H210" s="24"/>
      <c r="I210" s="3"/>
      <c r="J210" s="3"/>
      <c r="K210" s="3"/>
      <c r="L210" s="3"/>
      <c r="M210" s="3"/>
      <c r="N210" s="3"/>
      <c r="O210" s="3"/>
      <c r="P210" s="3"/>
      <c r="Q210" s="3"/>
      <c r="R210" s="3"/>
      <c r="S210" s="3"/>
      <c r="T210" s="3"/>
      <c r="U210" s="3"/>
      <c r="V210" s="3"/>
      <c r="W210" s="3"/>
      <c r="X210" s="3"/>
      <c r="Y210" s="3"/>
    </row>
    <row r="211" ht="14.25" customHeight="1">
      <c r="A211" s="3"/>
      <c r="B211" s="3"/>
      <c r="C211" s="3"/>
      <c r="D211" s="3"/>
      <c r="E211" s="3"/>
      <c r="F211" s="3"/>
      <c r="G211" s="23"/>
      <c r="H211" s="24"/>
      <c r="I211" s="3"/>
      <c r="J211" s="3"/>
      <c r="K211" s="3"/>
      <c r="L211" s="3"/>
      <c r="M211" s="3"/>
      <c r="N211" s="3"/>
      <c r="O211" s="3"/>
      <c r="P211" s="3"/>
      <c r="Q211" s="3"/>
      <c r="R211" s="3"/>
      <c r="S211" s="3"/>
      <c r="T211" s="3"/>
      <c r="U211" s="3"/>
      <c r="V211" s="3"/>
      <c r="W211" s="3"/>
      <c r="X211" s="3"/>
      <c r="Y211" s="3"/>
    </row>
    <row r="212" ht="14.25" customHeight="1">
      <c r="A212" s="3"/>
      <c r="B212" s="3"/>
      <c r="C212" s="3"/>
      <c r="D212" s="3"/>
      <c r="E212" s="3"/>
      <c r="F212" s="3"/>
      <c r="G212" s="23"/>
      <c r="H212" s="24"/>
      <c r="I212" s="3"/>
      <c r="J212" s="3"/>
      <c r="K212" s="3"/>
      <c r="L212" s="3"/>
      <c r="M212" s="3"/>
      <c r="N212" s="3"/>
      <c r="O212" s="3"/>
      <c r="P212" s="3"/>
      <c r="Q212" s="3"/>
      <c r="R212" s="3"/>
      <c r="S212" s="3"/>
      <c r="T212" s="3"/>
      <c r="U212" s="3"/>
      <c r="V212" s="3"/>
      <c r="W212" s="3"/>
      <c r="X212" s="3"/>
      <c r="Y212" s="3"/>
    </row>
    <row r="213" ht="14.25" customHeight="1">
      <c r="A213" s="3"/>
      <c r="B213" s="3"/>
      <c r="C213" s="3"/>
      <c r="D213" s="3"/>
      <c r="E213" s="3"/>
      <c r="F213" s="3"/>
      <c r="G213" s="23"/>
      <c r="H213" s="24"/>
      <c r="I213" s="3"/>
      <c r="J213" s="3"/>
      <c r="K213" s="3"/>
      <c r="L213" s="3"/>
      <c r="M213" s="3"/>
      <c r="N213" s="3"/>
      <c r="O213" s="3"/>
      <c r="P213" s="3"/>
      <c r="Q213" s="3"/>
      <c r="R213" s="3"/>
      <c r="S213" s="3"/>
      <c r="T213" s="3"/>
      <c r="U213" s="3"/>
      <c r="V213" s="3"/>
      <c r="W213" s="3"/>
      <c r="X213" s="3"/>
      <c r="Y213" s="3"/>
    </row>
    <row r="214" ht="14.25" customHeight="1">
      <c r="A214" s="3"/>
      <c r="B214" s="3"/>
      <c r="C214" s="3"/>
      <c r="D214" s="3"/>
      <c r="E214" s="3"/>
      <c r="F214" s="3"/>
      <c r="G214" s="23"/>
      <c r="H214" s="24"/>
      <c r="I214" s="3"/>
      <c r="J214" s="3"/>
      <c r="K214" s="3"/>
      <c r="L214" s="3"/>
      <c r="M214" s="3"/>
      <c r="N214" s="3"/>
      <c r="O214" s="3"/>
      <c r="P214" s="3"/>
      <c r="Q214" s="3"/>
      <c r="R214" s="3"/>
      <c r="S214" s="3"/>
      <c r="T214" s="3"/>
      <c r="U214" s="3"/>
      <c r="V214" s="3"/>
      <c r="W214" s="3"/>
      <c r="X214" s="3"/>
      <c r="Y214" s="3"/>
    </row>
    <row r="215" ht="14.25" customHeight="1">
      <c r="A215" s="3"/>
      <c r="B215" s="3"/>
      <c r="C215" s="3"/>
      <c r="D215" s="3"/>
      <c r="E215" s="3"/>
      <c r="F215" s="3"/>
      <c r="G215" s="23"/>
      <c r="H215" s="24"/>
      <c r="I215" s="3"/>
      <c r="J215" s="3"/>
      <c r="K215" s="3"/>
      <c r="L215" s="3"/>
      <c r="M215" s="3"/>
      <c r="N215" s="3"/>
      <c r="O215" s="3"/>
      <c r="P215" s="3"/>
      <c r="Q215" s="3"/>
      <c r="R215" s="3"/>
      <c r="S215" s="3"/>
      <c r="T215" s="3"/>
      <c r="U215" s="3"/>
      <c r="V215" s="3"/>
      <c r="W215" s="3"/>
      <c r="X215" s="3"/>
      <c r="Y215" s="3"/>
    </row>
    <row r="216" ht="14.25" customHeight="1">
      <c r="A216" s="3"/>
      <c r="B216" s="3"/>
      <c r="C216" s="3"/>
      <c r="D216" s="3"/>
      <c r="E216" s="3"/>
      <c r="F216" s="3"/>
      <c r="G216" s="23"/>
      <c r="H216" s="24"/>
      <c r="I216" s="3"/>
      <c r="J216" s="3"/>
      <c r="K216" s="3"/>
      <c r="L216" s="3"/>
      <c r="M216" s="3"/>
      <c r="N216" s="3"/>
      <c r="O216" s="3"/>
      <c r="P216" s="3"/>
      <c r="Q216" s="3"/>
      <c r="R216" s="3"/>
      <c r="S216" s="3"/>
      <c r="T216" s="3"/>
      <c r="U216" s="3"/>
      <c r="V216" s="3"/>
      <c r="W216" s="3"/>
      <c r="X216" s="3"/>
      <c r="Y216" s="3"/>
    </row>
    <row r="217" ht="14.25" customHeight="1">
      <c r="A217" s="3"/>
      <c r="B217" s="3"/>
      <c r="C217" s="3"/>
      <c r="D217" s="3"/>
      <c r="E217" s="3"/>
      <c r="F217" s="3"/>
      <c r="G217" s="23"/>
      <c r="H217" s="24"/>
      <c r="I217" s="3"/>
      <c r="J217" s="3"/>
      <c r="K217" s="3"/>
      <c r="L217" s="3"/>
      <c r="M217" s="3"/>
      <c r="N217" s="3"/>
      <c r="O217" s="3"/>
      <c r="P217" s="3"/>
      <c r="Q217" s="3"/>
      <c r="R217" s="3"/>
      <c r="S217" s="3"/>
      <c r="T217" s="3"/>
      <c r="U217" s="3"/>
      <c r="V217" s="3"/>
      <c r="W217" s="3"/>
      <c r="X217" s="3"/>
      <c r="Y217" s="3"/>
    </row>
    <row r="218" ht="14.25" customHeight="1">
      <c r="A218" s="3"/>
      <c r="B218" s="3"/>
      <c r="C218" s="3"/>
      <c r="D218" s="3"/>
      <c r="E218" s="3"/>
      <c r="F218" s="3"/>
      <c r="G218" s="23"/>
      <c r="H218" s="24"/>
      <c r="I218" s="3"/>
      <c r="J218" s="3"/>
      <c r="K218" s="3"/>
      <c r="L218" s="3"/>
      <c r="M218" s="3"/>
      <c r="N218" s="3"/>
      <c r="O218" s="3"/>
      <c r="P218" s="3"/>
      <c r="Q218" s="3"/>
      <c r="R218" s="3"/>
      <c r="S218" s="3"/>
      <c r="T218" s="3"/>
      <c r="U218" s="3"/>
      <c r="V218" s="3"/>
      <c r="W218" s="3"/>
      <c r="X218" s="3"/>
      <c r="Y218" s="3"/>
    </row>
    <row r="219" ht="14.25" customHeight="1">
      <c r="A219" s="3"/>
      <c r="B219" s="3"/>
      <c r="C219" s="3"/>
      <c r="D219" s="3"/>
      <c r="E219" s="3"/>
      <c r="F219" s="3"/>
      <c r="G219" s="23"/>
      <c r="H219" s="24"/>
      <c r="I219" s="3"/>
      <c r="J219" s="3"/>
      <c r="K219" s="3"/>
      <c r="L219" s="3"/>
      <c r="M219" s="3"/>
      <c r="N219" s="3"/>
      <c r="O219" s="3"/>
      <c r="P219" s="3"/>
      <c r="Q219" s="3"/>
      <c r="R219" s="3"/>
      <c r="S219" s="3"/>
      <c r="T219" s="3"/>
      <c r="U219" s="3"/>
      <c r="V219" s="3"/>
      <c r="W219" s="3"/>
      <c r="X219" s="3"/>
      <c r="Y219" s="3"/>
    </row>
    <row r="220" ht="14.25" customHeight="1">
      <c r="A220" s="3"/>
      <c r="B220" s="3"/>
      <c r="C220" s="3"/>
      <c r="D220" s="3"/>
      <c r="E220" s="3"/>
      <c r="F220" s="3"/>
      <c r="G220" s="23"/>
      <c r="H220" s="24"/>
      <c r="I220" s="3"/>
      <c r="J220" s="3"/>
      <c r="K220" s="3"/>
      <c r="L220" s="3"/>
      <c r="M220" s="3"/>
      <c r="N220" s="3"/>
      <c r="O220" s="3"/>
      <c r="P220" s="3"/>
      <c r="Q220" s="3"/>
      <c r="R220" s="3"/>
      <c r="S220" s="3"/>
      <c r="T220" s="3"/>
      <c r="U220" s="3"/>
      <c r="V220" s="3"/>
      <c r="W220" s="3"/>
      <c r="X220" s="3"/>
      <c r="Y220" s="3"/>
    </row>
    <row r="221" ht="14.25" customHeight="1">
      <c r="A221" s="3"/>
      <c r="B221" s="3"/>
      <c r="C221" s="3"/>
      <c r="D221" s="3"/>
      <c r="E221" s="3"/>
      <c r="F221" s="3"/>
      <c r="G221" s="23"/>
      <c r="H221" s="24"/>
      <c r="I221" s="3"/>
      <c r="J221" s="3"/>
      <c r="K221" s="3"/>
      <c r="L221" s="3"/>
      <c r="M221" s="3"/>
      <c r="N221" s="3"/>
      <c r="O221" s="3"/>
      <c r="P221" s="3"/>
      <c r="Q221" s="3"/>
      <c r="R221" s="3"/>
      <c r="S221" s="3"/>
      <c r="T221" s="3"/>
      <c r="U221" s="3"/>
      <c r="V221" s="3"/>
      <c r="W221" s="3"/>
      <c r="X221" s="3"/>
      <c r="Y221" s="3"/>
    </row>
    <row r="222" ht="14.25" customHeight="1">
      <c r="A222" s="3"/>
      <c r="B222" s="3"/>
      <c r="C222" s="3"/>
      <c r="D222" s="3"/>
      <c r="E222" s="3"/>
      <c r="F222" s="3"/>
      <c r="G222" s="23"/>
      <c r="H222" s="24"/>
      <c r="I222" s="3"/>
      <c r="J222" s="3"/>
      <c r="K222" s="3"/>
      <c r="L222" s="3"/>
      <c r="M222" s="3"/>
      <c r="N222" s="3"/>
      <c r="O222" s="3"/>
      <c r="P222" s="3"/>
      <c r="Q222" s="3"/>
      <c r="R222" s="3"/>
      <c r="S222" s="3"/>
      <c r="T222" s="3"/>
      <c r="U222" s="3"/>
      <c r="V222" s="3"/>
      <c r="W222" s="3"/>
      <c r="X222" s="3"/>
      <c r="Y222" s="3"/>
    </row>
    <row r="223" ht="14.25" customHeight="1">
      <c r="A223" s="3"/>
      <c r="B223" s="3"/>
      <c r="C223" s="3"/>
      <c r="D223" s="3"/>
      <c r="E223" s="3"/>
      <c r="F223" s="3"/>
      <c r="G223" s="23"/>
      <c r="H223" s="24"/>
      <c r="I223" s="3"/>
      <c r="J223" s="3"/>
      <c r="K223" s="3"/>
      <c r="L223" s="3"/>
      <c r="M223" s="3"/>
      <c r="N223" s="3"/>
      <c r="O223" s="3"/>
      <c r="P223" s="3"/>
      <c r="Q223" s="3"/>
      <c r="R223" s="3"/>
      <c r="S223" s="3"/>
      <c r="T223" s="3"/>
      <c r="U223" s="3"/>
      <c r="V223" s="3"/>
      <c r="W223" s="3"/>
      <c r="X223" s="3"/>
      <c r="Y223" s="3"/>
    </row>
    <row r="224" ht="14.25" customHeight="1">
      <c r="A224" s="3"/>
      <c r="B224" s="3"/>
      <c r="C224" s="3"/>
      <c r="D224" s="3"/>
      <c r="E224" s="3"/>
      <c r="F224" s="3"/>
      <c r="G224" s="23"/>
      <c r="H224" s="24"/>
      <c r="I224" s="3"/>
      <c r="J224" s="3"/>
      <c r="K224" s="3"/>
      <c r="L224" s="3"/>
      <c r="M224" s="3"/>
      <c r="N224" s="3"/>
      <c r="O224" s="3"/>
      <c r="P224" s="3"/>
      <c r="Q224" s="3"/>
      <c r="R224" s="3"/>
      <c r="S224" s="3"/>
      <c r="T224" s="3"/>
      <c r="U224" s="3"/>
      <c r="V224" s="3"/>
      <c r="W224" s="3"/>
      <c r="X224" s="3"/>
      <c r="Y224" s="3"/>
    </row>
    <row r="225" ht="14.25" customHeight="1">
      <c r="A225" s="3"/>
      <c r="B225" s="3"/>
      <c r="C225" s="3"/>
      <c r="D225" s="3"/>
      <c r="E225" s="3"/>
      <c r="F225" s="3"/>
      <c r="G225" s="23"/>
      <c r="H225" s="24"/>
      <c r="I225" s="3"/>
      <c r="J225" s="3"/>
      <c r="K225" s="3"/>
      <c r="L225" s="3"/>
      <c r="M225" s="3"/>
      <c r="N225" s="3"/>
      <c r="O225" s="3"/>
      <c r="P225" s="3"/>
      <c r="Q225" s="3"/>
      <c r="R225" s="3"/>
      <c r="S225" s="3"/>
      <c r="T225" s="3"/>
      <c r="U225" s="3"/>
      <c r="V225" s="3"/>
      <c r="W225" s="3"/>
      <c r="X225" s="3"/>
      <c r="Y225" s="3"/>
    </row>
    <row r="226" ht="14.25" customHeight="1">
      <c r="A226" s="3"/>
      <c r="B226" s="3"/>
      <c r="C226" s="3"/>
      <c r="D226" s="3"/>
      <c r="E226" s="3"/>
      <c r="F226" s="3"/>
      <c r="G226" s="23"/>
      <c r="H226" s="24"/>
      <c r="I226" s="3"/>
      <c r="J226" s="3"/>
      <c r="K226" s="3"/>
      <c r="L226" s="3"/>
      <c r="M226" s="3"/>
      <c r="N226" s="3"/>
      <c r="O226" s="3"/>
      <c r="P226" s="3"/>
      <c r="Q226" s="3"/>
      <c r="R226" s="3"/>
      <c r="S226" s="3"/>
      <c r="T226" s="3"/>
      <c r="U226" s="3"/>
      <c r="V226" s="3"/>
      <c r="W226" s="3"/>
      <c r="X226" s="3"/>
      <c r="Y226" s="3"/>
    </row>
    <row r="227" ht="14.25" customHeight="1">
      <c r="A227" s="3"/>
      <c r="B227" s="3"/>
      <c r="C227" s="3"/>
      <c r="D227" s="3"/>
      <c r="E227" s="3"/>
      <c r="F227" s="3"/>
      <c r="G227" s="23"/>
      <c r="H227" s="24"/>
      <c r="I227" s="3"/>
      <c r="J227" s="3"/>
      <c r="K227" s="3"/>
      <c r="L227" s="3"/>
      <c r="M227" s="3"/>
      <c r="N227" s="3"/>
      <c r="O227" s="3"/>
      <c r="P227" s="3"/>
      <c r="Q227" s="3"/>
      <c r="R227" s="3"/>
      <c r="S227" s="3"/>
      <c r="T227" s="3"/>
      <c r="U227" s="3"/>
      <c r="V227" s="3"/>
      <c r="W227" s="3"/>
      <c r="X227" s="3"/>
      <c r="Y227" s="3"/>
    </row>
    <row r="228" ht="14.25" customHeight="1">
      <c r="A228" s="3"/>
      <c r="B228" s="3"/>
      <c r="C228" s="3"/>
      <c r="D228" s="3"/>
      <c r="E228" s="3"/>
      <c r="F228" s="3"/>
      <c r="G228" s="23"/>
      <c r="H228" s="24"/>
      <c r="I228" s="3"/>
      <c r="J228" s="3"/>
      <c r="K228" s="3"/>
      <c r="L228" s="3"/>
      <c r="M228" s="3"/>
      <c r="N228" s="3"/>
      <c r="O228" s="3"/>
      <c r="P228" s="3"/>
      <c r="Q228" s="3"/>
      <c r="R228" s="3"/>
      <c r="S228" s="3"/>
      <c r="T228" s="3"/>
      <c r="U228" s="3"/>
      <c r="V228" s="3"/>
      <c r="W228" s="3"/>
      <c r="X228" s="3"/>
      <c r="Y228" s="3"/>
    </row>
    <row r="229" ht="14.25" customHeight="1">
      <c r="A229" s="3"/>
      <c r="B229" s="3"/>
      <c r="C229" s="3"/>
      <c r="D229" s="3"/>
      <c r="E229" s="3"/>
      <c r="F229" s="3"/>
      <c r="G229" s="23"/>
      <c r="H229" s="24"/>
      <c r="I229" s="3"/>
      <c r="J229" s="3"/>
      <c r="K229" s="3"/>
      <c r="L229" s="3"/>
      <c r="M229" s="3"/>
      <c r="N229" s="3"/>
      <c r="O229" s="3"/>
      <c r="P229" s="3"/>
      <c r="Q229" s="3"/>
      <c r="R229" s="3"/>
      <c r="S229" s="3"/>
      <c r="T229" s="3"/>
      <c r="U229" s="3"/>
      <c r="V229" s="3"/>
      <c r="W229" s="3"/>
      <c r="X229" s="3"/>
      <c r="Y229" s="3"/>
    </row>
    <row r="230" ht="14.25" customHeight="1">
      <c r="A230" s="3"/>
      <c r="B230" s="3"/>
      <c r="C230" s="3"/>
      <c r="D230" s="3"/>
      <c r="E230" s="3"/>
      <c r="F230" s="3"/>
      <c r="G230" s="23"/>
      <c r="H230" s="24"/>
      <c r="I230" s="3"/>
      <c r="J230" s="3"/>
      <c r="K230" s="3"/>
      <c r="L230" s="3"/>
      <c r="M230" s="3"/>
      <c r="N230" s="3"/>
      <c r="O230" s="3"/>
      <c r="P230" s="3"/>
      <c r="Q230" s="3"/>
      <c r="R230" s="3"/>
      <c r="S230" s="3"/>
      <c r="T230" s="3"/>
      <c r="U230" s="3"/>
      <c r="V230" s="3"/>
      <c r="W230" s="3"/>
      <c r="X230" s="3"/>
      <c r="Y230" s="3"/>
    </row>
    <row r="231" ht="14.25" customHeight="1">
      <c r="A231" s="3"/>
      <c r="B231" s="3"/>
      <c r="C231" s="3"/>
      <c r="D231" s="3"/>
      <c r="E231" s="3"/>
      <c r="F231" s="3"/>
      <c r="G231" s="23"/>
      <c r="H231" s="24"/>
      <c r="I231" s="3"/>
      <c r="J231" s="3"/>
      <c r="K231" s="3"/>
      <c r="L231" s="3"/>
      <c r="M231" s="3"/>
      <c r="N231" s="3"/>
      <c r="O231" s="3"/>
      <c r="P231" s="3"/>
      <c r="Q231" s="3"/>
      <c r="R231" s="3"/>
      <c r="S231" s="3"/>
      <c r="T231" s="3"/>
      <c r="U231" s="3"/>
      <c r="V231" s="3"/>
      <c r="W231" s="3"/>
      <c r="X231" s="3"/>
      <c r="Y231" s="3"/>
    </row>
    <row r="232" ht="14.25" customHeight="1">
      <c r="A232" s="3"/>
      <c r="B232" s="3"/>
      <c r="C232" s="3"/>
      <c r="D232" s="3"/>
      <c r="E232" s="3"/>
      <c r="F232" s="3"/>
      <c r="G232" s="23"/>
      <c r="H232" s="24"/>
      <c r="I232" s="3"/>
      <c r="J232" s="3"/>
      <c r="K232" s="3"/>
      <c r="L232" s="3"/>
      <c r="M232" s="3"/>
      <c r="N232" s="3"/>
      <c r="O232" s="3"/>
      <c r="P232" s="3"/>
      <c r="Q232" s="3"/>
      <c r="R232" s="3"/>
      <c r="S232" s="3"/>
      <c r="T232" s="3"/>
      <c r="U232" s="3"/>
      <c r="V232" s="3"/>
      <c r="W232" s="3"/>
      <c r="X232" s="3"/>
      <c r="Y232" s="3"/>
    </row>
    <row r="233" ht="14.25" customHeight="1">
      <c r="A233" s="3"/>
      <c r="B233" s="3"/>
      <c r="C233" s="3"/>
      <c r="D233" s="3"/>
      <c r="E233" s="3"/>
      <c r="F233" s="3"/>
      <c r="G233" s="23"/>
      <c r="H233" s="24"/>
      <c r="I233" s="3"/>
      <c r="J233" s="3"/>
      <c r="K233" s="3"/>
      <c r="L233" s="3"/>
      <c r="M233" s="3"/>
      <c r="N233" s="3"/>
      <c r="O233" s="3"/>
      <c r="P233" s="3"/>
      <c r="Q233" s="3"/>
      <c r="R233" s="3"/>
      <c r="S233" s="3"/>
      <c r="T233" s="3"/>
      <c r="U233" s="3"/>
      <c r="V233" s="3"/>
      <c r="W233" s="3"/>
      <c r="X233" s="3"/>
      <c r="Y233" s="3"/>
    </row>
    <row r="234" ht="14.25" customHeight="1">
      <c r="A234" s="3"/>
      <c r="B234" s="3"/>
      <c r="C234" s="3"/>
      <c r="D234" s="3"/>
      <c r="E234" s="3"/>
      <c r="F234" s="3"/>
      <c r="G234" s="23"/>
      <c r="H234" s="24"/>
      <c r="I234" s="3"/>
      <c r="J234" s="3"/>
      <c r="K234" s="3"/>
      <c r="L234" s="3"/>
      <c r="M234" s="3"/>
      <c r="N234" s="3"/>
      <c r="O234" s="3"/>
      <c r="P234" s="3"/>
      <c r="Q234" s="3"/>
      <c r="R234" s="3"/>
      <c r="S234" s="3"/>
      <c r="T234" s="3"/>
      <c r="U234" s="3"/>
      <c r="V234" s="3"/>
      <c r="W234" s="3"/>
      <c r="X234" s="3"/>
      <c r="Y234" s="3"/>
    </row>
    <row r="235" ht="14.25" customHeight="1">
      <c r="A235" s="3"/>
      <c r="B235" s="3"/>
      <c r="C235" s="3"/>
      <c r="D235" s="3"/>
      <c r="E235" s="3"/>
      <c r="F235" s="3"/>
      <c r="G235" s="23"/>
      <c r="H235" s="24"/>
      <c r="I235" s="3"/>
      <c r="J235" s="3"/>
      <c r="K235" s="3"/>
      <c r="L235" s="3"/>
      <c r="M235" s="3"/>
      <c r="N235" s="3"/>
      <c r="O235" s="3"/>
      <c r="P235" s="3"/>
      <c r="Q235" s="3"/>
      <c r="R235" s="3"/>
      <c r="S235" s="3"/>
      <c r="T235" s="3"/>
      <c r="U235" s="3"/>
      <c r="V235" s="3"/>
      <c r="W235" s="3"/>
      <c r="X235" s="3"/>
      <c r="Y235" s="3"/>
    </row>
    <row r="236" ht="14.25" customHeight="1">
      <c r="A236" s="3"/>
      <c r="B236" s="3"/>
      <c r="C236" s="3"/>
      <c r="D236" s="3"/>
      <c r="E236" s="3"/>
      <c r="F236" s="3"/>
      <c r="G236" s="23"/>
      <c r="H236" s="24"/>
      <c r="I236" s="3"/>
      <c r="J236" s="3"/>
      <c r="K236" s="3"/>
      <c r="L236" s="3"/>
      <c r="M236" s="3"/>
      <c r="N236" s="3"/>
      <c r="O236" s="3"/>
      <c r="P236" s="3"/>
      <c r="Q236" s="3"/>
      <c r="R236" s="3"/>
      <c r="S236" s="3"/>
      <c r="T236" s="3"/>
      <c r="U236" s="3"/>
      <c r="V236" s="3"/>
      <c r="W236" s="3"/>
      <c r="X236" s="3"/>
      <c r="Y236" s="3"/>
    </row>
    <row r="237" ht="14.25" customHeight="1">
      <c r="A237" s="3"/>
      <c r="B237" s="3"/>
      <c r="C237" s="3"/>
      <c r="D237" s="3"/>
      <c r="E237" s="3"/>
      <c r="F237" s="3"/>
      <c r="G237" s="23"/>
      <c r="H237" s="24"/>
      <c r="I237" s="3"/>
      <c r="J237" s="3"/>
      <c r="K237" s="3"/>
      <c r="L237" s="3"/>
      <c r="M237" s="3"/>
      <c r="N237" s="3"/>
      <c r="O237" s="3"/>
      <c r="P237" s="3"/>
      <c r="Q237" s="3"/>
      <c r="R237" s="3"/>
      <c r="S237" s="3"/>
      <c r="T237" s="3"/>
      <c r="U237" s="3"/>
      <c r="V237" s="3"/>
      <c r="W237" s="3"/>
      <c r="X237" s="3"/>
      <c r="Y237" s="3"/>
    </row>
    <row r="238" ht="14.25" customHeight="1">
      <c r="A238" s="3"/>
      <c r="B238" s="3"/>
      <c r="C238" s="3"/>
      <c r="D238" s="3"/>
      <c r="E238" s="3"/>
      <c r="F238" s="3"/>
      <c r="G238" s="23"/>
      <c r="H238" s="24"/>
      <c r="I238" s="3"/>
      <c r="J238" s="3"/>
      <c r="K238" s="3"/>
      <c r="L238" s="3"/>
      <c r="M238" s="3"/>
      <c r="N238" s="3"/>
      <c r="O238" s="3"/>
      <c r="P238" s="3"/>
      <c r="Q238" s="3"/>
      <c r="R238" s="3"/>
      <c r="S238" s="3"/>
      <c r="T238" s="3"/>
      <c r="U238" s="3"/>
      <c r="V238" s="3"/>
      <c r="W238" s="3"/>
      <c r="X238" s="3"/>
      <c r="Y238" s="3"/>
    </row>
    <row r="239" ht="14.25" customHeight="1">
      <c r="A239" s="3"/>
      <c r="B239" s="3"/>
      <c r="C239" s="3"/>
      <c r="D239" s="3"/>
      <c r="E239" s="3"/>
      <c r="F239" s="3"/>
      <c r="G239" s="23"/>
      <c r="H239" s="24"/>
      <c r="I239" s="3"/>
      <c r="J239" s="3"/>
      <c r="K239" s="3"/>
      <c r="L239" s="3"/>
      <c r="M239" s="3"/>
      <c r="N239" s="3"/>
      <c r="O239" s="3"/>
      <c r="P239" s="3"/>
      <c r="Q239" s="3"/>
      <c r="R239" s="3"/>
      <c r="S239" s="3"/>
      <c r="T239" s="3"/>
      <c r="U239" s="3"/>
      <c r="V239" s="3"/>
      <c r="W239" s="3"/>
      <c r="X239" s="3"/>
      <c r="Y239" s="3"/>
    </row>
    <row r="240" ht="14.25" customHeight="1">
      <c r="A240" s="3"/>
      <c r="B240" s="3"/>
      <c r="C240" s="3"/>
      <c r="D240" s="3"/>
      <c r="E240" s="3"/>
      <c r="F240" s="3"/>
      <c r="G240" s="23"/>
      <c r="H240" s="24"/>
      <c r="I240" s="3"/>
      <c r="J240" s="3"/>
      <c r="K240" s="3"/>
      <c r="L240" s="3"/>
      <c r="M240" s="3"/>
      <c r="N240" s="3"/>
      <c r="O240" s="3"/>
      <c r="P240" s="3"/>
      <c r="Q240" s="3"/>
      <c r="R240" s="3"/>
      <c r="S240" s="3"/>
      <c r="T240" s="3"/>
      <c r="U240" s="3"/>
      <c r="V240" s="3"/>
      <c r="W240" s="3"/>
      <c r="X240" s="3"/>
      <c r="Y240" s="3"/>
    </row>
    <row r="241" ht="14.25" customHeight="1">
      <c r="A241" s="3"/>
      <c r="B241" s="3"/>
      <c r="C241" s="3"/>
      <c r="D241" s="3"/>
      <c r="E241" s="3"/>
      <c r="F241" s="3"/>
      <c r="G241" s="23"/>
      <c r="H241" s="24"/>
      <c r="I241" s="3"/>
      <c r="J241" s="3"/>
      <c r="K241" s="3"/>
      <c r="L241" s="3"/>
      <c r="M241" s="3"/>
      <c r="N241" s="3"/>
      <c r="O241" s="3"/>
      <c r="P241" s="3"/>
      <c r="Q241" s="3"/>
      <c r="R241" s="3"/>
      <c r="S241" s="3"/>
      <c r="T241" s="3"/>
      <c r="U241" s="3"/>
      <c r="V241" s="3"/>
      <c r="W241" s="3"/>
      <c r="X241" s="3"/>
      <c r="Y241" s="3"/>
    </row>
    <row r="242" ht="14.25" customHeight="1">
      <c r="A242" s="3"/>
      <c r="B242" s="3"/>
      <c r="C242" s="3"/>
      <c r="D242" s="3"/>
      <c r="E242" s="3"/>
      <c r="F242" s="3"/>
      <c r="G242" s="23"/>
      <c r="H242" s="24"/>
      <c r="I242" s="3"/>
      <c r="J242" s="3"/>
      <c r="K242" s="3"/>
      <c r="L242" s="3"/>
      <c r="M242" s="3"/>
      <c r="N242" s="3"/>
      <c r="O242" s="3"/>
      <c r="P242" s="3"/>
      <c r="Q242" s="3"/>
      <c r="R242" s="3"/>
      <c r="S242" s="3"/>
      <c r="T242" s="3"/>
      <c r="U242" s="3"/>
      <c r="V242" s="3"/>
      <c r="W242" s="3"/>
      <c r="X242" s="3"/>
      <c r="Y242" s="3"/>
    </row>
    <row r="243" ht="14.25" customHeight="1">
      <c r="A243" s="3"/>
      <c r="B243" s="3"/>
      <c r="C243" s="3"/>
      <c r="D243" s="3"/>
      <c r="E243" s="3"/>
      <c r="F243" s="3"/>
      <c r="G243" s="23"/>
      <c r="H243" s="24"/>
      <c r="I243" s="3"/>
      <c r="J243" s="3"/>
      <c r="K243" s="3"/>
      <c r="L243" s="3"/>
      <c r="M243" s="3"/>
      <c r="N243" s="3"/>
      <c r="O243" s="3"/>
      <c r="P243" s="3"/>
      <c r="Q243" s="3"/>
      <c r="R243" s="3"/>
      <c r="S243" s="3"/>
      <c r="T243" s="3"/>
      <c r="U243" s="3"/>
      <c r="V243" s="3"/>
      <c r="W243" s="3"/>
      <c r="X243" s="3"/>
      <c r="Y243" s="3"/>
    </row>
    <row r="244" ht="14.25" customHeight="1">
      <c r="A244" s="3"/>
      <c r="B244" s="3"/>
      <c r="C244" s="3"/>
      <c r="D244" s="3"/>
      <c r="E244" s="3"/>
      <c r="F244" s="3"/>
      <c r="G244" s="23"/>
      <c r="H244" s="24"/>
      <c r="I244" s="3"/>
      <c r="J244" s="3"/>
      <c r="K244" s="3"/>
      <c r="L244" s="3"/>
      <c r="M244" s="3"/>
      <c r="N244" s="3"/>
      <c r="O244" s="3"/>
      <c r="P244" s="3"/>
      <c r="Q244" s="3"/>
      <c r="R244" s="3"/>
      <c r="S244" s="3"/>
      <c r="T244" s="3"/>
      <c r="U244" s="3"/>
      <c r="V244" s="3"/>
      <c r="W244" s="3"/>
      <c r="X244" s="3"/>
      <c r="Y244" s="3"/>
    </row>
    <row r="245" ht="14.25" customHeight="1">
      <c r="A245" s="3"/>
      <c r="B245" s="3"/>
      <c r="C245" s="3"/>
      <c r="D245" s="3"/>
      <c r="E245" s="3"/>
      <c r="F245" s="3"/>
      <c r="G245" s="23"/>
      <c r="H245" s="24"/>
      <c r="I245" s="3"/>
      <c r="J245" s="3"/>
      <c r="K245" s="3"/>
      <c r="L245" s="3"/>
      <c r="M245" s="3"/>
      <c r="N245" s="3"/>
      <c r="O245" s="3"/>
      <c r="P245" s="3"/>
      <c r="Q245" s="3"/>
      <c r="R245" s="3"/>
      <c r="S245" s="3"/>
      <c r="T245" s="3"/>
      <c r="U245" s="3"/>
      <c r="V245" s="3"/>
      <c r="W245" s="3"/>
      <c r="X245" s="3"/>
      <c r="Y245" s="3"/>
    </row>
    <row r="246" ht="14.25" customHeight="1">
      <c r="A246" s="3"/>
      <c r="B246" s="3"/>
      <c r="C246" s="3"/>
      <c r="D246" s="3"/>
      <c r="E246" s="3"/>
      <c r="F246" s="3"/>
      <c r="G246" s="23"/>
      <c r="H246" s="24"/>
      <c r="I246" s="3"/>
      <c r="J246" s="3"/>
      <c r="K246" s="3"/>
      <c r="L246" s="3"/>
      <c r="M246" s="3"/>
      <c r="N246" s="3"/>
      <c r="O246" s="3"/>
      <c r="P246" s="3"/>
      <c r="Q246" s="3"/>
      <c r="R246" s="3"/>
      <c r="S246" s="3"/>
      <c r="T246" s="3"/>
      <c r="U246" s="3"/>
      <c r="V246" s="3"/>
      <c r="W246" s="3"/>
      <c r="X246" s="3"/>
      <c r="Y246" s="3"/>
    </row>
    <row r="247" ht="14.25" customHeight="1">
      <c r="A247" s="3"/>
      <c r="B247" s="3"/>
      <c r="C247" s="3"/>
      <c r="D247" s="3"/>
      <c r="E247" s="3"/>
      <c r="F247" s="3"/>
      <c r="G247" s="23"/>
      <c r="H247" s="24"/>
      <c r="I247" s="3"/>
      <c r="J247" s="3"/>
      <c r="K247" s="3"/>
      <c r="L247" s="3"/>
      <c r="M247" s="3"/>
      <c r="N247" s="3"/>
      <c r="O247" s="3"/>
      <c r="P247" s="3"/>
      <c r="Q247" s="3"/>
      <c r="R247" s="3"/>
      <c r="S247" s="3"/>
      <c r="T247" s="3"/>
      <c r="U247" s="3"/>
      <c r="V247" s="3"/>
      <c r="W247" s="3"/>
      <c r="X247" s="3"/>
      <c r="Y247" s="3"/>
    </row>
    <row r="248" ht="14.25" customHeight="1">
      <c r="A248" s="3"/>
      <c r="B248" s="3"/>
      <c r="C248" s="3"/>
      <c r="D248" s="3"/>
      <c r="E248" s="3"/>
      <c r="F248" s="3"/>
      <c r="G248" s="23"/>
      <c r="H248" s="24"/>
      <c r="I248" s="3"/>
      <c r="J248" s="3"/>
      <c r="K248" s="3"/>
      <c r="L248" s="3"/>
      <c r="M248" s="3"/>
      <c r="N248" s="3"/>
      <c r="O248" s="3"/>
      <c r="P248" s="3"/>
      <c r="Q248" s="3"/>
      <c r="R248" s="3"/>
      <c r="S248" s="3"/>
      <c r="T248" s="3"/>
      <c r="U248" s="3"/>
      <c r="V248" s="3"/>
      <c r="W248" s="3"/>
      <c r="X248" s="3"/>
      <c r="Y248" s="3"/>
    </row>
    <row r="249" ht="14.25" customHeight="1">
      <c r="A249" s="3"/>
      <c r="B249" s="3"/>
      <c r="C249" s="3"/>
      <c r="D249" s="3"/>
      <c r="E249" s="3"/>
      <c r="F249" s="3"/>
      <c r="G249" s="23"/>
      <c r="H249" s="24"/>
      <c r="I249" s="3"/>
      <c r="J249" s="3"/>
      <c r="K249" s="3"/>
      <c r="L249" s="3"/>
      <c r="M249" s="3"/>
      <c r="N249" s="3"/>
      <c r="O249" s="3"/>
      <c r="P249" s="3"/>
      <c r="Q249" s="3"/>
      <c r="R249" s="3"/>
      <c r="S249" s="3"/>
      <c r="T249" s="3"/>
      <c r="U249" s="3"/>
      <c r="V249" s="3"/>
      <c r="W249" s="3"/>
      <c r="X249" s="3"/>
      <c r="Y249" s="3"/>
    </row>
    <row r="250" ht="14.25" customHeight="1">
      <c r="A250" s="3"/>
      <c r="B250" s="3"/>
      <c r="C250" s="3"/>
      <c r="D250" s="3"/>
      <c r="E250" s="3"/>
      <c r="F250" s="3"/>
      <c r="G250" s="23"/>
      <c r="H250" s="24"/>
      <c r="I250" s="3"/>
      <c r="J250" s="3"/>
      <c r="K250" s="3"/>
      <c r="L250" s="3"/>
      <c r="M250" s="3"/>
      <c r="N250" s="3"/>
      <c r="O250" s="3"/>
      <c r="P250" s="3"/>
      <c r="Q250" s="3"/>
      <c r="R250" s="3"/>
      <c r="S250" s="3"/>
      <c r="T250" s="3"/>
      <c r="U250" s="3"/>
      <c r="V250" s="3"/>
      <c r="W250" s="3"/>
      <c r="X250" s="3"/>
      <c r="Y250" s="3"/>
    </row>
    <row r="251" ht="14.25" customHeight="1">
      <c r="A251" s="3"/>
      <c r="B251" s="3"/>
      <c r="C251" s="3"/>
      <c r="D251" s="3"/>
      <c r="E251" s="3"/>
      <c r="F251" s="3"/>
      <c r="G251" s="23"/>
      <c r="H251" s="24"/>
      <c r="I251" s="3"/>
      <c r="J251" s="3"/>
      <c r="K251" s="3"/>
      <c r="L251" s="3"/>
      <c r="M251" s="3"/>
      <c r="N251" s="3"/>
      <c r="O251" s="3"/>
      <c r="P251" s="3"/>
      <c r="Q251" s="3"/>
      <c r="R251" s="3"/>
      <c r="S251" s="3"/>
      <c r="T251" s="3"/>
      <c r="U251" s="3"/>
      <c r="V251" s="3"/>
      <c r="W251" s="3"/>
      <c r="X251" s="3"/>
      <c r="Y251" s="3"/>
    </row>
    <row r="252" ht="14.25" customHeight="1">
      <c r="A252" s="3"/>
      <c r="B252" s="3"/>
      <c r="C252" s="3"/>
      <c r="D252" s="3"/>
      <c r="E252" s="3"/>
      <c r="F252" s="3"/>
      <c r="G252" s="23"/>
      <c r="H252" s="24"/>
      <c r="I252" s="3"/>
      <c r="J252" s="3"/>
      <c r="K252" s="3"/>
      <c r="L252" s="3"/>
      <c r="M252" s="3"/>
      <c r="N252" s="3"/>
      <c r="O252" s="3"/>
      <c r="P252" s="3"/>
      <c r="Q252" s="3"/>
      <c r="R252" s="3"/>
      <c r="S252" s="3"/>
      <c r="T252" s="3"/>
      <c r="U252" s="3"/>
      <c r="V252" s="3"/>
      <c r="W252" s="3"/>
      <c r="X252" s="3"/>
      <c r="Y252" s="3"/>
    </row>
    <row r="253" ht="14.25" customHeight="1">
      <c r="A253" s="3"/>
      <c r="B253" s="3"/>
      <c r="C253" s="3"/>
      <c r="D253" s="3"/>
      <c r="E253" s="3"/>
      <c r="F253" s="3"/>
      <c r="G253" s="23"/>
      <c r="H253" s="24"/>
      <c r="I253" s="3"/>
      <c r="J253" s="3"/>
      <c r="K253" s="3"/>
      <c r="L253" s="3"/>
      <c r="M253" s="3"/>
      <c r="N253" s="3"/>
      <c r="O253" s="3"/>
      <c r="P253" s="3"/>
      <c r="Q253" s="3"/>
      <c r="R253" s="3"/>
      <c r="S253" s="3"/>
      <c r="T253" s="3"/>
      <c r="U253" s="3"/>
      <c r="V253" s="3"/>
      <c r="W253" s="3"/>
      <c r="X253" s="3"/>
      <c r="Y253" s="3"/>
    </row>
    <row r="254" ht="14.25" customHeight="1">
      <c r="A254" s="3"/>
      <c r="B254" s="3"/>
      <c r="C254" s="3"/>
      <c r="D254" s="3"/>
      <c r="E254" s="3"/>
      <c r="F254" s="3"/>
      <c r="G254" s="23"/>
      <c r="H254" s="24"/>
      <c r="I254" s="3"/>
      <c r="J254" s="3"/>
      <c r="K254" s="3"/>
      <c r="L254" s="3"/>
      <c r="M254" s="3"/>
      <c r="N254" s="3"/>
      <c r="O254" s="3"/>
      <c r="P254" s="3"/>
      <c r="Q254" s="3"/>
      <c r="R254" s="3"/>
      <c r="S254" s="3"/>
      <c r="T254" s="3"/>
      <c r="U254" s="3"/>
      <c r="V254" s="3"/>
      <c r="W254" s="3"/>
      <c r="X254" s="3"/>
      <c r="Y254" s="3"/>
    </row>
    <row r="255" ht="14.25" customHeight="1">
      <c r="A255" s="3"/>
      <c r="B255" s="3"/>
      <c r="C255" s="3"/>
      <c r="D255" s="3"/>
      <c r="E255" s="3"/>
      <c r="F255" s="3"/>
      <c r="G255" s="23"/>
      <c r="H255" s="24"/>
      <c r="I255" s="3"/>
      <c r="J255" s="3"/>
      <c r="K255" s="3"/>
      <c r="L255" s="3"/>
      <c r="M255" s="3"/>
      <c r="N255" s="3"/>
      <c r="O255" s="3"/>
      <c r="P255" s="3"/>
      <c r="Q255" s="3"/>
      <c r="R255" s="3"/>
      <c r="S255" s="3"/>
      <c r="T255" s="3"/>
      <c r="U255" s="3"/>
      <c r="V255" s="3"/>
      <c r="W255" s="3"/>
      <c r="X255" s="3"/>
      <c r="Y255" s="3"/>
    </row>
    <row r="256" ht="14.25" customHeight="1">
      <c r="A256" s="3"/>
      <c r="B256" s="3"/>
      <c r="C256" s="3"/>
      <c r="D256" s="3"/>
      <c r="E256" s="3"/>
      <c r="F256" s="3"/>
      <c r="G256" s="23"/>
      <c r="H256" s="24"/>
      <c r="I256" s="3"/>
      <c r="J256" s="3"/>
      <c r="K256" s="3"/>
      <c r="L256" s="3"/>
      <c r="M256" s="3"/>
      <c r="N256" s="3"/>
      <c r="O256" s="3"/>
      <c r="P256" s="3"/>
      <c r="Q256" s="3"/>
      <c r="R256" s="3"/>
      <c r="S256" s="3"/>
      <c r="T256" s="3"/>
      <c r="U256" s="3"/>
      <c r="V256" s="3"/>
      <c r="W256" s="3"/>
      <c r="X256" s="3"/>
      <c r="Y256" s="3"/>
    </row>
    <row r="257" ht="14.25" customHeight="1">
      <c r="A257" s="3"/>
      <c r="B257" s="3"/>
      <c r="C257" s="3"/>
      <c r="D257" s="3"/>
      <c r="E257" s="3"/>
      <c r="F257" s="3"/>
      <c r="G257" s="23"/>
      <c r="H257" s="24"/>
      <c r="I257" s="3"/>
      <c r="J257" s="3"/>
      <c r="K257" s="3"/>
      <c r="L257" s="3"/>
      <c r="M257" s="3"/>
      <c r="N257" s="3"/>
      <c r="O257" s="3"/>
      <c r="P257" s="3"/>
      <c r="Q257" s="3"/>
      <c r="R257" s="3"/>
      <c r="S257" s="3"/>
      <c r="T257" s="3"/>
      <c r="U257" s="3"/>
      <c r="V257" s="3"/>
      <c r="W257" s="3"/>
      <c r="X257" s="3"/>
      <c r="Y257" s="3"/>
    </row>
    <row r="258" ht="14.25" customHeight="1">
      <c r="A258" s="3"/>
      <c r="B258" s="3"/>
      <c r="C258" s="3"/>
      <c r="D258" s="3"/>
      <c r="E258" s="3"/>
      <c r="F258" s="3"/>
      <c r="G258" s="23"/>
      <c r="H258" s="24"/>
      <c r="I258" s="3"/>
      <c r="J258" s="3"/>
      <c r="K258" s="3"/>
      <c r="L258" s="3"/>
      <c r="M258" s="3"/>
      <c r="N258" s="3"/>
      <c r="O258" s="3"/>
      <c r="P258" s="3"/>
      <c r="Q258" s="3"/>
      <c r="R258" s="3"/>
      <c r="S258" s="3"/>
      <c r="T258" s="3"/>
      <c r="U258" s="3"/>
      <c r="V258" s="3"/>
      <c r="W258" s="3"/>
      <c r="X258" s="3"/>
      <c r="Y258" s="3"/>
    </row>
    <row r="259" ht="14.25" customHeight="1">
      <c r="A259" s="3"/>
      <c r="B259" s="3"/>
      <c r="C259" s="3"/>
      <c r="D259" s="3"/>
      <c r="E259" s="3"/>
      <c r="F259" s="3"/>
      <c r="G259" s="23"/>
      <c r="H259" s="24"/>
      <c r="I259" s="3"/>
      <c r="J259" s="3"/>
      <c r="K259" s="3"/>
      <c r="L259" s="3"/>
      <c r="M259" s="3"/>
      <c r="N259" s="3"/>
      <c r="O259" s="3"/>
      <c r="P259" s="3"/>
      <c r="Q259" s="3"/>
      <c r="R259" s="3"/>
      <c r="S259" s="3"/>
      <c r="T259" s="3"/>
      <c r="U259" s="3"/>
      <c r="V259" s="3"/>
      <c r="W259" s="3"/>
      <c r="X259" s="3"/>
      <c r="Y259" s="3"/>
    </row>
    <row r="260" ht="14.25" customHeight="1">
      <c r="A260" s="3"/>
      <c r="B260" s="3"/>
      <c r="C260" s="3"/>
      <c r="D260" s="3"/>
      <c r="E260" s="3"/>
      <c r="F260" s="3"/>
      <c r="G260" s="23"/>
      <c r="H260" s="24"/>
      <c r="I260" s="3"/>
      <c r="J260" s="3"/>
      <c r="K260" s="3"/>
      <c r="L260" s="3"/>
      <c r="M260" s="3"/>
      <c r="N260" s="3"/>
      <c r="O260" s="3"/>
      <c r="P260" s="3"/>
      <c r="Q260" s="3"/>
      <c r="R260" s="3"/>
      <c r="S260" s="3"/>
      <c r="T260" s="3"/>
      <c r="U260" s="3"/>
      <c r="V260" s="3"/>
      <c r="W260" s="3"/>
      <c r="X260" s="3"/>
      <c r="Y260" s="3"/>
    </row>
    <row r="261" ht="14.25" customHeight="1">
      <c r="A261" s="3"/>
      <c r="B261" s="3"/>
      <c r="C261" s="3"/>
      <c r="D261" s="3"/>
      <c r="E261" s="3"/>
      <c r="F261" s="3"/>
      <c r="G261" s="23"/>
      <c r="H261" s="24"/>
      <c r="I261" s="3"/>
      <c r="J261" s="3"/>
      <c r="K261" s="3"/>
      <c r="L261" s="3"/>
      <c r="M261" s="3"/>
      <c r="N261" s="3"/>
      <c r="O261" s="3"/>
      <c r="P261" s="3"/>
      <c r="Q261" s="3"/>
      <c r="R261" s="3"/>
      <c r="S261" s="3"/>
      <c r="T261" s="3"/>
      <c r="U261" s="3"/>
      <c r="V261" s="3"/>
      <c r="W261" s="3"/>
      <c r="X261" s="3"/>
      <c r="Y261" s="3"/>
    </row>
    <row r="262" ht="14.25" customHeight="1">
      <c r="A262" s="3"/>
      <c r="B262" s="3"/>
      <c r="C262" s="3"/>
      <c r="D262" s="3"/>
      <c r="E262" s="3"/>
      <c r="F262" s="3"/>
      <c r="G262" s="23"/>
      <c r="H262" s="24"/>
      <c r="I262" s="3"/>
      <c r="J262" s="3"/>
      <c r="K262" s="3"/>
      <c r="L262" s="3"/>
      <c r="M262" s="3"/>
      <c r="N262" s="3"/>
      <c r="O262" s="3"/>
      <c r="P262" s="3"/>
      <c r="Q262" s="3"/>
      <c r="R262" s="3"/>
      <c r="S262" s="3"/>
      <c r="T262" s="3"/>
      <c r="U262" s="3"/>
      <c r="V262" s="3"/>
      <c r="W262" s="3"/>
      <c r="X262" s="3"/>
      <c r="Y262" s="3"/>
    </row>
    <row r="263" ht="14.25" customHeight="1">
      <c r="A263" s="3"/>
      <c r="B263" s="3"/>
      <c r="C263" s="3"/>
      <c r="D263" s="3"/>
      <c r="E263" s="3"/>
      <c r="F263" s="3"/>
      <c r="G263" s="23"/>
      <c r="H263" s="24"/>
      <c r="I263" s="3"/>
      <c r="J263" s="3"/>
      <c r="K263" s="3"/>
      <c r="L263" s="3"/>
      <c r="M263" s="3"/>
      <c r="N263" s="3"/>
      <c r="O263" s="3"/>
      <c r="P263" s="3"/>
      <c r="Q263" s="3"/>
      <c r="R263" s="3"/>
      <c r="S263" s="3"/>
      <c r="T263" s="3"/>
      <c r="U263" s="3"/>
      <c r="V263" s="3"/>
      <c r="W263" s="3"/>
      <c r="X263" s="3"/>
      <c r="Y263" s="3"/>
    </row>
    <row r="264" ht="14.25" customHeight="1">
      <c r="A264" s="3"/>
      <c r="B264" s="3"/>
      <c r="C264" s="3"/>
      <c r="D264" s="3"/>
      <c r="E264" s="3"/>
      <c r="F264" s="3"/>
      <c r="G264" s="23"/>
      <c r="H264" s="24"/>
      <c r="I264" s="3"/>
      <c r="J264" s="3"/>
      <c r="K264" s="3"/>
      <c r="L264" s="3"/>
      <c r="M264" s="3"/>
      <c r="N264" s="3"/>
      <c r="O264" s="3"/>
      <c r="P264" s="3"/>
      <c r="Q264" s="3"/>
      <c r="R264" s="3"/>
      <c r="S264" s="3"/>
      <c r="T264" s="3"/>
      <c r="U264" s="3"/>
      <c r="V264" s="3"/>
      <c r="W264" s="3"/>
      <c r="X264" s="3"/>
      <c r="Y264" s="3"/>
    </row>
    <row r="265" ht="14.25" customHeight="1">
      <c r="A265" s="3"/>
      <c r="B265" s="3"/>
      <c r="C265" s="3"/>
      <c r="D265" s="3"/>
      <c r="E265" s="3"/>
      <c r="F265" s="3"/>
      <c r="G265" s="23"/>
      <c r="H265" s="24"/>
      <c r="I265" s="3"/>
      <c r="J265" s="3"/>
      <c r="K265" s="3"/>
      <c r="L265" s="3"/>
      <c r="M265" s="3"/>
      <c r="N265" s="3"/>
      <c r="O265" s="3"/>
      <c r="P265" s="3"/>
      <c r="Q265" s="3"/>
      <c r="R265" s="3"/>
      <c r="S265" s="3"/>
      <c r="T265" s="3"/>
      <c r="U265" s="3"/>
      <c r="V265" s="3"/>
      <c r="W265" s="3"/>
      <c r="X265" s="3"/>
      <c r="Y265" s="3"/>
    </row>
    <row r="266" ht="14.25" customHeight="1">
      <c r="A266" s="3"/>
      <c r="B266" s="3"/>
      <c r="C266" s="3"/>
      <c r="D266" s="3"/>
      <c r="E266" s="3"/>
      <c r="F266" s="3"/>
      <c r="G266" s="23"/>
      <c r="H266" s="24"/>
      <c r="I266" s="3"/>
      <c r="J266" s="3"/>
      <c r="K266" s="3"/>
      <c r="L266" s="3"/>
      <c r="M266" s="3"/>
      <c r="N266" s="3"/>
      <c r="O266" s="3"/>
      <c r="P266" s="3"/>
      <c r="Q266" s="3"/>
      <c r="R266" s="3"/>
      <c r="S266" s="3"/>
      <c r="T266" s="3"/>
      <c r="U266" s="3"/>
      <c r="V266" s="3"/>
      <c r="W266" s="3"/>
      <c r="X266" s="3"/>
      <c r="Y266" s="3"/>
    </row>
    <row r="267" ht="14.25" customHeight="1">
      <c r="A267" s="3"/>
      <c r="B267" s="3"/>
      <c r="C267" s="3"/>
      <c r="D267" s="3"/>
      <c r="E267" s="3"/>
      <c r="F267" s="3"/>
      <c r="G267" s="23"/>
      <c r="H267" s="24"/>
      <c r="I267" s="3"/>
      <c r="J267" s="3"/>
      <c r="K267" s="3"/>
      <c r="L267" s="3"/>
      <c r="M267" s="3"/>
      <c r="N267" s="3"/>
      <c r="O267" s="3"/>
      <c r="P267" s="3"/>
      <c r="Q267" s="3"/>
      <c r="R267" s="3"/>
      <c r="S267" s="3"/>
      <c r="T267" s="3"/>
      <c r="U267" s="3"/>
      <c r="V267" s="3"/>
      <c r="W267" s="3"/>
      <c r="X267" s="3"/>
      <c r="Y267" s="3"/>
    </row>
    <row r="268" ht="14.25" customHeight="1">
      <c r="A268" s="3"/>
      <c r="B268" s="3"/>
      <c r="C268" s="3"/>
      <c r="D268" s="3"/>
      <c r="E268" s="3"/>
      <c r="F268" s="3"/>
      <c r="G268" s="23"/>
      <c r="H268" s="24"/>
      <c r="I268" s="3"/>
      <c r="J268" s="3"/>
      <c r="K268" s="3"/>
      <c r="L268" s="3"/>
      <c r="M268" s="3"/>
      <c r="N268" s="3"/>
      <c r="O268" s="3"/>
      <c r="P268" s="3"/>
      <c r="Q268" s="3"/>
      <c r="R268" s="3"/>
      <c r="S268" s="3"/>
      <c r="T268" s="3"/>
      <c r="U268" s="3"/>
      <c r="V268" s="3"/>
      <c r="W268" s="3"/>
      <c r="X268" s="3"/>
      <c r="Y268" s="3"/>
    </row>
    <row r="269" ht="14.25" customHeight="1">
      <c r="A269" s="3"/>
      <c r="B269" s="3"/>
      <c r="C269" s="3"/>
      <c r="D269" s="3"/>
      <c r="E269" s="3"/>
      <c r="F269" s="3"/>
      <c r="G269" s="23"/>
      <c r="H269" s="24"/>
      <c r="I269" s="3"/>
      <c r="J269" s="3"/>
      <c r="K269" s="3"/>
      <c r="L269" s="3"/>
      <c r="M269" s="3"/>
      <c r="N269" s="3"/>
      <c r="O269" s="3"/>
      <c r="P269" s="3"/>
      <c r="Q269" s="3"/>
      <c r="R269" s="3"/>
      <c r="S269" s="3"/>
      <c r="T269" s="3"/>
      <c r="U269" s="3"/>
      <c r="V269" s="3"/>
      <c r="W269" s="3"/>
      <c r="X269" s="3"/>
      <c r="Y269" s="3"/>
    </row>
    <row r="270" ht="14.25" customHeight="1">
      <c r="A270" s="3"/>
      <c r="B270" s="3"/>
      <c r="C270" s="3"/>
      <c r="D270" s="3"/>
      <c r="E270" s="3"/>
      <c r="F270" s="3"/>
      <c r="G270" s="23"/>
      <c r="H270" s="24"/>
      <c r="I270" s="3"/>
      <c r="J270" s="3"/>
      <c r="K270" s="3"/>
      <c r="L270" s="3"/>
      <c r="M270" s="3"/>
      <c r="N270" s="3"/>
      <c r="O270" s="3"/>
      <c r="P270" s="3"/>
      <c r="Q270" s="3"/>
      <c r="R270" s="3"/>
      <c r="S270" s="3"/>
      <c r="T270" s="3"/>
      <c r="U270" s="3"/>
      <c r="V270" s="3"/>
      <c r="W270" s="3"/>
      <c r="X270" s="3"/>
      <c r="Y270" s="3"/>
    </row>
    <row r="271" ht="14.25" customHeight="1">
      <c r="A271" s="3"/>
      <c r="B271" s="3"/>
      <c r="C271" s="3"/>
      <c r="D271" s="3"/>
      <c r="E271" s="3"/>
      <c r="F271" s="3"/>
      <c r="G271" s="23"/>
      <c r="H271" s="24"/>
      <c r="I271" s="3"/>
      <c r="J271" s="3"/>
      <c r="K271" s="3"/>
      <c r="L271" s="3"/>
      <c r="M271" s="3"/>
      <c r="N271" s="3"/>
      <c r="O271" s="3"/>
      <c r="P271" s="3"/>
      <c r="Q271" s="3"/>
      <c r="R271" s="3"/>
      <c r="S271" s="3"/>
      <c r="T271" s="3"/>
      <c r="U271" s="3"/>
      <c r="V271" s="3"/>
      <c r="W271" s="3"/>
      <c r="X271" s="3"/>
      <c r="Y271" s="3"/>
    </row>
    <row r="272" ht="14.25" customHeight="1">
      <c r="A272" s="3"/>
      <c r="B272" s="3"/>
      <c r="C272" s="3"/>
      <c r="D272" s="3"/>
      <c r="E272" s="3"/>
      <c r="F272" s="3"/>
      <c r="G272" s="23"/>
      <c r="H272" s="24"/>
      <c r="I272" s="3"/>
      <c r="J272" s="3"/>
      <c r="K272" s="3"/>
      <c r="L272" s="3"/>
      <c r="M272" s="3"/>
      <c r="N272" s="3"/>
      <c r="O272" s="3"/>
      <c r="P272" s="3"/>
      <c r="Q272" s="3"/>
      <c r="R272" s="3"/>
      <c r="S272" s="3"/>
      <c r="T272" s="3"/>
      <c r="U272" s="3"/>
      <c r="V272" s="3"/>
      <c r="W272" s="3"/>
      <c r="X272" s="3"/>
      <c r="Y272" s="3"/>
    </row>
    <row r="273" ht="14.25" customHeight="1">
      <c r="A273" s="3"/>
      <c r="B273" s="3"/>
      <c r="C273" s="3"/>
      <c r="D273" s="3"/>
      <c r="E273" s="3"/>
      <c r="F273" s="3"/>
      <c r="G273" s="23"/>
      <c r="H273" s="24"/>
      <c r="I273" s="3"/>
      <c r="J273" s="3"/>
      <c r="K273" s="3"/>
      <c r="L273" s="3"/>
      <c r="M273" s="3"/>
      <c r="N273" s="3"/>
      <c r="O273" s="3"/>
      <c r="P273" s="3"/>
      <c r="Q273" s="3"/>
      <c r="R273" s="3"/>
      <c r="S273" s="3"/>
      <c r="T273" s="3"/>
      <c r="U273" s="3"/>
      <c r="V273" s="3"/>
      <c r="W273" s="3"/>
      <c r="X273" s="3"/>
      <c r="Y273" s="3"/>
    </row>
    <row r="274" ht="14.25" customHeight="1">
      <c r="A274" s="3"/>
      <c r="B274" s="3"/>
      <c r="C274" s="3"/>
      <c r="D274" s="3"/>
      <c r="E274" s="3"/>
      <c r="F274" s="3"/>
      <c r="G274" s="23"/>
      <c r="H274" s="24"/>
      <c r="I274" s="3"/>
      <c r="J274" s="3"/>
      <c r="K274" s="3"/>
      <c r="L274" s="3"/>
      <c r="M274" s="3"/>
      <c r="N274" s="3"/>
      <c r="O274" s="3"/>
      <c r="P274" s="3"/>
      <c r="Q274" s="3"/>
      <c r="R274" s="3"/>
      <c r="S274" s="3"/>
      <c r="T274" s="3"/>
      <c r="U274" s="3"/>
      <c r="V274" s="3"/>
      <c r="W274" s="3"/>
      <c r="X274" s="3"/>
      <c r="Y274" s="3"/>
    </row>
    <row r="275" ht="14.25" customHeight="1">
      <c r="A275" s="3"/>
      <c r="B275" s="3"/>
      <c r="C275" s="3"/>
      <c r="D275" s="3"/>
      <c r="E275" s="3"/>
      <c r="F275" s="3"/>
      <c r="G275" s="23"/>
      <c r="H275" s="24"/>
      <c r="I275" s="3"/>
      <c r="J275" s="3"/>
      <c r="K275" s="3"/>
      <c r="L275" s="3"/>
      <c r="M275" s="3"/>
      <c r="N275" s="3"/>
      <c r="O275" s="3"/>
      <c r="P275" s="3"/>
      <c r="Q275" s="3"/>
      <c r="R275" s="3"/>
      <c r="S275" s="3"/>
      <c r="T275" s="3"/>
      <c r="U275" s="3"/>
      <c r="V275" s="3"/>
      <c r="W275" s="3"/>
      <c r="X275" s="3"/>
      <c r="Y275" s="3"/>
    </row>
    <row r="276" ht="14.25" customHeight="1">
      <c r="A276" s="3"/>
      <c r="B276" s="3"/>
      <c r="C276" s="3"/>
      <c r="D276" s="3"/>
      <c r="E276" s="3"/>
      <c r="F276" s="3"/>
      <c r="G276" s="23"/>
      <c r="H276" s="24"/>
      <c r="I276" s="3"/>
      <c r="J276" s="3"/>
      <c r="K276" s="3"/>
      <c r="L276" s="3"/>
      <c r="M276" s="3"/>
      <c r="N276" s="3"/>
      <c r="O276" s="3"/>
      <c r="P276" s="3"/>
      <c r="Q276" s="3"/>
      <c r="R276" s="3"/>
      <c r="S276" s="3"/>
      <c r="T276" s="3"/>
      <c r="U276" s="3"/>
      <c r="V276" s="3"/>
      <c r="W276" s="3"/>
      <c r="X276" s="3"/>
      <c r="Y276" s="3"/>
    </row>
    <row r="277" ht="14.25" customHeight="1">
      <c r="A277" s="3"/>
      <c r="B277" s="3"/>
      <c r="C277" s="3"/>
      <c r="D277" s="3"/>
      <c r="E277" s="3"/>
      <c r="F277" s="3"/>
      <c r="G277" s="23"/>
      <c r="H277" s="24"/>
      <c r="I277" s="3"/>
      <c r="J277" s="3"/>
      <c r="K277" s="3"/>
      <c r="L277" s="3"/>
      <c r="M277" s="3"/>
      <c r="N277" s="3"/>
      <c r="O277" s="3"/>
      <c r="P277" s="3"/>
      <c r="Q277" s="3"/>
      <c r="R277" s="3"/>
      <c r="S277" s="3"/>
      <c r="T277" s="3"/>
      <c r="U277" s="3"/>
      <c r="V277" s="3"/>
      <c r="W277" s="3"/>
      <c r="X277" s="3"/>
      <c r="Y277" s="3"/>
    </row>
    <row r="278" ht="14.25" customHeight="1">
      <c r="A278" s="3"/>
      <c r="B278" s="3"/>
      <c r="C278" s="3"/>
      <c r="D278" s="3"/>
      <c r="E278" s="3"/>
      <c r="F278" s="3"/>
      <c r="G278" s="23"/>
      <c r="H278" s="24"/>
      <c r="I278" s="3"/>
      <c r="J278" s="3"/>
      <c r="K278" s="3"/>
      <c r="L278" s="3"/>
      <c r="M278" s="3"/>
      <c r="N278" s="3"/>
      <c r="O278" s="3"/>
      <c r="P278" s="3"/>
      <c r="Q278" s="3"/>
      <c r="R278" s="3"/>
      <c r="S278" s="3"/>
      <c r="T278" s="3"/>
      <c r="U278" s="3"/>
      <c r="V278" s="3"/>
      <c r="W278" s="3"/>
      <c r="X278" s="3"/>
      <c r="Y278" s="3"/>
    </row>
    <row r="279" ht="14.25" customHeight="1">
      <c r="A279" s="3"/>
      <c r="B279" s="3"/>
      <c r="C279" s="3"/>
      <c r="D279" s="3"/>
      <c r="E279" s="3"/>
      <c r="F279" s="3"/>
      <c r="G279" s="23"/>
      <c r="H279" s="24"/>
      <c r="I279" s="3"/>
      <c r="J279" s="3"/>
      <c r="K279" s="3"/>
      <c r="L279" s="3"/>
      <c r="M279" s="3"/>
      <c r="N279" s="3"/>
      <c r="O279" s="3"/>
      <c r="P279" s="3"/>
      <c r="Q279" s="3"/>
      <c r="R279" s="3"/>
      <c r="S279" s="3"/>
      <c r="T279" s="3"/>
      <c r="U279" s="3"/>
      <c r="V279" s="3"/>
      <c r="W279" s="3"/>
      <c r="X279" s="3"/>
      <c r="Y279" s="3"/>
    </row>
    <row r="280" ht="14.25" customHeight="1">
      <c r="A280" s="3"/>
      <c r="B280" s="3"/>
      <c r="C280" s="3"/>
      <c r="D280" s="3"/>
      <c r="E280" s="3"/>
      <c r="F280" s="3"/>
      <c r="G280" s="23"/>
      <c r="H280" s="24"/>
      <c r="I280" s="3"/>
      <c r="J280" s="3"/>
      <c r="K280" s="3"/>
      <c r="L280" s="3"/>
      <c r="M280" s="3"/>
      <c r="N280" s="3"/>
      <c r="O280" s="3"/>
      <c r="P280" s="3"/>
      <c r="Q280" s="3"/>
      <c r="R280" s="3"/>
      <c r="S280" s="3"/>
      <c r="T280" s="3"/>
      <c r="U280" s="3"/>
      <c r="V280" s="3"/>
      <c r="W280" s="3"/>
      <c r="X280" s="3"/>
      <c r="Y280" s="3"/>
    </row>
    <row r="281" ht="14.25" customHeight="1">
      <c r="A281" s="3"/>
      <c r="B281" s="3"/>
      <c r="C281" s="3"/>
      <c r="D281" s="3"/>
      <c r="E281" s="3"/>
      <c r="F281" s="3"/>
      <c r="G281" s="23"/>
      <c r="H281" s="24"/>
      <c r="I281" s="3"/>
      <c r="J281" s="3"/>
      <c r="K281" s="3"/>
      <c r="L281" s="3"/>
      <c r="M281" s="3"/>
      <c r="N281" s="3"/>
      <c r="O281" s="3"/>
      <c r="P281" s="3"/>
      <c r="Q281" s="3"/>
      <c r="R281" s="3"/>
      <c r="S281" s="3"/>
      <c r="T281" s="3"/>
      <c r="U281" s="3"/>
      <c r="V281" s="3"/>
      <c r="W281" s="3"/>
      <c r="X281" s="3"/>
      <c r="Y281" s="3"/>
    </row>
    <row r="282" ht="14.25" customHeight="1">
      <c r="A282" s="3"/>
      <c r="B282" s="3"/>
      <c r="C282" s="3"/>
      <c r="D282" s="3"/>
      <c r="E282" s="3"/>
      <c r="F282" s="3"/>
      <c r="G282" s="23"/>
      <c r="H282" s="24"/>
      <c r="I282" s="3"/>
      <c r="J282" s="3"/>
      <c r="K282" s="3"/>
      <c r="L282" s="3"/>
      <c r="M282" s="3"/>
      <c r="N282" s="3"/>
      <c r="O282" s="3"/>
      <c r="P282" s="3"/>
      <c r="Q282" s="3"/>
      <c r="R282" s="3"/>
      <c r="S282" s="3"/>
      <c r="T282" s="3"/>
      <c r="U282" s="3"/>
      <c r="V282" s="3"/>
      <c r="W282" s="3"/>
      <c r="X282" s="3"/>
      <c r="Y282" s="3"/>
    </row>
    <row r="283" ht="14.25" customHeight="1">
      <c r="A283" s="3"/>
      <c r="B283" s="3"/>
      <c r="C283" s="3"/>
      <c r="D283" s="3"/>
      <c r="E283" s="3"/>
      <c r="F283" s="3"/>
      <c r="G283" s="23"/>
      <c r="H283" s="24"/>
      <c r="I283" s="3"/>
      <c r="J283" s="3"/>
      <c r="K283" s="3"/>
      <c r="L283" s="3"/>
      <c r="M283" s="3"/>
      <c r="N283" s="3"/>
      <c r="O283" s="3"/>
      <c r="P283" s="3"/>
      <c r="Q283" s="3"/>
      <c r="R283" s="3"/>
      <c r="S283" s="3"/>
      <c r="T283" s="3"/>
      <c r="U283" s="3"/>
      <c r="V283" s="3"/>
      <c r="W283" s="3"/>
      <c r="X283" s="3"/>
      <c r="Y283" s="3"/>
    </row>
    <row r="284" ht="14.25" customHeight="1">
      <c r="A284" s="3"/>
      <c r="B284" s="3"/>
      <c r="C284" s="3"/>
      <c r="D284" s="3"/>
      <c r="E284" s="3"/>
      <c r="F284" s="3"/>
      <c r="G284" s="23"/>
      <c r="H284" s="24"/>
      <c r="I284" s="3"/>
      <c r="J284" s="3"/>
      <c r="K284" s="3"/>
      <c r="L284" s="3"/>
      <c r="M284" s="3"/>
      <c r="N284" s="3"/>
      <c r="O284" s="3"/>
      <c r="P284" s="3"/>
      <c r="Q284" s="3"/>
      <c r="R284" s="3"/>
      <c r="S284" s="3"/>
      <c r="T284" s="3"/>
      <c r="U284" s="3"/>
      <c r="V284" s="3"/>
      <c r="W284" s="3"/>
      <c r="X284" s="3"/>
      <c r="Y284" s="3"/>
    </row>
    <row r="285" ht="14.25" customHeight="1">
      <c r="A285" s="3"/>
      <c r="B285" s="3"/>
      <c r="C285" s="3"/>
      <c r="D285" s="3"/>
      <c r="E285" s="3"/>
      <c r="F285" s="3"/>
      <c r="G285" s="23"/>
      <c r="H285" s="24"/>
      <c r="I285" s="3"/>
      <c r="J285" s="3"/>
      <c r="K285" s="3"/>
      <c r="L285" s="3"/>
      <c r="M285" s="3"/>
      <c r="N285" s="3"/>
      <c r="O285" s="3"/>
      <c r="P285" s="3"/>
      <c r="Q285" s="3"/>
      <c r="R285" s="3"/>
      <c r="S285" s="3"/>
      <c r="T285" s="3"/>
      <c r="U285" s="3"/>
      <c r="V285" s="3"/>
      <c r="W285" s="3"/>
      <c r="X285" s="3"/>
      <c r="Y285" s="3"/>
    </row>
    <row r="286" ht="14.25" customHeight="1">
      <c r="A286" s="3"/>
      <c r="B286" s="3"/>
      <c r="C286" s="3"/>
      <c r="D286" s="3"/>
      <c r="E286" s="3"/>
      <c r="F286" s="3"/>
      <c r="G286" s="23"/>
      <c r="H286" s="24"/>
      <c r="I286" s="3"/>
      <c r="J286" s="3"/>
      <c r="K286" s="3"/>
      <c r="L286" s="3"/>
      <c r="M286" s="3"/>
      <c r="N286" s="3"/>
      <c r="O286" s="3"/>
      <c r="P286" s="3"/>
      <c r="Q286" s="3"/>
      <c r="R286" s="3"/>
      <c r="S286" s="3"/>
      <c r="T286" s="3"/>
      <c r="U286" s="3"/>
      <c r="V286" s="3"/>
      <c r="W286" s="3"/>
      <c r="X286" s="3"/>
      <c r="Y286" s="3"/>
    </row>
    <row r="287" ht="14.25" customHeight="1">
      <c r="A287" s="3"/>
      <c r="B287" s="3"/>
      <c r="C287" s="3"/>
      <c r="D287" s="3"/>
      <c r="E287" s="3"/>
      <c r="F287" s="3"/>
      <c r="G287" s="23"/>
      <c r="H287" s="24"/>
      <c r="I287" s="3"/>
      <c r="J287" s="3"/>
      <c r="K287" s="3"/>
      <c r="L287" s="3"/>
      <c r="M287" s="3"/>
      <c r="N287" s="3"/>
      <c r="O287" s="3"/>
      <c r="P287" s="3"/>
      <c r="Q287" s="3"/>
      <c r="R287" s="3"/>
      <c r="S287" s="3"/>
      <c r="T287" s="3"/>
      <c r="U287" s="3"/>
      <c r="V287" s="3"/>
      <c r="W287" s="3"/>
      <c r="X287" s="3"/>
      <c r="Y287" s="3"/>
    </row>
    <row r="288" ht="14.25" customHeight="1">
      <c r="A288" s="3"/>
      <c r="B288" s="3"/>
      <c r="C288" s="3"/>
      <c r="D288" s="3"/>
      <c r="E288" s="3"/>
      <c r="F288" s="3"/>
      <c r="G288" s="23"/>
      <c r="H288" s="24"/>
      <c r="I288" s="3"/>
      <c r="J288" s="3"/>
      <c r="K288" s="3"/>
      <c r="L288" s="3"/>
      <c r="M288" s="3"/>
      <c r="N288" s="3"/>
      <c r="O288" s="3"/>
      <c r="P288" s="3"/>
      <c r="Q288" s="3"/>
      <c r="R288" s="3"/>
      <c r="S288" s="3"/>
      <c r="T288" s="3"/>
      <c r="U288" s="3"/>
      <c r="V288" s="3"/>
      <c r="W288" s="3"/>
      <c r="X288" s="3"/>
      <c r="Y288" s="3"/>
    </row>
    <row r="289" ht="14.25" customHeight="1">
      <c r="A289" s="3"/>
      <c r="B289" s="3"/>
      <c r="C289" s="3"/>
      <c r="D289" s="3"/>
      <c r="E289" s="3"/>
      <c r="F289" s="3"/>
      <c r="G289" s="23"/>
      <c r="H289" s="24"/>
      <c r="I289" s="3"/>
      <c r="J289" s="3"/>
      <c r="K289" s="3"/>
      <c r="L289" s="3"/>
      <c r="M289" s="3"/>
      <c r="N289" s="3"/>
      <c r="O289" s="3"/>
      <c r="P289" s="3"/>
      <c r="Q289" s="3"/>
      <c r="R289" s="3"/>
      <c r="S289" s="3"/>
      <c r="T289" s="3"/>
      <c r="U289" s="3"/>
      <c r="V289" s="3"/>
      <c r="W289" s="3"/>
      <c r="X289" s="3"/>
      <c r="Y289" s="3"/>
    </row>
    <row r="290" ht="14.25" customHeight="1">
      <c r="A290" s="3"/>
      <c r="B290" s="3"/>
      <c r="C290" s="3"/>
      <c r="D290" s="3"/>
      <c r="E290" s="3"/>
      <c r="F290" s="3"/>
      <c r="G290" s="23"/>
      <c r="H290" s="24"/>
      <c r="I290" s="3"/>
      <c r="J290" s="3"/>
      <c r="K290" s="3"/>
      <c r="L290" s="3"/>
      <c r="M290" s="3"/>
      <c r="N290" s="3"/>
      <c r="O290" s="3"/>
      <c r="P290" s="3"/>
      <c r="Q290" s="3"/>
      <c r="R290" s="3"/>
      <c r="S290" s="3"/>
      <c r="T290" s="3"/>
      <c r="U290" s="3"/>
      <c r="V290" s="3"/>
      <c r="W290" s="3"/>
      <c r="X290" s="3"/>
      <c r="Y290" s="3"/>
    </row>
    <row r="291" ht="14.25" customHeight="1">
      <c r="A291" s="3"/>
      <c r="B291" s="3"/>
      <c r="C291" s="3"/>
      <c r="D291" s="3"/>
      <c r="E291" s="3"/>
      <c r="F291" s="3"/>
      <c r="G291" s="23"/>
      <c r="H291" s="24"/>
      <c r="I291" s="3"/>
      <c r="J291" s="3"/>
      <c r="K291" s="3"/>
      <c r="L291" s="3"/>
      <c r="M291" s="3"/>
      <c r="N291" s="3"/>
      <c r="O291" s="3"/>
      <c r="P291" s="3"/>
      <c r="Q291" s="3"/>
      <c r="R291" s="3"/>
      <c r="S291" s="3"/>
      <c r="T291" s="3"/>
      <c r="U291" s="3"/>
      <c r="V291" s="3"/>
      <c r="W291" s="3"/>
      <c r="X291" s="3"/>
      <c r="Y291" s="3"/>
    </row>
    <row r="292" ht="14.25" customHeight="1">
      <c r="A292" s="3"/>
      <c r="B292" s="3"/>
      <c r="C292" s="3"/>
      <c r="D292" s="3"/>
      <c r="E292" s="3"/>
      <c r="F292" s="3"/>
      <c r="G292" s="23"/>
      <c r="H292" s="24"/>
      <c r="I292" s="3"/>
      <c r="J292" s="3"/>
      <c r="K292" s="3"/>
      <c r="L292" s="3"/>
      <c r="M292" s="3"/>
      <c r="N292" s="3"/>
      <c r="O292" s="3"/>
      <c r="P292" s="3"/>
      <c r="Q292" s="3"/>
      <c r="R292" s="3"/>
      <c r="S292" s="3"/>
      <c r="T292" s="3"/>
      <c r="U292" s="3"/>
      <c r="V292" s="3"/>
      <c r="W292" s="3"/>
      <c r="X292" s="3"/>
      <c r="Y292" s="3"/>
    </row>
    <row r="293" ht="14.25" customHeight="1">
      <c r="A293" s="3"/>
      <c r="B293" s="3"/>
      <c r="C293" s="3"/>
      <c r="D293" s="3"/>
      <c r="E293" s="3"/>
      <c r="F293" s="3"/>
      <c r="G293" s="23"/>
      <c r="H293" s="24"/>
      <c r="I293" s="3"/>
      <c r="J293" s="3"/>
      <c r="K293" s="3"/>
      <c r="L293" s="3"/>
      <c r="M293" s="3"/>
      <c r="N293" s="3"/>
      <c r="O293" s="3"/>
      <c r="P293" s="3"/>
      <c r="Q293" s="3"/>
      <c r="R293" s="3"/>
      <c r="S293" s="3"/>
      <c r="T293" s="3"/>
      <c r="U293" s="3"/>
      <c r="V293" s="3"/>
      <c r="W293" s="3"/>
      <c r="X293" s="3"/>
      <c r="Y293" s="3"/>
    </row>
    <row r="294" ht="14.25" customHeight="1">
      <c r="A294" s="3"/>
      <c r="B294" s="3"/>
      <c r="C294" s="3"/>
      <c r="D294" s="3"/>
      <c r="E294" s="3"/>
      <c r="F294" s="3"/>
      <c r="G294" s="23"/>
      <c r="H294" s="24"/>
      <c r="I294" s="3"/>
      <c r="J294" s="3"/>
      <c r="K294" s="3"/>
      <c r="L294" s="3"/>
      <c r="M294" s="3"/>
      <c r="N294" s="3"/>
      <c r="O294" s="3"/>
      <c r="P294" s="3"/>
      <c r="Q294" s="3"/>
      <c r="R294" s="3"/>
      <c r="S294" s="3"/>
      <c r="T294" s="3"/>
      <c r="U294" s="3"/>
      <c r="V294" s="3"/>
      <c r="W294" s="3"/>
      <c r="X294" s="3"/>
      <c r="Y294" s="3"/>
    </row>
    <row r="295" ht="14.25" customHeight="1">
      <c r="A295" s="3"/>
      <c r="B295" s="3"/>
      <c r="C295" s="3"/>
      <c r="D295" s="3"/>
      <c r="E295" s="3"/>
      <c r="F295" s="3"/>
      <c r="G295" s="23"/>
      <c r="H295" s="24"/>
      <c r="I295" s="3"/>
      <c r="J295" s="3"/>
      <c r="K295" s="3"/>
      <c r="L295" s="3"/>
      <c r="M295" s="3"/>
      <c r="N295" s="3"/>
      <c r="O295" s="3"/>
      <c r="P295" s="3"/>
      <c r="Q295" s="3"/>
      <c r="R295" s="3"/>
      <c r="S295" s="3"/>
      <c r="T295" s="3"/>
      <c r="U295" s="3"/>
      <c r="V295" s="3"/>
      <c r="W295" s="3"/>
      <c r="X295" s="3"/>
      <c r="Y295" s="3"/>
    </row>
    <row r="296" ht="14.25" customHeight="1">
      <c r="A296" s="3"/>
      <c r="B296" s="3"/>
      <c r="C296" s="3"/>
      <c r="D296" s="3"/>
      <c r="E296" s="3"/>
      <c r="F296" s="3"/>
      <c r="G296" s="23"/>
      <c r="H296" s="24"/>
      <c r="I296" s="3"/>
      <c r="J296" s="3"/>
      <c r="K296" s="3"/>
      <c r="L296" s="3"/>
      <c r="M296" s="3"/>
      <c r="N296" s="3"/>
      <c r="O296" s="3"/>
      <c r="P296" s="3"/>
      <c r="Q296" s="3"/>
      <c r="R296" s="3"/>
      <c r="S296" s="3"/>
      <c r="T296" s="3"/>
      <c r="U296" s="3"/>
      <c r="V296" s="3"/>
      <c r="W296" s="3"/>
      <c r="X296" s="3"/>
      <c r="Y296" s="3"/>
    </row>
    <row r="297" ht="14.25" customHeight="1">
      <c r="A297" s="3"/>
      <c r="B297" s="3"/>
      <c r="C297" s="3"/>
      <c r="D297" s="3"/>
      <c r="E297" s="3"/>
      <c r="F297" s="3"/>
      <c r="G297" s="23"/>
      <c r="H297" s="24"/>
      <c r="I297" s="3"/>
      <c r="J297" s="3"/>
      <c r="K297" s="3"/>
      <c r="L297" s="3"/>
      <c r="M297" s="3"/>
      <c r="N297" s="3"/>
      <c r="O297" s="3"/>
      <c r="P297" s="3"/>
      <c r="Q297" s="3"/>
      <c r="R297" s="3"/>
      <c r="S297" s="3"/>
      <c r="T297" s="3"/>
      <c r="U297" s="3"/>
      <c r="V297" s="3"/>
      <c r="W297" s="3"/>
      <c r="X297" s="3"/>
      <c r="Y297" s="3"/>
    </row>
    <row r="298" ht="14.25" customHeight="1">
      <c r="A298" s="3"/>
      <c r="B298" s="3"/>
      <c r="C298" s="3"/>
      <c r="D298" s="3"/>
      <c r="E298" s="3"/>
      <c r="F298" s="3"/>
      <c r="G298" s="23"/>
      <c r="H298" s="24"/>
      <c r="I298" s="3"/>
      <c r="J298" s="3"/>
      <c r="K298" s="3"/>
      <c r="L298" s="3"/>
      <c r="M298" s="3"/>
      <c r="N298" s="3"/>
      <c r="O298" s="3"/>
      <c r="P298" s="3"/>
      <c r="Q298" s="3"/>
      <c r="R298" s="3"/>
      <c r="S298" s="3"/>
      <c r="T298" s="3"/>
      <c r="U298" s="3"/>
      <c r="V298" s="3"/>
      <c r="W298" s="3"/>
      <c r="X298" s="3"/>
      <c r="Y298" s="3"/>
    </row>
    <row r="299" ht="14.25" customHeight="1">
      <c r="A299" s="3"/>
      <c r="B299" s="3"/>
      <c r="C299" s="3"/>
      <c r="D299" s="3"/>
      <c r="E299" s="3"/>
      <c r="F299" s="3"/>
      <c r="G299" s="23"/>
      <c r="H299" s="24"/>
      <c r="I299" s="3"/>
      <c r="J299" s="3"/>
      <c r="K299" s="3"/>
      <c r="L299" s="3"/>
      <c r="M299" s="3"/>
      <c r="N299" s="3"/>
      <c r="O299" s="3"/>
      <c r="P299" s="3"/>
      <c r="Q299" s="3"/>
      <c r="R299" s="3"/>
      <c r="S299" s="3"/>
      <c r="T299" s="3"/>
      <c r="U299" s="3"/>
      <c r="V299" s="3"/>
      <c r="W299" s="3"/>
      <c r="X299" s="3"/>
      <c r="Y299" s="3"/>
    </row>
    <row r="300" ht="14.25" customHeight="1">
      <c r="A300" s="3"/>
      <c r="B300" s="3"/>
      <c r="C300" s="3"/>
      <c r="D300" s="3"/>
      <c r="E300" s="3"/>
      <c r="F300" s="3"/>
      <c r="G300" s="23"/>
      <c r="H300" s="24"/>
      <c r="I300" s="3"/>
      <c r="J300" s="3"/>
      <c r="K300" s="3"/>
      <c r="L300" s="3"/>
      <c r="M300" s="3"/>
      <c r="N300" s="3"/>
      <c r="O300" s="3"/>
      <c r="P300" s="3"/>
      <c r="Q300" s="3"/>
      <c r="R300" s="3"/>
      <c r="S300" s="3"/>
      <c r="T300" s="3"/>
      <c r="U300" s="3"/>
      <c r="V300" s="3"/>
      <c r="W300" s="3"/>
      <c r="X300" s="3"/>
      <c r="Y300" s="3"/>
    </row>
    <row r="301" ht="14.25" customHeight="1">
      <c r="A301" s="3"/>
      <c r="B301" s="3"/>
      <c r="C301" s="3"/>
      <c r="D301" s="3"/>
      <c r="E301" s="3"/>
      <c r="F301" s="3"/>
      <c r="G301" s="23"/>
      <c r="H301" s="24"/>
      <c r="I301" s="3"/>
      <c r="J301" s="3"/>
      <c r="K301" s="3"/>
      <c r="L301" s="3"/>
      <c r="M301" s="3"/>
      <c r="N301" s="3"/>
      <c r="O301" s="3"/>
      <c r="P301" s="3"/>
      <c r="Q301" s="3"/>
      <c r="R301" s="3"/>
      <c r="S301" s="3"/>
      <c r="T301" s="3"/>
      <c r="U301" s="3"/>
      <c r="V301" s="3"/>
      <c r="W301" s="3"/>
      <c r="X301" s="3"/>
      <c r="Y301" s="3"/>
    </row>
    <row r="302" ht="14.25" customHeight="1">
      <c r="A302" s="3"/>
      <c r="B302" s="3"/>
      <c r="C302" s="3"/>
      <c r="D302" s="3"/>
      <c r="E302" s="3"/>
      <c r="F302" s="3"/>
      <c r="G302" s="23"/>
      <c r="H302" s="24"/>
      <c r="I302" s="3"/>
      <c r="J302" s="3"/>
      <c r="K302" s="3"/>
      <c r="L302" s="3"/>
      <c r="M302" s="3"/>
      <c r="N302" s="3"/>
      <c r="O302" s="3"/>
      <c r="P302" s="3"/>
      <c r="Q302" s="3"/>
      <c r="R302" s="3"/>
      <c r="S302" s="3"/>
      <c r="T302" s="3"/>
      <c r="U302" s="3"/>
      <c r="V302" s="3"/>
      <c r="W302" s="3"/>
      <c r="X302" s="3"/>
      <c r="Y302" s="3"/>
    </row>
    <row r="303" ht="14.25" customHeight="1">
      <c r="A303" s="3"/>
      <c r="B303" s="3"/>
      <c r="C303" s="3"/>
      <c r="D303" s="3"/>
      <c r="E303" s="3"/>
      <c r="F303" s="3"/>
      <c r="G303" s="23"/>
      <c r="H303" s="24"/>
      <c r="I303" s="3"/>
      <c r="J303" s="3"/>
      <c r="K303" s="3"/>
      <c r="L303" s="3"/>
      <c r="M303" s="3"/>
      <c r="N303" s="3"/>
      <c r="O303" s="3"/>
      <c r="P303" s="3"/>
      <c r="Q303" s="3"/>
      <c r="R303" s="3"/>
      <c r="S303" s="3"/>
      <c r="T303" s="3"/>
      <c r="U303" s="3"/>
      <c r="V303" s="3"/>
      <c r="W303" s="3"/>
      <c r="X303" s="3"/>
      <c r="Y303" s="3"/>
    </row>
    <row r="304" ht="14.25" customHeight="1">
      <c r="A304" s="3"/>
      <c r="B304" s="3"/>
      <c r="C304" s="3"/>
      <c r="D304" s="3"/>
      <c r="E304" s="3"/>
      <c r="F304" s="3"/>
      <c r="G304" s="23"/>
      <c r="H304" s="24"/>
      <c r="I304" s="3"/>
      <c r="J304" s="3"/>
      <c r="K304" s="3"/>
      <c r="L304" s="3"/>
      <c r="M304" s="3"/>
      <c r="N304" s="3"/>
      <c r="O304" s="3"/>
      <c r="P304" s="3"/>
      <c r="Q304" s="3"/>
      <c r="R304" s="3"/>
      <c r="S304" s="3"/>
      <c r="T304" s="3"/>
      <c r="U304" s="3"/>
      <c r="V304" s="3"/>
      <c r="W304" s="3"/>
      <c r="X304" s="3"/>
      <c r="Y304" s="3"/>
    </row>
    <row r="305" ht="14.25" customHeight="1">
      <c r="A305" s="3"/>
      <c r="B305" s="3"/>
      <c r="C305" s="3"/>
      <c r="D305" s="3"/>
      <c r="E305" s="3"/>
      <c r="F305" s="3"/>
      <c r="G305" s="23"/>
      <c r="H305" s="24"/>
      <c r="I305" s="3"/>
      <c r="J305" s="3"/>
      <c r="K305" s="3"/>
      <c r="L305" s="3"/>
      <c r="M305" s="3"/>
      <c r="N305" s="3"/>
      <c r="O305" s="3"/>
      <c r="P305" s="3"/>
      <c r="Q305" s="3"/>
      <c r="R305" s="3"/>
      <c r="S305" s="3"/>
      <c r="T305" s="3"/>
      <c r="U305" s="3"/>
      <c r="V305" s="3"/>
      <c r="W305" s="3"/>
      <c r="X305" s="3"/>
      <c r="Y305" s="3"/>
    </row>
    <row r="306" ht="14.25" customHeight="1">
      <c r="A306" s="3"/>
      <c r="B306" s="3"/>
      <c r="C306" s="3"/>
      <c r="D306" s="3"/>
      <c r="E306" s="3"/>
      <c r="F306" s="3"/>
      <c r="G306" s="23"/>
      <c r="H306" s="24"/>
      <c r="I306" s="3"/>
      <c r="J306" s="3"/>
      <c r="K306" s="3"/>
      <c r="L306" s="3"/>
      <c r="M306" s="3"/>
      <c r="N306" s="3"/>
      <c r="O306" s="3"/>
      <c r="P306" s="3"/>
      <c r="Q306" s="3"/>
      <c r="R306" s="3"/>
      <c r="S306" s="3"/>
      <c r="T306" s="3"/>
      <c r="U306" s="3"/>
      <c r="V306" s="3"/>
      <c r="W306" s="3"/>
      <c r="X306" s="3"/>
      <c r="Y306" s="3"/>
    </row>
    <row r="307" ht="14.25" customHeight="1">
      <c r="A307" s="3"/>
      <c r="B307" s="3"/>
      <c r="C307" s="3"/>
      <c r="D307" s="3"/>
      <c r="E307" s="3"/>
      <c r="F307" s="3"/>
      <c r="G307" s="23"/>
      <c r="H307" s="24"/>
      <c r="I307" s="3"/>
      <c r="J307" s="3"/>
      <c r="K307" s="3"/>
      <c r="L307" s="3"/>
      <c r="M307" s="3"/>
      <c r="N307" s="3"/>
      <c r="O307" s="3"/>
      <c r="P307" s="3"/>
      <c r="Q307" s="3"/>
      <c r="R307" s="3"/>
      <c r="S307" s="3"/>
      <c r="T307" s="3"/>
      <c r="U307" s="3"/>
      <c r="V307" s="3"/>
      <c r="W307" s="3"/>
      <c r="X307" s="3"/>
      <c r="Y307" s="3"/>
    </row>
    <row r="308" ht="14.25" customHeight="1">
      <c r="A308" s="3"/>
      <c r="B308" s="3"/>
      <c r="C308" s="3"/>
      <c r="D308" s="3"/>
      <c r="E308" s="3"/>
      <c r="F308" s="3"/>
      <c r="G308" s="23"/>
      <c r="H308" s="24"/>
      <c r="I308" s="3"/>
      <c r="J308" s="3"/>
      <c r="K308" s="3"/>
      <c r="L308" s="3"/>
      <c r="M308" s="3"/>
      <c r="N308" s="3"/>
      <c r="O308" s="3"/>
      <c r="P308" s="3"/>
      <c r="Q308" s="3"/>
      <c r="R308" s="3"/>
      <c r="S308" s="3"/>
      <c r="T308" s="3"/>
      <c r="U308" s="3"/>
      <c r="V308" s="3"/>
      <c r="W308" s="3"/>
      <c r="X308" s="3"/>
      <c r="Y308" s="3"/>
    </row>
    <row r="309" ht="14.25" customHeight="1">
      <c r="A309" s="3"/>
      <c r="B309" s="3"/>
      <c r="C309" s="3"/>
      <c r="D309" s="3"/>
      <c r="E309" s="3"/>
      <c r="F309" s="3"/>
      <c r="G309" s="23"/>
      <c r="H309" s="24"/>
      <c r="I309" s="3"/>
      <c r="J309" s="3"/>
      <c r="K309" s="3"/>
      <c r="L309" s="3"/>
      <c r="M309" s="3"/>
      <c r="N309" s="3"/>
      <c r="O309" s="3"/>
      <c r="P309" s="3"/>
      <c r="Q309" s="3"/>
      <c r="R309" s="3"/>
      <c r="S309" s="3"/>
      <c r="T309" s="3"/>
      <c r="U309" s="3"/>
      <c r="V309" s="3"/>
      <c r="W309" s="3"/>
      <c r="X309" s="3"/>
      <c r="Y309" s="3"/>
    </row>
    <row r="310" ht="14.25" customHeight="1">
      <c r="A310" s="3"/>
      <c r="B310" s="3"/>
      <c r="C310" s="3"/>
      <c r="D310" s="3"/>
      <c r="E310" s="3"/>
      <c r="F310" s="3"/>
      <c r="G310" s="23"/>
      <c r="H310" s="24"/>
      <c r="I310" s="3"/>
      <c r="J310" s="3"/>
      <c r="K310" s="3"/>
      <c r="L310" s="3"/>
      <c r="M310" s="3"/>
      <c r="N310" s="3"/>
      <c r="O310" s="3"/>
      <c r="P310" s="3"/>
      <c r="Q310" s="3"/>
      <c r="R310" s="3"/>
      <c r="S310" s="3"/>
      <c r="T310" s="3"/>
      <c r="U310" s="3"/>
      <c r="V310" s="3"/>
      <c r="W310" s="3"/>
      <c r="X310" s="3"/>
      <c r="Y310" s="3"/>
    </row>
    <row r="311" ht="14.25" customHeight="1">
      <c r="A311" s="3"/>
      <c r="B311" s="3"/>
      <c r="C311" s="3"/>
      <c r="D311" s="3"/>
      <c r="E311" s="3"/>
      <c r="F311" s="3"/>
      <c r="G311" s="23"/>
      <c r="H311" s="24"/>
      <c r="I311" s="3"/>
      <c r="J311" s="3"/>
      <c r="K311" s="3"/>
      <c r="L311" s="3"/>
      <c r="M311" s="3"/>
      <c r="N311" s="3"/>
      <c r="O311" s="3"/>
      <c r="P311" s="3"/>
      <c r="Q311" s="3"/>
      <c r="R311" s="3"/>
      <c r="S311" s="3"/>
      <c r="T311" s="3"/>
      <c r="U311" s="3"/>
      <c r="V311" s="3"/>
      <c r="W311" s="3"/>
      <c r="X311" s="3"/>
      <c r="Y311" s="3"/>
    </row>
    <row r="312" ht="14.25" customHeight="1">
      <c r="A312" s="3"/>
      <c r="B312" s="3"/>
      <c r="C312" s="3"/>
      <c r="D312" s="3"/>
      <c r="E312" s="3"/>
      <c r="F312" s="3"/>
      <c r="G312" s="23"/>
      <c r="H312" s="24"/>
      <c r="I312" s="3"/>
      <c r="J312" s="3"/>
      <c r="K312" s="3"/>
      <c r="L312" s="3"/>
      <c r="M312" s="3"/>
      <c r="N312" s="3"/>
      <c r="O312" s="3"/>
      <c r="P312" s="3"/>
      <c r="Q312" s="3"/>
      <c r="R312" s="3"/>
      <c r="S312" s="3"/>
      <c r="T312" s="3"/>
      <c r="U312" s="3"/>
      <c r="V312" s="3"/>
      <c r="W312" s="3"/>
      <c r="X312" s="3"/>
      <c r="Y312" s="3"/>
    </row>
    <row r="313" ht="14.25" customHeight="1">
      <c r="A313" s="3"/>
      <c r="B313" s="3"/>
      <c r="C313" s="3"/>
      <c r="D313" s="3"/>
      <c r="E313" s="3"/>
      <c r="F313" s="3"/>
      <c r="G313" s="23"/>
      <c r="H313" s="24"/>
      <c r="I313" s="3"/>
      <c r="J313" s="3"/>
      <c r="K313" s="3"/>
      <c r="L313" s="3"/>
      <c r="M313" s="3"/>
      <c r="N313" s="3"/>
      <c r="O313" s="3"/>
      <c r="P313" s="3"/>
      <c r="Q313" s="3"/>
      <c r="R313" s="3"/>
      <c r="S313" s="3"/>
      <c r="T313" s="3"/>
      <c r="U313" s="3"/>
      <c r="V313" s="3"/>
      <c r="W313" s="3"/>
      <c r="X313" s="3"/>
      <c r="Y313" s="3"/>
    </row>
    <row r="314" ht="14.25" customHeight="1">
      <c r="A314" s="3"/>
      <c r="B314" s="3"/>
      <c r="C314" s="3"/>
      <c r="D314" s="3"/>
      <c r="E314" s="3"/>
      <c r="F314" s="3"/>
      <c r="G314" s="23"/>
      <c r="H314" s="24"/>
      <c r="I314" s="3"/>
      <c r="J314" s="3"/>
      <c r="K314" s="3"/>
      <c r="L314" s="3"/>
      <c r="M314" s="3"/>
      <c r="N314" s="3"/>
      <c r="O314" s="3"/>
      <c r="P314" s="3"/>
      <c r="Q314" s="3"/>
      <c r="R314" s="3"/>
      <c r="S314" s="3"/>
      <c r="T314" s="3"/>
      <c r="U314" s="3"/>
      <c r="V314" s="3"/>
      <c r="W314" s="3"/>
      <c r="X314" s="3"/>
      <c r="Y314" s="3"/>
    </row>
    <row r="315" ht="14.25" customHeight="1">
      <c r="A315" s="3"/>
      <c r="B315" s="3"/>
      <c r="C315" s="3"/>
      <c r="D315" s="3"/>
      <c r="E315" s="3"/>
      <c r="F315" s="3"/>
      <c r="G315" s="23"/>
      <c r="H315" s="24"/>
      <c r="I315" s="3"/>
      <c r="J315" s="3"/>
      <c r="K315" s="3"/>
      <c r="L315" s="3"/>
      <c r="M315" s="3"/>
      <c r="N315" s="3"/>
      <c r="O315" s="3"/>
      <c r="P315" s="3"/>
      <c r="Q315" s="3"/>
      <c r="R315" s="3"/>
      <c r="S315" s="3"/>
      <c r="T315" s="3"/>
      <c r="U315" s="3"/>
      <c r="V315" s="3"/>
      <c r="W315" s="3"/>
      <c r="X315" s="3"/>
      <c r="Y315" s="3"/>
    </row>
    <row r="316" ht="14.25" customHeight="1">
      <c r="A316" s="3"/>
      <c r="B316" s="3"/>
      <c r="C316" s="3"/>
      <c r="D316" s="3"/>
      <c r="E316" s="3"/>
      <c r="F316" s="3"/>
      <c r="G316" s="23"/>
      <c r="H316" s="24"/>
      <c r="I316" s="3"/>
      <c r="J316" s="3"/>
      <c r="K316" s="3"/>
      <c r="L316" s="3"/>
      <c r="M316" s="3"/>
      <c r="N316" s="3"/>
      <c r="O316" s="3"/>
      <c r="P316" s="3"/>
      <c r="Q316" s="3"/>
      <c r="R316" s="3"/>
      <c r="S316" s="3"/>
      <c r="T316" s="3"/>
      <c r="U316" s="3"/>
      <c r="V316" s="3"/>
      <c r="W316" s="3"/>
      <c r="X316" s="3"/>
      <c r="Y316" s="3"/>
    </row>
    <row r="317" ht="14.25" customHeight="1">
      <c r="A317" s="3"/>
      <c r="B317" s="3"/>
      <c r="C317" s="3"/>
      <c r="D317" s="3"/>
      <c r="E317" s="3"/>
      <c r="F317" s="3"/>
      <c r="G317" s="23"/>
      <c r="H317" s="24"/>
      <c r="I317" s="3"/>
      <c r="J317" s="3"/>
      <c r="K317" s="3"/>
      <c r="L317" s="3"/>
      <c r="M317" s="3"/>
      <c r="N317" s="3"/>
      <c r="O317" s="3"/>
      <c r="P317" s="3"/>
      <c r="Q317" s="3"/>
      <c r="R317" s="3"/>
      <c r="S317" s="3"/>
      <c r="T317" s="3"/>
      <c r="U317" s="3"/>
      <c r="V317" s="3"/>
      <c r="W317" s="3"/>
      <c r="X317" s="3"/>
      <c r="Y317" s="3"/>
    </row>
    <row r="318" ht="14.25" customHeight="1">
      <c r="A318" s="3"/>
      <c r="B318" s="3"/>
      <c r="C318" s="3"/>
      <c r="D318" s="3"/>
      <c r="E318" s="3"/>
      <c r="F318" s="3"/>
      <c r="G318" s="23"/>
      <c r="H318" s="24"/>
      <c r="I318" s="3"/>
      <c r="J318" s="3"/>
      <c r="K318" s="3"/>
      <c r="L318" s="3"/>
      <c r="M318" s="3"/>
      <c r="N318" s="3"/>
      <c r="O318" s="3"/>
      <c r="P318" s="3"/>
      <c r="Q318" s="3"/>
      <c r="R318" s="3"/>
      <c r="S318" s="3"/>
      <c r="T318" s="3"/>
      <c r="U318" s="3"/>
      <c r="V318" s="3"/>
      <c r="W318" s="3"/>
      <c r="X318" s="3"/>
      <c r="Y318" s="3"/>
    </row>
    <row r="319" ht="14.25" customHeight="1">
      <c r="A319" s="3"/>
      <c r="B319" s="3"/>
      <c r="C319" s="3"/>
      <c r="D319" s="3"/>
      <c r="E319" s="3"/>
      <c r="F319" s="3"/>
      <c r="G319" s="23"/>
      <c r="H319" s="24"/>
      <c r="I319" s="3"/>
      <c r="J319" s="3"/>
      <c r="K319" s="3"/>
      <c r="L319" s="3"/>
      <c r="M319" s="3"/>
      <c r="N319" s="3"/>
      <c r="O319" s="3"/>
      <c r="P319" s="3"/>
      <c r="Q319" s="3"/>
      <c r="R319" s="3"/>
      <c r="S319" s="3"/>
      <c r="T319" s="3"/>
      <c r="U319" s="3"/>
      <c r="V319" s="3"/>
      <c r="W319" s="3"/>
      <c r="X319" s="3"/>
      <c r="Y319" s="3"/>
    </row>
    <row r="320" ht="14.25" customHeight="1">
      <c r="A320" s="3"/>
      <c r="B320" s="3"/>
      <c r="C320" s="3"/>
      <c r="D320" s="3"/>
      <c r="E320" s="3"/>
      <c r="F320" s="3"/>
      <c r="G320" s="23"/>
      <c r="H320" s="24"/>
      <c r="I320" s="3"/>
      <c r="J320" s="3"/>
      <c r="K320" s="3"/>
      <c r="L320" s="3"/>
      <c r="M320" s="3"/>
      <c r="N320" s="3"/>
      <c r="O320" s="3"/>
      <c r="P320" s="3"/>
      <c r="Q320" s="3"/>
      <c r="R320" s="3"/>
      <c r="S320" s="3"/>
      <c r="T320" s="3"/>
      <c r="U320" s="3"/>
      <c r="V320" s="3"/>
      <c r="W320" s="3"/>
      <c r="X320" s="3"/>
      <c r="Y320" s="3"/>
    </row>
    <row r="321" ht="14.25" customHeight="1">
      <c r="A321" s="3"/>
      <c r="B321" s="3"/>
      <c r="C321" s="3"/>
      <c r="D321" s="3"/>
      <c r="E321" s="3"/>
      <c r="F321" s="3"/>
      <c r="G321" s="23"/>
      <c r="H321" s="24"/>
      <c r="I321" s="3"/>
      <c r="J321" s="3"/>
      <c r="K321" s="3"/>
      <c r="L321" s="3"/>
      <c r="M321" s="3"/>
      <c r="N321" s="3"/>
      <c r="O321" s="3"/>
      <c r="P321" s="3"/>
      <c r="Q321" s="3"/>
      <c r="R321" s="3"/>
      <c r="S321" s="3"/>
      <c r="T321" s="3"/>
      <c r="U321" s="3"/>
      <c r="V321" s="3"/>
      <c r="W321" s="3"/>
      <c r="X321" s="3"/>
      <c r="Y321" s="3"/>
    </row>
    <row r="322" ht="14.25" customHeight="1">
      <c r="A322" s="3"/>
      <c r="B322" s="3"/>
      <c r="C322" s="3"/>
      <c r="D322" s="3"/>
      <c r="E322" s="3"/>
      <c r="F322" s="3"/>
      <c r="G322" s="23"/>
      <c r="H322" s="24"/>
      <c r="I322" s="3"/>
      <c r="J322" s="3"/>
      <c r="K322" s="3"/>
      <c r="L322" s="3"/>
      <c r="M322" s="3"/>
      <c r="N322" s="3"/>
      <c r="O322" s="3"/>
      <c r="P322" s="3"/>
      <c r="Q322" s="3"/>
      <c r="R322" s="3"/>
      <c r="S322" s="3"/>
      <c r="T322" s="3"/>
      <c r="U322" s="3"/>
      <c r="V322" s="3"/>
      <c r="W322" s="3"/>
      <c r="X322" s="3"/>
      <c r="Y322" s="3"/>
    </row>
    <row r="323" ht="14.25" customHeight="1">
      <c r="A323" s="3"/>
      <c r="B323" s="3"/>
      <c r="C323" s="3"/>
      <c r="D323" s="3"/>
      <c r="E323" s="3"/>
      <c r="F323" s="3"/>
      <c r="G323" s="23"/>
      <c r="H323" s="24"/>
      <c r="I323" s="3"/>
      <c r="J323" s="3"/>
      <c r="K323" s="3"/>
      <c r="L323" s="3"/>
      <c r="M323" s="3"/>
      <c r="N323" s="3"/>
      <c r="O323" s="3"/>
      <c r="P323" s="3"/>
      <c r="Q323" s="3"/>
      <c r="R323" s="3"/>
      <c r="S323" s="3"/>
      <c r="T323" s="3"/>
      <c r="U323" s="3"/>
      <c r="V323" s="3"/>
      <c r="W323" s="3"/>
      <c r="X323" s="3"/>
      <c r="Y323" s="3"/>
    </row>
    <row r="324" ht="14.25" customHeight="1">
      <c r="A324" s="3"/>
      <c r="B324" s="3"/>
      <c r="C324" s="3"/>
      <c r="D324" s="3"/>
      <c r="E324" s="3"/>
      <c r="F324" s="3"/>
      <c r="G324" s="23"/>
      <c r="H324" s="24"/>
      <c r="I324" s="3"/>
      <c r="J324" s="3"/>
      <c r="K324" s="3"/>
      <c r="L324" s="3"/>
      <c r="M324" s="3"/>
      <c r="N324" s="3"/>
      <c r="O324" s="3"/>
      <c r="P324" s="3"/>
      <c r="Q324" s="3"/>
      <c r="R324" s="3"/>
      <c r="S324" s="3"/>
      <c r="T324" s="3"/>
      <c r="U324" s="3"/>
      <c r="V324" s="3"/>
      <c r="W324" s="3"/>
      <c r="X324" s="3"/>
      <c r="Y324" s="3"/>
    </row>
    <row r="325" ht="14.25" customHeight="1">
      <c r="A325" s="3"/>
      <c r="B325" s="3"/>
      <c r="C325" s="3"/>
      <c r="D325" s="3"/>
      <c r="E325" s="3"/>
      <c r="F325" s="3"/>
      <c r="G325" s="23"/>
      <c r="H325" s="24"/>
      <c r="I325" s="3"/>
      <c r="J325" s="3"/>
      <c r="K325" s="3"/>
      <c r="L325" s="3"/>
      <c r="M325" s="3"/>
      <c r="N325" s="3"/>
      <c r="O325" s="3"/>
      <c r="P325" s="3"/>
      <c r="Q325" s="3"/>
      <c r="R325" s="3"/>
      <c r="S325" s="3"/>
      <c r="T325" s="3"/>
      <c r="U325" s="3"/>
      <c r="V325" s="3"/>
      <c r="W325" s="3"/>
      <c r="X325" s="3"/>
      <c r="Y325" s="3"/>
    </row>
    <row r="326" ht="14.25" customHeight="1">
      <c r="A326" s="3"/>
      <c r="B326" s="3"/>
      <c r="C326" s="3"/>
      <c r="D326" s="3"/>
      <c r="E326" s="3"/>
      <c r="F326" s="3"/>
      <c r="G326" s="23"/>
      <c r="H326" s="24"/>
      <c r="I326" s="3"/>
      <c r="J326" s="3"/>
      <c r="K326" s="3"/>
      <c r="L326" s="3"/>
      <c r="M326" s="3"/>
      <c r="N326" s="3"/>
      <c r="O326" s="3"/>
      <c r="P326" s="3"/>
      <c r="Q326" s="3"/>
      <c r="R326" s="3"/>
      <c r="S326" s="3"/>
      <c r="T326" s="3"/>
      <c r="U326" s="3"/>
      <c r="V326" s="3"/>
      <c r="W326" s="3"/>
      <c r="X326" s="3"/>
      <c r="Y326" s="3"/>
    </row>
    <row r="327" ht="14.25" customHeight="1">
      <c r="A327" s="3"/>
      <c r="B327" s="3"/>
      <c r="C327" s="3"/>
      <c r="D327" s="3"/>
      <c r="E327" s="3"/>
      <c r="F327" s="3"/>
      <c r="G327" s="23"/>
      <c r="H327" s="24"/>
      <c r="I327" s="3"/>
      <c r="J327" s="3"/>
      <c r="K327" s="3"/>
      <c r="L327" s="3"/>
      <c r="M327" s="3"/>
      <c r="N327" s="3"/>
      <c r="O327" s="3"/>
      <c r="P327" s="3"/>
      <c r="Q327" s="3"/>
      <c r="R327" s="3"/>
      <c r="S327" s="3"/>
      <c r="T327" s="3"/>
      <c r="U327" s="3"/>
      <c r="V327" s="3"/>
      <c r="W327" s="3"/>
      <c r="X327" s="3"/>
      <c r="Y327" s="3"/>
    </row>
    <row r="328" ht="14.25" customHeight="1">
      <c r="A328" s="3"/>
      <c r="B328" s="3"/>
      <c r="C328" s="3"/>
      <c r="D328" s="3"/>
      <c r="E328" s="3"/>
      <c r="F328" s="3"/>
      <c r="G328" s="23"/>
      <c r="H328" s="24"/>
      <c r="I328" s="3"/>
      <c r="J328" s="3"/>
      <c r="K328" s="3"/>
      <c r="L328" s="3"/>
      <c r="M328" s="3"/>
      <c r="N328" s="3"/>
      <c r="O328" s="3"/>
      <c r="P328" s="3"/>
      <c r="Q328" s="3"/>
      <c r="R328" s="3"/>
      <c r="S328" s="3"/>
      <c r="T328" s="3"/>
      <c r="U328" s="3"/>
      <c r="V328" s="3"/>
      <c r="W328" s="3"/>
      <c r="X328" s="3"/>
      <c r="Y328" s="3"/>
    </row>
    <row r="329" ht="14.25" customHeight="1">
      <c r="A329" s="3"/>
      <c r="B329" s="3"/>
      <c r="C329" s="3"/>
      <c r="D329" s="3"/>
      <c r="E329" s="3"/>
      <c r="F329" s="3"/>
      <c r="G329" s="23"/>
      <c r="H329" s="24"/>
      <c r="I329" s="3"/>
      <c r="J329" s="3"/>
      <c r="K329" s="3"/>
      <c r="L329" s="3"/>
      <c r="M329" s="3"/>
      <c r="N329" s="3"/>
      <c r="O329" s="3"/>
      <c r="P329" s="3"/>
      <c r="Q329" s="3"/>
      <c r="R329" s="3"/>
      <c r="S329" s="3"/>
      <c r="T329" s="3"/>
      <c r="U329" s="3"/>
      <c r="V329" s="3"/>
      <c r="W329" s="3"/>
      <c r="X329" s="3"/>
      <c r="Y329" s="3"/>
    </row>
    <row r="330" ht="14.25" customHeight="1">
      <c r="A330" s="3"/>
      <c r="B330" s="3"/>
      <c r="C330" s="3"/>
      <c r="D330" s="3"/>
      <c r="E330" s="3"/>
      <c r="F330" s="3"/>
      <c r="G330" s="23"/>
      <c r="H330" s="24"/>
      <c r="I330" s="3"/>
      <c r="J330" s="3"/>
      <c r="K330" s="3"/>
      <c r="L330" s="3"/>
      <c r="M330" s="3"/>
      <c r="N330" s="3"/>
      <c r="O330" s="3"/>
      <c r="P330" s="3"/>
      <c r="Q330" s="3"/>
      <c r="R330" s="3"/>
      <c r="S330" s="3"/>
      <c r="T330" s="3"/>
      <c r="U330" s="3"/>
      <c r="V330" s="3"/>
      <c r="W330" s="3"/>
      <c r="X330" s="3"/>
      <c r="Y330" s="3"/>
    </row>
    <row r="331" ht="14.25" customHeight="1">
      <c r="A331" s="3"/>
      <c r="B331" s="3"/>
      <c r="C331" s="3"/>
      <c r="D331" s="3"/>
      <c r="E331" s="3"/>
      <c r="F331" s="3"/>
      <c r="G331" s="23"/>
      <c r="H331" s="24"/>
      <c r="I331" s="3"/>
      <c r="J331" s="3"/>
      <c r="K331" s="3"/>
      <c r="L331" s="3"/>
      <c r="M331" s="3"/>
      <c r="N331" s="3"/>
      <c r="O331" s="3"/>
      <c r="P331" s="3"/>
      <c r="Q331" s="3"/>
      <c r="R331" s="3"/>
      <c r="S331" s="3"/>
      <c r="T331" s="3"/>
      <c r="U331" s="3"/>
      <c r="V331" s="3"/>
      <c r="W331" s="3"/>
      <c r="X331" s="3"/>
      <c r="Y331" s="3"/>
    </row>
    <row r="332" ht="14.25" customHeight="1">
      <c r="A332" s="3"/>
      <c r="B332" s="3"/>
      <c r="C332" s="3"/>
      <c r="D332" s="3"/>
      <c r="E332" s="3"/>
      <c r="F332" s="3"/>
      <c r="G332" s="23"/>
      <c r="H332" s="24"/>
      <c r="I332" s="3"/>
      <c r="J332" s="3"/>
      <c r="K332" s="3"/>
      <c r="L332" s="3"/>
      <c r="M332" s="3"/>
      <c r="N332" s="3"/>
      <c r="O332" s="3"/>
      <c r="P332" s="3"/>
      <c r="Q332" s="3"/>
      <c r="R332" s="3"/>
      <c r="S332" s="3"/>
      <c r="T332" s="3"/>
      <c r="U332" s="3"/>
      <c r="V332" s="3"/>
      <c r="W332" s="3"/>
      <c r="X332" s="3"/>
      <c r="Y332" s="3"/>
    </row>
    <row r="333" ht="14.25" customHeight="1">
      <c r="A333" s="3"/>
      <c r="B333" s="3"/>
      <c r="C333" s="3"/>
      <c r="D333" s="3"/>
      <c r="E333" s="3"/>
      <c r="F333" s="3"/>
      <c r="G333" s="23"/>
      <c r="H333" s="24"/>
      <c r="I333" s="3"/>
      <c r="J333" s="3"/>
      <c r="K333" s="3"/>
      <c r="L333" s="3"/>
      <c r="M333" s="3"/>
      <c r="N333" s="3"/>
      <c r="O333" s="3"/>
      <c r="P333" s="3"/>
      <c r="Q333" s="3"/>
      <c r="R333" s="3"/>
      <c r="S333" s="3"/>
      <c r="T333" s="3"/>
      <c r="U333" s="3"/>
      <c r="V333" s="3"/>
      <c r="W333" s="3"/>
      <c r="X333" s="3"/>
      <c r="Y333" s="3"/>
    </row>
    <row r="334" ht="14.25" customHeight="1">
      <c r="A334" s="3"/>
      <c r="B334" s="3"/>
      <c r="C334" s="3"/>
      <c r="D334" s="3"/>
      <c r="E334" s="3"/>
      <c r="F334" s="3"/>
      <c r="G334" s="23"/>
      <c r="H334" s="24"/>
      <c r="I334" s="3"/>
      <c r="J334" s="3"/>
      <c r="K334" s="3"/>
      <c r="L334" s="3"/>
      <c r="M334" s="3"/>
      <c r="N334" s="3"/>
      <c r="O334" s="3"/>
      <c r="P334" s="3"/>
      <c r="Q334" s="3"/>
      <c r="R334" s="3"/>
      <c r="S334" s="3"/>
      <c r="T334" s="3"/>
      <c r="U334" s="3"/>
      <c r="V334" s="3"/>
      <c r="W334" s="3"/>
      <c r="X334" s="3"/>
      <c r="Y334" s="3"/>
    </row>
    <row r="335" ht="14.25" customHeight="1">
      <c r="A335" s="3"/>
      <c r="B335" s="3"/>
      <c r="C335" s="3"/>
      <c r="D335" s="3"/>
      <c r="E335" s="3"/>
      <c r="F335" s="3"/>
      <c r="G335" s="23"/>
      <c r="H335" s="24"/>
      <c r="I335" s="3"/>
      <c r="J335" s="3"/>
      <c r="K335" s="3"/>
      <c r="L335" s="3"/>
      <c r="M335" s="3"/>
      <c r="N335" s="3"/>
      <c r="O335" s="3"/>
      <c r="P335" s="3"/>
      <c r="Q335" s="3"/>
      <c r="R335" s="3"/>
      <c r="S335" s="3"/>
      <c r="T335" s="3"/>
      <c r="U335" s="3"/>
      <c r="V335" s="3"/>
      <c r="W335" s="3"/>
      <c r="X335" s="3"/>
      <c r="Y335" s="3"/>
    </row>
    <row r="336" ht="14.25" customHeight="1">
      <c r="A336" s="3"/>
      <c r="B336" s="3"/>
      <c r="C336" s="3"/>
      <c r="D336" s="3"/>
      <c r="E336" s="3"/>
      <c r="F336" s="3"/>
      <c r="G336" s="23"/>
      <c r="H336" s="24"/>
      <c r="I336" s="3"/>
      <c r="J336" s="3"/>
      <c r="K336" s="3"/>
      <c r="L336" s="3"/>
      <c r="M336" s="3"/>
      <c r="N336" s="3"/>
      <c r="O336" s="3"/>
      <c r="P336" s="3"/>
      <c r="Q336" s="3"/>
      <c r="R336" s="3"/>
      <c r="S336" s="3"/>
      <c r="T336" s="3"/>
      <c r="U336" s="3"/>
      <c r="V336" s="3"/>
      <c r="W336" s="3"/>
      <c r="X336" s="3"/>
      <c r="Y336" s="3"/>
    </row>
    <row r="337" ht="14.25" customHeight="1">
      <c r="A337" s="3"/>
      <c r="B337" s="3"/>
      <c r="C337" s="3"/>
      <c r="D337" s="3"/>
      <c r="E337" s="3"/>
      <c r="F337" s="3"/>
      <c r="G337" s="23"/>
      <c r="H337" s="24"/>
      <c r="I337" s="3"/>
      <c r="J337" s="3"/>
      <c r="K337" s="3"/>
      <c r="L337" s="3"/>
      <c r="M337" s="3"/>
      <c r="N337" s="3"/>
      <c r="O337" s="3"/>
      <c r="P337" s="3"/>
      <c r="Q337" s="3"/>
      <c r="R337" s="3"/>
      <c r="S337" s="3"/>
      <c r="T337" s="3"/>
      <c r="U337" s="3"/>
      <c r="V337" s="3"/>
      <c r="W337" s="3"/>
      <c r="X337" s="3"/>
      <c r="Y337" s="3"/>
    </row>
    <row r="338" ht="14.25" customHeight="1">
      <c r="A338" s="3"/>
      <c r="B338" s="3"/>
      <c r="C338" s="3"/>
      <c r="D338" s="3"/>
      <c r="E338" s="3"/>
      <c r="F338" s="3"/>
      <c r="G338" s="23"/>
      <c r="H338" s="24"/>
      <c r="I338" s="3"/>
      <c r="J338" s="3"/>
      <c r="K338" s="3"/>
      <c r="L338" s="3"/>
      <c r="M338" s="3"/>
      <c r="N338" s="3"/>
      <c r="O338" s="3"/>
      <c r="P338" s="3"/>
      <c r="Q338" s="3"/>
      <c r="R338" s="3"/>
      <c r="S338" s="3"/>
      <c r="T338" s="3"/>
      <c r="U338" s="3"/>
      <c r="V338" s="3"/>
      <c r="W338" s="3"/>
      <c r="X338" s="3"/>
      <c r="Y338" s="3"/>
    </row>
    <row r="339" ht="14.25" customHeight="1">
      <c r="A339" s="3"/>
      <c r="B339" s="3"/>
      <c r="C339" s="3"/>
      <c r="D339" s="3"/>
      <c r="E339" s="3"/>
      <c r="F339" s="3"/>
      <c r="G339" s="23"/>
      <c r="H339" s="24"/>
      <c r="I339" s="3"/>
      <c r="J339" s="3"/>
      <c r="K339" s="3"/>
      <c r="L339" s="3"/>
      <c r="M339" s="3"/>
      <c r="N339" s="3"/>
      <c r="O339" s="3"/>
      <c r="P339" s="3"/>
      <c r="Q339" s="3"/>
      <c r="R339" s="3"/>
      <c r="S339" s="3"/>
      <c r="T339" s="3"/>
      <c r="U339" s="3"/>
      <c r="V339" s="3"/>
      <c r="W339" s="3"/>
      <c r="X339" s="3"/>
      <c r="Y339" s="3"/>
    </row>
    <row r="340" ht="14.25" customHeight="1">
      <c r="A340" s="3"/>
      <c r="B340" s="3"/>
      <c r="C340" s="3"/>
      <c r="D340" s="3"/>
      <c r="E340" s="3"/>
      <c r="F340" s="3"/>
      <c r="G340" s="23"/>
      <c r="H340" s="24"/>
      <c r="I340" s="3"/>
      <c r="J340" s="3"/>
      <c r="K340" s="3"/>
      <c r="L340" s="3"/>
      <c r="M340" s="3"/>
      <c r="N340" s="3"/>
      <c r="O340" s="3"/>
      <c r="P340" s="3"/>
      <c r="Q340" s="3"/>
      <c r="R340" s="3"/>
      <c r="S340" s="3"/>
      <c r="T340" s="3"/>
      <c r="U340" s="3"/>
      <c r="V340" s="3"/>
      <c r="W340" s="3"/>
      <c r="X340" s="3"/>
      <c r="Y340" s="3"/>
    </row>
    <row r="341" ht="14.25" customHeight="1">
      <c r="A341" s="3"/>
      <c r="B341" s="3"/>
      <c r="C341" s="3"/>
      <c r="D341" s="3"/>
      <c r="E341" s="3"/>
      <c r="F341" s="3"/>
      <c r="G341" s="23"/>
      <c r="H341" s="24"/>
      <c r="I341" s="3"/>
      <c r="J341" s="3"/>
      <c r="K341" s="3"/>
      <c r="L341" s="3"/>
      <c r="M341" s="3"/>
      <c r="N341" s="3"/>
      <c r="O341" s="3"/>
      <c r="P341" s="3"/>
      <c r="Q341" s="3"/>
      <c r="R341" s="3"/>
      <c r="S341" s="3"/>
      <c r="T341" s="3"/>
      <c r="U341" s="3"/>
      <c r="V341" s="3"/>
      <c r="W341" s="3"/>
      <c r="X341" s="3"/>
      <c r="Y341" s="3"/>
    </row>
    <row r="342" ht="14.25" customHeight="1">
      <c r="A342" s="3"/>
      <c r="B342" s="3"/>
      <c r="C342" s="3"/>
      <c r="D342" s="3"/>
      <c r="E342" s="3"/>
      <c r="F342" s="3"/>
      <c r="G342" s="23"/>
      <c r="H342" s="24"/>
      <c r="I342" s="3"/>
      <c r="J342" s="3"/>
      <c r="K342" s="3"/>
      <c r="L342" s="3"/>
      <c r="M342" s="3"/>
      <c r="N342" s="3"/>
      <c r="O342" s="3"/>
      <c r="P342" s="3"/>
      <c r="Q342" s="3"/>
      <c r="R342" s="3"/>
      <c r="S342" s="3"/>
      <c r="T342" s="3"/>
      <c r="U342" s="3"/>
      <c r="V342" s="3"/>
      <c r="W342" s="3"/>
      <c r="X342" s="3"/>
      <c r="Y342" s="3"/>
    </row>
    <row r="343" ht="14.25" customHeight="1">
      <c r="A343" s="3"/>
      <c r="B343" s="3"/>
      <c r="C343" s="3"/>
      <c r="D343" s="3"/>
      <c r="E343" s="3"/>
      <c r="F343" s="3"/>
      <c r="G343" s="23"/>
      <c r="H343" s="24"/>
      <c r="I343" s="3"/>
      <c r="J343" s="3"/>
      <c r="K343" s="3"/>
      <c r="L343" s="3"/>
      <c r="M343" s="3"/>
      <c r="N343" s="3"/>
      <c r="O343" s="3"/>
      <c r="P343" s="3"/>
      <c r="Q343" s="3"/>
      <c r="R343" s="3"/>
      <c r="S343" s="3"/>
      <c r="T343" s="3"/>
      <c r="U343" s="3"/>
      <c r="V343" s="3"/>
      <c r="W343" s="3"/>
      <c r="X343" s="3"/>
      <c r="Y343" s="3"/>
    </row>
    <row r="344" ht="14.25" customHeight="1">
      <c r="A344" s="3"/>
      <c r="B344" s="3"/>
      <c r="C344" s="3"/>
      <c r="D344" s="3"/>
      <c r="E344" s="3"/>
      <c r="F344" s="3"/>
      <c r="G344" s="23"/>
      <c r="H344" s="24"/>
      <c r="I344" s="3"/>
      <c r="J344" s="3"/>
      <c r="K344" s="3"/>
      <c r="L344" s="3"/>
      <c r="M344" s="3"/>
      <c r="N344" s="3"/>
      <c r="O344" s="3"/>
      <c r="P344" s="3"/>
      <c r="Q344" s="3"/>
      <c r="R344" s="3"/>
      <c r="S344" s="3"/>
      <c r="T344" s="3"/>
      <c r="U344" s="3"/>
      <c r="V344" s="3"/>
      <c r="W344" s="3"/>
      <c r="X344" s="3"/>
      <c r="Y344" s="3"/>
    </row>
    <row r="345" ht="14.25" customHeight="1">
      <c r="A345" s="3"/>
      <c r="B345" s="3"/>
      <c r="C345" s="3"/>
      <c r="D345" s="3"/>
      <c r="E345" s="3"/>
      <c r="F345" s="3"/>
      <c r="G345" s="23"/>
      <c r="H345" s="24"/>
      <c r="I345" s="3"/>
      <c r="J345" s="3"/>
      <c r="K345" s="3"/>
      <c r="L345" s="3"/>
      <c r="M345" s="3"/>
      <c r="N345" s="3"/>
      <c r="O345" s="3"/>
      <c r="P345" s="3"/>
      <c r="Q345" s="3"/>
      <c r="R345" s="3"/>
      <c r="S345" s="3"/>
      <c r="T345" s="3"/>
      <c r="U345" s="3"/>
      <c r="V345" s="3"/>
      <c r="W345" s="3"/>
      <c r="X345" s="3"/>
      <c r="Y345" s="3"/>
    </row>
    <row r="346" ht="14.25" customHeight="1">
      <c r="A346" s="3"/>
      <c r="B346" s="3"/>
      <c r="C346" s="3"/>
      <c r="D346" s="3"/>
      <c r="E346" s="3"/>
      <c r="F346" s="3"/>
      <c r="G346" s="23"/>
      <c r="H346" s="24"/>
      <c r="I346" s="3"/>
      <c r="J346" s="3"/>
      <c r="K346" s="3"/>
      <c r="L346" s="3"/>
      <c r="M346" s="3"/>
      <c r="N346" s="3"/>
      <c r="O346" s="3"/>
      <c r="P346" s="3"/>
      <c r="Q346" s="3"/>
      <c r="R346" s="3"/>
      <c r="S346" s="3"/>
      <c r="T346" s="3"/>
      <c r="U346" s="3"/>
      <c r="V346" s="3"/>
      <c r="W346" s="3"/>
      <c r="X346" s="3"/>
      <c r="Y346" s="3"/>
    </row>
    <row r="347" ht="14.25" customHeight="1">
      <c r="A347" s="3"/>
      <c r="B347" s="3"/>
      <c r="C347" s="3"/>
      <c r="D347" s="3"/>
      <c r="E347" s="3"/>
      <c r="F347" s="3"/>
      <c r="G347" s="23"/>
      <c r="H347" s="24"/>
      <c r="I347" s="3"/>
      <c r="J347" s="3"/>
      <c r="K347" s="3"/>
      <c r="L347" s="3"/>
      <c r="M347" s="3"/>
      <c r="N347" s="3"/>
      <c r="O347" s="3"/>
      <c r="P347" s="3"/>
      <c r="Q347" s="3"/>
      <c r="R347" s="3"/>
      <c r="S347" s="3"/>
      <c r="T347" s="3"/>
      <c r="U347" s="3"/>
      <c r="V347" s="3"/>
      <c r="W347" s="3"/>
      <c r="X347" s="3"/>
      <c r="Y347" s="3"/>
    </row>
    <row r="348" ht="14.25" customHeight="1">
      <c r="A348" s="3"/>
      <c r="B348" s="3"/>
      <c r="C348" s="3"/>
      <c r="D348" s="3"/>
      <c r="E348" s="3"/>
      <c r="F348" s="3"/>
      <c r="G348" s="23"/>
      <c r="H348" s="24"/>
      <c r="I348" s="3"/>
      <c r="J348" s="3"/>
      <c r="K348" s="3"/>
      <c r="L348" s="3"/>
      <c r="M348" s="3"/>
      <c r="N348" s="3"/>
      <c r="O348" s="3"/>
      <c r="P348" s="3"/>
      <c r="Q348" s="3"/>
      <c r="R348" s="3"/>
      <c r="S348" s="3"/>
      <c r="T348" s="3"/>
      <c r="U348" s="3"/>
      <c r="V348" s="3"/>
      <c r="W348" s="3"/>
      <c r="X348" s="3"/>
      <c r="Y348" s="3"/>
    </row>
    <row r="349" ht="14.25" customHeight="1">
      <c r="A349" s="3"/>
      <c r="B349" s="3"/>
      <c r="C349" s="3"/>
      <c r="D349" s="3"/>
      <c r="E349" s="3"/>
      <c r="F349" s="3"/>
      <c r="G349" s="23"/>
      <c r="H349" s="24"/>
      <c r="I349" s="3"/>
      <c r="J349" s="3"/>
      <c r="K349" s="3"/>
      <c r="L349" s="3"/>
      <c r="M349" s="3"/>
      <c r="N349" s="3"/>
      <c r="O349" s="3"/>
      <c r="P349" s="3"/>
      <c r="Q349" s="3"/>
      <c r="R349" s="3"/>
      <c r="S349" s="3"/>
      <c r="T349" s="3"/>
      <c r="U349" s="3"/>
      <c r="V349" s="3"/>
      <c r="W349" s="3"/>
      <c r="X349" s="3"/>
      <c r="Y349" s="3"/>
    </row>
    <row r="350" ht="14.25" customHeight="1">
      <c r="A350" s="3"/>
      <c r="B350" s="3"/>
      <c r="C350" s="3"/>
      <c r="D350" s="3"/>
      <c r="E350" s="3"/>
      <c r="F350" s="3"/>
      <c r="G350" s="23"/>
      <c r="H350" s="24"/>
      <c r="I350" s="3"/>
      <c r="J350" s="3"/>
      <c r="K350" s="3"/>
      <c r="L350" s="3"/>
      <c r="M350" s="3"/>
      <c r="N350" s="3"/>
      <c r="O350" s="3"/>
      <c r="P350" s="3"/>
      <c r="Q350" s="3"/>
      <c r="R350" s="3"/>
      <c r="S350" s="3"/>
      <c r="T350" s="3"/>
      <c r="U350" s="3"/>
      <c r="V350" s="3"/>
      <c r="W350" s="3"/>
      <c r="X350" s="3"/>
      <c r="Y350" s="3"/>
    </row>
    <row r="351" ht="14.25" customHeight="1">
      <c r="A351" s="3"/>
      <c r="B351" s="3"/>
      <c r="C351" s="3"/>
      <c r="D351" s="3"/>
      <c r="E351" s="3"/>
      <c r="F351" s="3"/>
      <c r="G351" s="23"/>
      <c r="H351" s="24"/>
      <c r="I351" s="3"/>
      <c r="J351" s="3"/>
      <c r="K351" s="3"/>
      <c r="L351" s="3"/>
      <c r="M351" s="3"/>
      <c r="N351" s="3"/>
      <c r="O351" s="3"/>
      <c r="P351" s="3"/>
      <c r="Q351" s="3"/>
      <c r="R351" s="3"/>
      <c r="S351" s="3"/>
      <c r="T351" s="3"/>
      <c r="U351" s="3"/>
      <c r="V351" s="3"/>
      <c r="W351" s="3"/>
      <c r="X351" s="3"/>
      <c r="Y351" s="3"/>
    </row>
    <row r="352" ht="14.25" customHeight="1">
      <c r="A352" s="3"/>
      <c r="B352" s="3"/>
      <c r="C352" s="3"/>
      <c r="D352" s="3"/>
      <c r="E352" s="3"/>
      <c r="F352" s="3"/>
      <c r="G352" s="23"/>
      <c r="H352" s="24"/>
      <c r="I352" s="3"/>
      <c r="J352" s="3"/>
      <c r="K352" s="3"/>
      <c r="L352" s="3"/>
      <c r="M352" s="3"/>
      <c r="N352" s="3"/>
      <c r="O352" s="3"/>
      <c r="P352" s="3"/>
      <c r="Q352" s="3"/>
      <c r="R352" s="3"/>
      <c r="S352" s="3"/>
      <c r="T352" s="3"/>
      <c r="U352" s="3"/>
      <c r="V352" s="3"/>
      <c r="W352" s="3"/>
      <c r="X352" s="3"/>
      <c r="Y352" s="3"/>
    </row>
    <row r="353" ht="14.25" customHeight="1">
      <c r="A353" s="3"/>
      <c r="B353" s="3"/>
      <c r="C353" s="3"/>
      <c r="D353" s="3"/>
      <c r="E353" s="3"/>
      <c r="F353" s="3"/>
      <c r="G353" s="23"/>
      <c r="H353" s="24"/>
      <c r="I353" s="3"/>
      <c r="J353" s="3"/>
      <c r="K353" s="3"/>
      <c r="L353" s="3"/>
      <c r="M353" s="3"/>
      <c r="N353" s="3"/>
      <c r="O353" s="3"/>
      <c r="P353" s="3"/>
      <c r="Q353" s="3"/>
      <c r="R353" s="3"/>
      <c r="S353" s="3"/>
      <c r="T353" s="3"/>
      <c r="U353" s="3"/>
      <c r="V353" s="3"/>
      <c r="W353" s="3"/>
      <c r="X353" s="3"/>
      <c r="Y353" s="3"/>
    </row>
    <row r="354" ht="14.25" customHeight="1">
      <c r="A354" s="3"/>
      <c r="B354" s="3"/>
      <c r="C354" s="3"/>
      <c r="D354" s="3"/>
      <c r="E354" s="3"/>
      <c r="F354" s="3"/>
      <c r="G354" s="23"/>
      <c r="H354" s="24"/>
      <c r="I354" s="3"/>
      <c r="J354" s="3"/>
      <c r="K354" s="3"/>
      <c r="L354" s="3"/>
      <c r="M354" s="3"/>
      <c r="N354" s="3"/>
      <c r="O354" s="3"/>
      <c r="P354" s="3"/>
      <c r="Q354" s="3"/>
      <c r="R354" s="3"/>
      <c r="S354" s="3"/>
      <c r="T354" s="3"/>
      <c r="U354" s="3"/>
      <c r="V354" s="3"/>
      <c r="W354" s="3"/>
      <c r="X354" s="3"/>
      <c r="Y354" s="3"/>
    </row>
    <row r="355" ht="14.25" customHeight="1">
      <c r="A355" s="3"/>
      <c r="B355" s="3"/>
      <c r="C355" s="3"/>
      <c r="D355" s="3"/>
      <c r="E355" s="3"/>
      <c r="F355" s="3"/>
      <c r="G355" s="23"/>
      <c r="H355" s="24"/>
      <c r="I355" s="3"/>
      <c r="J355" s="3"/>
      <c r="K355" s="3"/>
      <c r="L355" s="3"/>
      <c r="M355" s="3"/>
      <c r="N355" s="3"/>
      <c r="O355" s="3"/>
      <c r="P355" s="3"/>
      <c r="Q355" s="3"/>
      <c r="R355" s="3"/>
      <c r="S355" s="3"/>
      <c r="T355" s="3"/>
      <c r="U355" s="3"/>
      <c r="V355" s="3"/>
      <c r="W355" s="3"/>
      <c r="X355" s="3"/>
      <c r="Y355" s="3"/>
    </row>
    <row r="356" ht="14.25" customHeight="1">
      <c r="A356" s="3"/>
      <c r="B356" s="3"/>
      <c r="C356" s="3"/>
      <c r="D356" s="3"/>
      <c r="E356" s="3"/>
      <c r="F356" s="3"/>
      <c r="G356" s="23"/>
      <c r="H356" s="24"/>
      <c r="I356" s="3"/>
      <c r="J356" s="3"/>
      <c r="K356" s="3"/>
      <c r="L356" s="3"/>
      <c r="M356" s="3"/>
      <c r="N356" s="3"/>
      <c r="O356" s="3"/>
      <c r="P356" s="3"/>
      <c r="Q356" s="3"/>
      <c r="R356" s="3"/>
      <c r="S356" s="3"/>
      <c r="T356" s="3"/>
      <c r="U356" s="3"/>
      <c r="V356" s="3"/>
      <c r="W356" s="3"/>
      <c r="X356" s="3"/>
      <c r="Y356" s="3"/>
    </row>
    <row r="357" ht="14.25" customHeight="1">
      <c r="A357" s="3"/>
      <c r="B357" s="3"/>
      <c r="C357" s="3"/>
      <c r="D357" s="3"/>
      <c r="E357" s="3"/>
      <c r="F357" s="3"/>
      <c r="G357" s="23"/>
      <c r="H357" s="24"/>
      <c r="I357" s="3"/>
      <c r="J357" s="3"/>
      <c r="K357" s="3"/>
      <c r="L357" s="3"/>
      <c r="M357" s="3"/>
      <c r="N357" s="3"/>
      <c r="O357" s="3"/>
      <c r="P357" s="3"/>
      <c r="Q357" s="3"/>
      <c r="R357" s="3"/>
      <c r="S357" s="3"/>
      <c r="T357" s="3"/>
      <c r="U357" s="3"/>
      <c r="V357" s="3"/>
      <c r="W357" s="3"/>
      <c r="X357" s="3"/>
      <c r="Y357" s="3"/>
    </row>
    <row r="358" ht="14.25" customHeight="1">
      <c r="A358" s="3"/>
      <c r="B358" s="3"/>
      <c r="C358" s="3"/>
      <c r="D358" s="3"/>
      <c r="E358" s="3"/>
      <c r="F358" s="3"/>
      <c r="G358" s="23"/>
      <c r="H358" s="24"/>
      <c r="I358" s="3"/>
      <c r="J358" s="3"/>
      <c r="K358" s="3"/>
      <c r="L358" s="3"/>
      <c r="M358" s="3"/>
      <c r="N358" s="3"/>
      <c r="O358" s="3"/>
      <c r="P358" s="3"/>
      <c r="Q358" s="3"/>
      <c r="R358" s="3"/>
      <c r="S358" s="3"/>
      <c r="T358" s="3"/>
      <c r="U358" s="3"/>
      <c r="V358" s="3"/>
      <c r="W358" s="3"/>
      <c r="X358" s="3"/>
      <c r="Y358" s="3"/>
    </row>
    <row r="359" ht="14.25" customHeight="1">
      <c r="A359" s="3"/>
      <c r="B359" s="3"/>
      <c r="C359" s="3"/>
      <c r="D359" s="3"/>
      <c r="E359" s="3"/>
      <c r="F359" s="3"/>
      <c r="G359" s="23"/>
      <c r="H359" s="24"/>
      <c r="I359" s="3"/>
      <c r="J359" s="3"/>
      <c r="K359" s="3"/>
      <c r="L359" s="3"/>
      <c r="M359" s="3"/>
      <c r="N359" s="3"/>
      <c r="O359" s="3"/>
      <c r="P359" s="3"/>
      <c r="Q359" s="3"/>
      <c r="R359" s="3"/>
      <c r="S359" s="3"/>
      <c r="T359" s="3"/>
      <c r="U359" s="3"/>
      <c r="V359" s="3"/>
      <c r="W359" s="3"/>
      <c r="X359" s="3"/>
      <c r="Y359" s="3"/>
    </row>
    <row r="360" ht="14.25" customHeight="1">
      <c r="A360" s="3"/>
      <c r="B360" s="3"/>
      <c r="C360" s="3"/>
      <c r="D360" s="3"/>
      <c r="E360" s="3"/>
      <c r="F360" s="3"/>
      <c r="G360" s="23"/>
      <c r="H360" s="24"/>
      <c r="I360" s="3"/>
      <c r="J360" s="3"/>
      <c r="K360" s="3"/>
      <c r="L360" s="3"/>
      <c r="M360" s="3"/>
      <c r="N360" s="3"/>
      <c r="O360" s="3"/>
      <c r="P360" s="3"/>
      <c r="Q360" s="3"/>
      <c r="R360" s="3"/>
      <c r="S360" s="3"/>
      <c r="T360" s="3"/>
      <c r="U360" s="3"/>
      <c r="V360" s="3"/>
      <c r="W360" s="3"/>
      <c r="X360" s="3"/>
      <c r="Y360" s="3"/>
    </row>
    <row r="361" ht="14.25" customHeight="1">
      <c r="A361" s="3"/>
      <c r="B361" s="3"/>
      <c r="C361" s="3"/>
      <c r="D361" s="3"/>
      <c r="E361" s="3"/>
      <c r="F361" s="3"/>
      <c r="G361" s="23"/>
      <c r="H361" s="24"/>
      <c r="I361" s="3"/>
      <c r="J361" s="3"/>
      <c r="K361" s="3"/>
      <c r="L361" s="3"/>
      <c r="M361" s="3"/>
      <c r="N361" s="3"/>
      <c r="O361" s="3"/>
      <c r="P361" s="3"/>
      <c r="Q361" s="3"/>
      <c r="R361" s="3"/>
      <c r="S361" s="3"/>
      <c r="T361" s="3"/>
      <c r="U361" s="3"/>
      <c r="V361" s="3"/>
      <c r="W361" s="3"/>
      <c r="X361" s="3"/>
      <c r="Y361" s="3"/>
    </row>
    <row r="362" ht="14.25" customHeight="1">
      <c r="A362" s="3"/>
      <c r="B362" s="3"/>
      <c r="C362" s="3"/>
      <c r="D362" s="3"/>
      <c r="E362" s="3"/>
      <c r="F362" s="3"/>
      <c r="G362" s="23"/>
      <c r="H362" s="24"/>
      <c r="I362" s="3"/>
      <c r="J362" s="3"/>
      <c r="K362" s="3"/>
      <c r="L362" s="3"/>
      <c r="M362" s="3"/>
      <c r="N362" s="3"/>
      <c r="O362" s="3"/>
      <c r="P362" s="3"/>
      <c r="Q362" s="3"/>
      <c r="R362" s="3"/>
      <c r="S362" s="3"/>
      <c r="T362" s="3"/>
      <c r="U362" s="3"/>
      <c r="V362" s="3"/>
      <c r="W362" s="3"/>
      <c r="X362" s="3"/>
      <c r="Y362" s="3"/>
    </row>
    <row r="363" ht="14.25" customHeight="1">
      <c r="A363" s="3"/>
      <c r="B363" s="3"/>
      <c r="C363" s="3"/>
      <c r="D363" s="3"/>
      <c r="E363" s="3"/>
      <c r="F363" s="3"/>
      <c r="G363" s="23"/>
      <c r="H363" s="24"/>
      <c r="I363" s="3"/>
      <c r="J363" s="3"/>
      <c r="K363" s="3"/>
      <c r="L363" s="3"/>
      <c r="M363" s="3"/>
      <c r="N363" s="3"/>
      <c r="O363" s="3"/>
      <c r="P363" s="3"/>
      <c r="Q363" s="3"/>
      <c r="R363" s="3"/>
      <c r="S363" s="3"/>
      <c r="T363" s="3"/>
      <c r="U363" s="3"/>
      <c r="V363" s="3"/>
      <c r="W363" s="3"/>
      <c r="X363" s="3"/>
      <c r="Y363" s="3"/>
    </row>
    <row r="364" ht="14.25" customHeight="1">
      <c r="A364" s="3"/>
      <c r="B364" s="3"/>
      <c r="C364" s="3"/>
      <c r="D364" s="3"/>
      <c r="E364" s="3"/>
      <c r="F364" s="3"/>
      <c r="G364" s="23"/>
      <c r="H364" s="24"/>
      <c r="I364" s="3"/>
      <c r="J364" s="3"/>
      <c r="K364" s="3"/>
      <c r="L364" s="3"/>
      <c r="M364" s="3"/>
      <c r="N364" s="3"/>
      <c r="O364" s="3"/>
      <c r="P364" s="3"/>
      <c r="Q364" s="3"/>
      <c r="R364" s="3"/>
      <c r="S364" s="3"/>
      <c r="T364" s="3"/>
      <c r="U364" s="3"/>
      <c r="V364" s="3"/>
      <c r="W364" s="3"/>
      <c r="X364" s="3"/>
      <c r="Y364" s="3"/>
    </row>
    <row r="365" ht="14.25" customHeight="1">
      <c r="A365" s="3"/>
      <c r="B365" s="3"/>
      <c r="C365" s="3"/>
      <c r="D365" s="3"/>
      <c r="E365" s="3"/>
      <c r="F365" s="3"/>
      <c r="G365" s="23"/>
      <c r="H365" s="24"/>
      <c r="I365" s="3"/>
      <c r="J365" s="3"/>
      <c r="K365" s="3"/>
      <c r="L365" s="3"/>
      <c r="M365" s="3"/>
      <c r="N365" s="3"/>
      <c r="O365" s="3"/>
      <c r="P365" s="3"/>
      <c r="Q365" s="3"/>
      <c r="R365" s="3"/>
      <c r="S365" s="3"/>
      <c r="T365" s="3"/>
      <c r="U365" s="3"/>
      <c r="V365" s="3"/>
      <c r="W365" s="3"/>
      <c r="X365" s="3"/>
      <c r="Y365" s="3"/>
    </row>
    <row r="366" ht="14.25" customHeight="1">
      <c r="A366" s="3"/>
      <c r="B366" s="3"/>
      <c r="C366" s="3"/>
      <c r="D366" s="3"/>
      <c r="E366" s="3"/>
      <c r="F366" s="3"/>
      <c r="G366" s="23"/>
      <c r="H366" s="24"/>
      <c r="I366" s="3"/>
      <c r="J366" s="3"/>
      <c r="K366" s="3"/>
      <c r="L366" s="3"/>
      <c r="M366" s="3"/>
      <c r="N366" s="3"/>
      <c r="O366" s="3"/>
      <c r="P366" s="3"/>
      <c r="Q366" s="3"/>
      <c r="R366" s="3"/>
      <c r="S366" s="3"/>
      <c r="T366" s="3"/>
      <c r="U366" s="3"/>
      <c r="V366" s="3"/>
      <c r="W366" s="3"/>
      <c r="X366" s="3"/>
      <c r="Y366" s="3"/>
    </row>
    <row r="367" ht="14.25" customHeight="1">
      <c r="A367" s="3"/>
      <c r="B367" s="3"/>
      <c r="C367" s="3"/>
      <c r="D367" s="3"/>
      <c r="E367" s="3"/>
      <c r="F367" s="3"/>
      <c r="G367" s="23"/>
      <c r="H367" s="24"/>
      <c r="I367" s="3"/>
      <c r="J367" s="3"/>
      <c r="K367" s="3"/>
      <c r="L367" s="3"/>
      <c r="M367" s="3"/>
      <c r="N367" s="3"/>
      <c r="O367" s="3"/>
      <c r="P367" s="3"/>
      <c r="Q367" s="3"/>
      <c r="R367" s="3"/>
      <c r="S367" s="3"/>
      <c r="T367" s="3"/>
      <c r="U367" s="3"/>
      <c r="V367" s="3"/>
      <c r="W367" s="3"/>
      <c r="X367" s="3"/>
      <c r="Y367" s="3"/>
    </row>
    <row r="368" ht="14.25" customHeight="1">
      <c r="A368" s="3"/>
      <c r="B368" s="3"/>
      <c r="C368" s="3"/>
      <c r="D368" s="3"/>
      <c r="E368" s="3"/>
      <c r="F368" s="3"/>
      <c r="G368" s="23"/>
      <c r="H368" s="24"/>
      <c r="I368" s="3"/>
      <c r="J368" s="3"/>
      <c r="K368" s="3"/>
      <c r="L368" s="3"/>
      <c r="M368" s="3"/>
      <c r="N368" s="3"/>
      <c r="O368" s="3"/>
      <c r="P368" s="3"/>
      <c r="Q368" s="3"/>
      <c r="R368" s="3"/>
      <c r="S368" s="3"/>
      <c r="T368" s="3"/>
      <c r="U368" s="3"/>
      <c r="V368" s="3"/>
      <c r="W368" s="3"/>
      <c r="X368" s="3"/>
      <c r="Y368" s="3"/>
    </row>
    <row r="369" ht="14.25" customHeight="1">
      <c r="A369" s="3"/>
      <c r="B369" s="3"/>
      <c r="C369" s="3"/>
      <c r="D369" s="3"/>
      <c r="E369" s="3"/>
      <c r="F369" s="3"/>
      <c r="G369" s="23"/>
      <c r="H369" s="24"/>
      <c r="I369" s="3"/>
      <c r="J369" s="3"/>
      <c r="K369" s="3"/>
      <c r="L369" s="3"/>
      <c r="M369" s="3"/>
      <c r="N369" s="3"/>
      <c r="O369" s="3"/>
      <c r="P369" s="3"/>
      <c r="Q369" s="3"/>
      <c r="R369" s="3"/>
      <c r="S369" s="3"/>
      <c r="T369" s="3"/>
      <c r="U369" s="3"/>
      <c r="V369" s="3"/>
      <c r="W369" s="3"/>
      <c r="X369" s="3"/>
      <c r="Y369" s="3"/>
    </row>
    <row r="370" ht="14.25" customHeight="1">
      <c r="A370" s="3"/>
      <c r="B370" s="3"/>
      <c r="C370" s="3"/>
      <c r="D370" s="3"/>
      <c r="E370" s="3"/>
      <c r="F370" s="3"/>
      <c r="G370" s="23"/>
      <c r="H370" s="24"/>
      <c r="I370" s="3"/>
      <c r="J370" s="3"/>
      <c r="K370" s="3"/>
      <c r="L370" s="3"/>
      <c r="M370" s="3"/>
      <c r="N370" s="3"/>
      <c r="O370" s="3"/>
      <c r="P370" s="3"/>
      <c r="Q370" s="3"/>
      <c r="R370" s="3"/>
      <c r="S370" s="3"/>
      <c r="T370" s="3"/>
      <c r="U370" s="3"/>
      <c r="V370" s="3"/>
      <c r="W370" s="3"/>
      <c r="X370" s="3"/>
      <c r="Y370" s="3"/>
    </row>
    <row r="371" ht="14.25" customHeight="1">
      <c r="A371" s="3"/>
      <c r="B371" s="3"/>
      <c r="C371" s="3"/>
      <c r="D371" s="3"/>
      <c r="E371" s="3"/>
      <c r="F371" s="3"/>
      <c r="G371" s="23"/>
      <c r="H371" s="24"/>
      <c r="I371" s="3"/>
      <c r="J371" s="3"/>
      <c r="K371" s="3"/>
      <c r="L371" s="3"/>
      <c r="M371" s="3"/>
      <c r="N371" s="3"/>
      <c r="O371" s="3"/>
      <c r="P371" s="3"/>
      <c r="Q371" s="3"/>
      <c r="R371" s="3"/>
      <c r="S371" s="3"/>
      <c r="T371" s="3"/>
      <c r="U371" s="3"/>
      <c r="V371" s="3"/>
      <c r="W371" s="3"/>
      <c r="X371" s="3"/>
      <c r="Y371" s="3"/>
    </row>
    <row r="372" ht="14.25" customHeight="1">
      <c r="A372" s="3"/>
      <c r="B372" s="3"/>
      <c r="C372" s="3"/>
      <c r="D372" s="3"/>
      <c r="E372" s="3"/>
      <c r="F372" s="3"/>
      <c r="G372" s="23"/>
      <c r="H372" s="24"/>
      <c r="I372" s="3"/>
      <c r="J372" s="3"/>
      <c r="K372" s="3"/>
      <c r="L372" s="3"/>
      <c r="M372" s="3"/>
      <c r="N372" s="3"/>
      <c r="O372" s="3"/>
      <c r="P372" s="3"/>
      <c r="Q372" s="3"/>
      <c r="R372" s="3"/>
      <c r="S372" s="3"/>
      <c r="T372" s="3"/>
      <c r="U372" s="3"/>
      <c r="V372" s="3"/>
      <c r="W372" s="3"/>
      <c r="X372" s="3"/>
      <c r="Y372" s="3"/>
    </row>
    <row r="373" ht="14.25" customHeight="1">
      <c r="A373" s="3"/>
      <c r="B373" s="3"/>
      <c r="C373" s="3"/>
      <c r="D373" s="3"/>
      <c r="E373" s="3"/>
      <c r="F373" s="3"/>
      <c r="G373" s="23"/>
      <c r="H373" s="24"/>
      <c r="I373" s="3"/>
      <c r="J373" s="3"/>
      <c r="K373" s="3"/>
      <c r="L373" s="3"/>
      <c r="M373" s="3"/>
      <c r="N373" s="3"/>
      <c r="O373" s="3"/>
      <c r="P373" s="3"/>
      <c r="Q373" s="3"/>
      <c r="R373" s="3"/>
      <c r="S373" s="3"/>
      <c r="T373" s="3"/>
      <c r="U373" s="3"/>
      <c r="V373" s="3"/>
      <c r="W373" s="3"/>
      <c r="X373" s="3"/>
      <c r="Y373" s="3"/>
    </row>
    <row r="374" ht="14.25" customHeight="1">
      <c r="A374" s="3"/>
      <c r="B374" s="3"/>
      <c r="C374" s="3"/>
      <c r="D374" s="3"/>
      <c r="E374" s="3"/>
      <c r="F374" s="3"/>
      <c r="G374" s="23"/>
      <c r="H374" s="24"/>
      <c r="I374" s="3"/>
      <c r="J374" s="3"/>
      <c r="K374" s="3"/>
      <c r="L374" s="3"/>
      <c r="M374" s="3"/>
      <c r="N374" s="3"/>
      <c r="O374" s="3"/>
      <c r="P374" s="3"/>
      <c r="Q374" s="3"/>
      <c r="R374" s="3"/>
      <c r="S374" s="3"/>
      <c r="T374" s="3"/>
      <c r="U374" s="3"/>
      <c r="V374" s="3"/>
      <c r="W374" s="3"/>
      <c r="X374" s="3"/>
      <c r="Y374" s="3"/>
    </row>
    <row r="375" ht="14.25" customHeight="1">
      <c r="A375" s="3"/>
      <c r="B375" s="3"/>
      <c r="C375" s="3"/>
      <c r="D375" s="3"/>
      <c r="E375" s="3"/>
      <c r="F375" s="3"/>
      <c r="G375" s="23"/>
      <c r="H375" s="24"/>
      <c r="I375" s="3"/>
      <c r="J375" s="3"/>
      <c r="K375" s="3"/>
      <c r="L375" s="3"/>
      <c r="M375" s="3"/>
      <c r="N375" s="3"/>
      <c r="O375" s="3"/>
      <c r="P375" s="3"/>
      <c r="Q375" s="3"/>
      <c r="R375" s="3"/>
      <c r="S375" s="3"/>
      <c r="T375" s="3"/>
      <c r="U375" s="3"/>
      <c r="V375" s="3"/>
      <c r="W375" s="3"/>
      <c r="X375" s="3"/>
      <c r="Y375" s="3"/>
    </row>
    <row r="376" ht="14.25" customHeight="1">
      <c r="A376" s="3"/>
      <c r="B376" s="3"/>
      <c r="C376" s="3"/>
      <c r="D376" s="3"/>
      <c r="E376" s="3"/>
      <c r="F376" s="3"/>
      <c r="G376" s="23"/>
      <c r="H376" s="24"/>
      <c r="I376" s="3"/>
      <c r="J376" s="3"/>
      <c r="K376" s="3"/>
      <c r="L376" s="3"/>
      <c r="M376" s="3"/>
      <c r="N376" s="3"/>
      <c r="O376" s="3"/>
      <c r="P376" s="3"/>
      <c r="Q376" s="3"/>
      <c r="R376" s="3"/>
      <c r="S376" s="3"/>
      <c r="T376" s="3"/>
      <c r="U376" s="3"/>
      <c r="V376" s="3"/>
      <c r="W376" s="3"/>
      <c r="X376" s="3"/>
      <c r="Y376" s="3"/>
    </row>
    <row r="377" ht="14.25" customHeight="1">
      <c r="A377" s="3"/>
      <c r="B377" s="3"/>
      <c r="C377" s="3"/>
      <c r="D377" s="3"/>
      <c r="E377" s="3"/>
      <c r="F377" s="3"/>
      <c r="G377" s="23"/>
      <c r="H377" s="24"/>
      <c r="I377" s="3"/>
      <c r="J377" s="3"/>
      <c r="K377" s="3"/>
      <c r="L377" s="3"/>
      <c r="M377" s="3"/>
      <c r="N377" s="3"/>
      <c r="O377" s="3"/>
      <c r="P377" s="3"/>
      <c r="Q377" s="3"/>
      <c r="R377" s="3"/>
      <c r="S377" s="3"/>
      <c r="T377" s="3"/>
      <c r="U377" s="3"/>
      <c r="V377" s="3"/>
      <c r="W377" s="3"/>
      <c r="X377" s="3"/>
      <c r="Y377" s="3"/>
    </row>
    <row r="378" ht="14.25" customHeight="1">
      <c r="A378" s="3"/>
      <c r="B378" s="3"/>
      <c r="C378" s="3"/>
      <c r="D378" s="3"/>
      <c r="E378" s="3"/>
      <c r="F378" s="3"/>
      <c r="G378" s="23"/>
      <c r="H378" s="24"/>
      <c r="I378" s="3"/>
      <c r="J378" s="3"/>
      <c r="K378" s="3"/>
      <c r="L378" s="3"/>
      <c r="M378" s="3"/>
      <c r="N378" s="3"/>
      <c r="O378" s="3"/>
      <c r="P378" s="3"/>
      <c r="Q378" s="3"/>
      <c r="R378" s="3"/>
      <c r="S378" s="3"/>
      <c r="T378" s="3"/>
      <c r="U378" s="3"/>
      <c r="V378" s="3"/>
      <c r="W378" s="3"/>
      <c r="X378" s="3"/>
      <c r="Y378" s="3"/>
    </row>
    <row r="379" ht="14.25" customHeight="1">
      <c r="A379" s="3"/>
      <c r="B379" s="3"/>
      <c r="C379" s="3"/>
      <c r="D379" s="3"/>
      <c r="E379" s="3"/>
      <c r="F379" s="3"/>
      <c r="G379" s="23"/>
      <c r="H379" s="24"/>
      <c r="I379" s="3"/>
      <c r="J379" s="3"/>
      <c r="K379" s="3"/>
      <c r="L379" s="3"/>
      <c r="M379" s="3"/>
      <c r="N379" s="3"/>
      <c r="O379" s="3"/>
      <c r="P379" s="3"/>
      <c r="Q379" s="3"/>
      <c r="R379" s="3"/>
      <c r="S379" s="3"/>
      <c r="T379" s="3"/>
      <c r="U379" s="3"/>
      <c r="V379" s="3"/>
      <c r="W379" s="3"/>
      <c r="X379" s="3"/>
      <c r="Y379" s="3"/>
    </row>
    <row r="380" ht="14.25" customHeight="1">
      <c r="A380" s="3"/>
      <c r="B380" s="3"/>
      <c r="C380" s="3"/>
      <c r="D380" s="3"/>
      <c r="E380" s="3"/>
      <c r="F380" s="3"/>
      <c r="G380" s="23"/>
      <c r="H380" s="24"/>
      <c r="I380" s="3"/>
      <c r="J380" s="3"/>
      <c r="K380" s="3"/>
      <c r="L380" s="3"/>
      <c r="M380" s="3"/>
      <c r="N380" s="3"/>
      <c r="O380" s="3"/>
      <c r="P380" s="3"/>
      <c r="Q380" s="3"/>
      <c r="R380" s="3"/>
      <c r="S380" s="3"/>
      <c r="T380" s="3"/>
      <c r="U380" s="3"/>
      <c r="V380" s="3"/>
      <c r="W380" s="3"/>
      <c r="X380" s="3"/>
      <c r="Y380" s="3"/>
    </row>
    <row r="381" ht="14.25" customHeight="1">
      <c r="A381" s="3"/>
      <c r="B381" s="3"/>
      <c r="C381" s="3"/>
      <c r="D381" s="3"/>
      <c r="E381" s="3"/>
      <c r="F381" s="3"/>
      <c r="G381" s="23"/>
      <c r="H381" s="24"/>
      <c r="I381" s="3"/>
      <c r="J381" s="3"/>
      <c r="K381" s="3"/>
      <c r="L381" s="3"/>
      <c r="M381" s="3"/>
      <c r="N381" s="3"/>
      <c r="O381" s="3"/>
      <c r="P381" s="3"/>
      <c r="Q381" s="3"/>
      <c r="R381" s="3"/>
      <c r="S381" s="3"/>
      <c r="T381" s="3"/>
      <c r="U381" s="3"/>
      <c r="V381" s="3"/>
      <c r="W381" s="3"/>
      <c r="X381" s="3"/>
      <c r="Y381" s="3"/>
    </row>
    <row r="382" ht="14.25" customHeight="1">
      <c r="A382" s="3"/>
      <c r="B382" s="3"/>
      <c r="C382" s="3"/>
      <c r="D382" s="3"/>
      <c r="E382" s="3"/>
      <c r="F382" s="3"/>
      <c r="G382" s="23"/>
      <c r="H382" s="24"/>
      <c r="I382" s="3"/>
      <c r="J382" s="3"/>
      <c r="K382" s="3"/>
      <c r="L382" s="3"/>
      <c r="M382" s="3"/>
      <c r="N382" s="3"/>
      <c r="O382" s="3"/>
      <c r="P382" s="3"/>
      <c r="Q382" s="3"/>
      <c r="R382" s="3"/>
      <c r="S382" s="3"/>
      <c r="T382" s="3"/>
      <c r="U382" s="3"/>
      <c r="V382" s="3"/>
      <c r="W382" s="3"/>
      <c r="X382" s="3"/>
      <c r="Y382" s="3"/>
    </row>
    <row r="383" ht="14.25" customHeight="1">
      <c r="A383" s="3"/>
      <c r="B383" s="3"/>
      <c r="C383" s="3"/>
      <c r="D383" s="3"/>
      <c r="E383" s="3"/>
      <c r="F383" s="3"/>
      <c r="G383" s="23"/>
      <c r="H383" s="24"/>
      <c r="I383" s="3"/>
      <c r="J383" s="3"/>
      <c r="K383" s="3"/>
      <c r="L383" s="3"/>
      <c r="M383" s="3"/>
      <c r="N383" s="3"/>
      <c r="O383" s="3"/>
      <c r="P383" s="3"/>
      <c r="Q383" s="3"/>
      <c r="R383" s="3"/>
      <c r="S383" s="3"/>
      <c r="T383" s="3"/>
      <c r="U383" s="3"/>
      <c r="V383" s="3"/>
      <c r="W383" s="3"/>
      <c r="X383" s="3"/>
      <c r="Y383" s="3"/>
    </row>
    <row r="384" ht="14.25" customHeight="1">
      <c r="A384" s="3"/>
      <c r="B384" s="3"/>
      <c r="C384" s="3"/>
      <c r="D384" s="3"/>
      <c r="E384" s="3"/>
      <c r="F384" s="3"/>
      <c r="G384" s="23"/>
      <c r="H384" s="24"/>
      <c r="I384" s="3"/>
      <c r="J384" s="3"/>
      <c r="K384" s="3"/>
      <c r="L384" s="3"/>
      <c r="M384" s="3"/>
      <c r="N384" s="3"/>
      <c r="O384" s="3"/>
      <c r="P384" s="3"/>
      <c r="Q384" s="3"/>
      <c r="R384" s="3"/>
      <c r="S384" s="3"/>
      <c r="T384" s="3"/>
      <c r="U384" s="3"/>
      <c r="V384" s="3"/>
      <c r="W384" s="3"/>
      <c r="X384" s="3"/>
      <c r="Y384" s="3"/>
    </row>
    <row r="385" ht="14.25" customHeight="1">
      <c r="A385" s="3"/>
      <c r="B385" s="3"/>
      <c r="C385" s="3"/>
      <c r="D385" s="3"/>
      <c r="E385" s="3"/>
      <c r="F385" s="3"/>
      <c r="G385" s="23"/>
      <c r="H385" s="24"/>
      <c r="I385" s="3"/>
      <c r="J385" s="3"/>
      <c r="K385" s="3"/>
      <c r="L385" s="3"/>
      <c r="M385" s="3"/>
      <c r="N385" s="3"/>
      <c r="O385" s="3"/>
      <c r="P385" s="3"/>
      <c r="Q385" s="3"/>
      <c r="R385" s="3"/>
      <c r="S385" s="3"/>
      <c r="T385" s="3"/>
      <c r="U385" s="3"/>
      <c r="V385" s="3"/>
      <c r="W385" s="3"/>
      <c r="X385" s="3"/>
      <c r="Y385" s="3"/>
    </row>
    <row r="386" ht="14.25" customHeight="1">
      <c r="A386" s="3"/>
      <c r="B386" s="3"/>
      <c r="C386" s="3"/>
      <c r="D386" s="3"/>
      <c r="E386" s="3"/>
      <c r="F386" s="3"/>
      <c r="G386" s="23"/>
      <c r="H386" s="24"/>
      <c r="I386" s="3"/>
      <c r="J386" s="3"/>
      <c r="K386" s="3"/>
      <c r="L386" s="3"/>
      <c r="M386" s="3"/>
      <c r="N386" s="3"/>
      <c r="O386" s="3"/>
      <c r="P386" s="3"/>
      <c r="Q386" s="3"/>
      <c r="R386" s="3"/>
      <c r="S386" s="3"/>
      <c r="T386" s="3"/>
      <c r="U386" s="3"/>
      <c r="V386" s="3"/>
      <c r="W386" s="3"/>
      <c r="X386" s="3"/>
      <c r="Y386" s="3"/>
    </row>
    <row r="387" ht="14.25" customHeight="1">
      <c r="A387" s="3"/>
      <c r="B387" s="3"/>
      <c r="C387" s="3"/>
      <c r="D387" s="3"/>
      <c r="E387" s="3"/>
      <c r="F387" s="3"/>
      <c r="G387" s="23"/>
      <c r="H387" s="24"/>
      <c r="I387" s="3"/>
      <c r="J387" s="3"/>
      <c r="K387" s="3"/>
      <c r="L387" s="3"/>
      <c r="M387" s="3"/>
      <c r="N387" s="3"/>
      <c r="O387" s="3"/>
      <c r="P387" s="3"/>
      <c r="Q387" s="3"/>
      <c r="R387" s="3"/>
      <c r="S387" s="3"/>
      <c r="T387" s="3"/>
      <c r="U387" s="3"/>
      <c r="V387" s="3"/>
      <c r="W387" s="3"/>
      <c r="X387" s="3"/>
      <c r="Y387" s="3"/>
    </row>
    <row r="388" ht="14.25" customHeight="1">
      <c r="A388" s="3"/>
      <c r="B388" s="3"/>
      <c r="C388" s="3"/>
      <c r="D388" s="3"/>
      <c r="E388" s="3"/>
      <c r="F388" s="3"/>
      <c r="G388" s="23"/>
      <c r="H388" s="24"/>
      <c r="I388" s="3"/>
      <c r="J388" s="3"/>
      <c r="K388" s="3"/>
      <c r="L388" s="3"/>
      <c r="M388" s="3"/>
      <c r="N388" s="3"/>
      <c r="O388" s="3"/>
      <c r="P388" s="3"/>
      <c r="Q388" s="3"/>
      <c r="R388" s="3"/>
      <c r="S388" s="3"/>
      <c r="T388" s="3"/>
      <c r="U388" s="3"/>
      <c r="V388" s="3"/>
      <c r="W388" s="3"/>
      <c r="X388" s="3"/>
      <c r="Y388" s="3"/>
    </row>
    <row r="389" ht="14.25" customHeight="1">
      <c r="A389" s="3"/>
      <c r="B389" s="3"/>
      <c r="C389" s="3"/>
      <c r="D389" s="3"/>
      <c r="E389" s="3"/>
      <c r="F389" s="3"/>
      <c r="G389" s="23"/>
      <c r="H389" s="24"/>
      <c r="I389" s="3"/>
      <c r="J389" s="3"/>
      <c r="K389" s="3"/>
      <c r="L389" s="3"/>
      <c r="M389" s="3"/>
      <c r="N389" s="3"/>
      <c r="O389" s="3"/>
      <c r="P389" s="3"/>
      <c r="Q389" s="3"/>
      <c r="R389" s="3"/>
      <c r="S389" s="3"/>
      <c r="T389" s="3"/>
      <c r="U389" s="3"/>
      <c r="V389" s="3"/>
      <c r="W389" s="3"/>
      <c r="X389" s="3"/>
      <c r="Y389" s="3"/>
    </row>
    <row r="390" ht="14.25" customHeight="1">
      <c r="A390" s="3"/>
      <c r="B390" s="3"/>
      <c r="C390" s="3"/>
      <c r="D390" s="3"/>
      <c r="E390" s="3"/>
      <c r="F390" s="3"/>
      <c r="G390" s="23"/>
      <c r="H390" s="24"/>
      <c r="I390" s="3"/>
      <c r="J390" s="3"/>
      <c r="K390" s="3"/>
      <c r="L390" s="3"/>
      <c r="M390" s="3"/>
      <c r="N390" s="3"/>
      <c r="O390" s="3"/>
      <c r="P390" s="3"/>
      <c r="Q390" s="3"/>
      <c r="R390" s="3"/>
      <c r="S390" s="3"/>
      <c r="T390" s="3"/>
      <c r="U390" s="3"/>
      <c r="V390" s="3"/>
      <c r="W390" s="3"/>
      <c r="X390" s="3"/>
      <c r="Y390" s="3"/>
    </row>
    <row r="391" ht="14.25" customHeight="1">
      <c r="A391" s="3"/>
      <c r="B391" s="3"/>
      <c r="C391" s="3"/>
      <c r="D391" s="3"/>
      <c r="E391" s="3"/>
      <c r="F391" s="3"/>
      <c r="G391" s="23"/>
      <c r="H391" s="24"/>
      <c r="I391" s="3"/>
      <c r="J391" s="3"/>
      <c r="K391" s="3"/>
      <c r="L391" s="3"/>
      <c r="M391" s="3"/>
      <c r="N391" s="3"/>
      <c r="O391" s="3"/>
      <c r="P391" s="3"/>
      <c r="Q391" s="3"/>
      <c r="R391" s="3"/>
      <c r="S391" s="3"/>
      <c r="T391" s="3"/>
      <c r="U391" s="3"/>
      <c r="V391" s="3"/>
      <c r="W391" s="3"/>
      <c r="X391" s="3"/>
      <c r="Y391" s="3"/>
    </row>
    <row r="392" ht="14.25" customHeight="1">
      <c r="A392" s="3"/>
      <c r="B392" s="3"/>
      <c r="C392" s="3"/>
      <c r="D392" s="3"/>
      <c r="E392" s="3"/>
      <c r="F392" s="3"/>
      <c r="G392" s="23"/>
      <c r="H392" s="24"/>
      <c r="I392" s="3"/>
      <c r="J392" s="3"/>
      <c r="K392" s="3"/>
      <c r="L392" s="3"/>
      <c r="M392" s="3"/>
      <c r="N392" s="3"/>
      <c r="O392" s="3"/>
      <c r="P392" s="3"/>
      <c r="Q392" s="3"/>
      <c r="R392" s="3"/>
      <c r="S392" s="3"/>
      <c r="T392" s="3"/>
      <c r="U392" s="3"/>
      <c r="V392" s="3"/>
      <c r="W392" s="3"/>
      <c r="X392" s="3"/>
      <c r="Y392" s="3"/>
    </row>
    <row r="393" ht="14.25" customHeight="1">
      <c r="A393" s="3"/>
      <c r="B393" s="3"/>
      <c r="C393" s="3"/>
      <c r="D393" s="3"/>
      <c r="E393" s="3"/>
      <c r="F393" s="3"/>
      <c r="G393" s="23"/>
      <c r="H393" s="24"/>
      <c r="I393" s="3"/>
      <c r="J393" s="3"/>
      <c r="K393" s="3"/>
      <c r="L393" s="3"/>
      <c r="M393" s="3"/>
      <c r="N393" s="3"/>
      <c r="O393" s="3"/>
      <c r="P393" s="3"/>
      <c r="Q393" s="3"/>
      <c r="R393" s="3"/>
      <c r="S393" s="3"/>
      <c r="T393" s="3"/>
      <c r="U393" s="3"/>
      <c r="V393" s="3"/>
      <c r="W393" s="3"/>
      <c r="X393" s="3"/>
      <c r="Y393" s="3"/>
    </row>
    <row r="394" ht="14.25" customHeight="1">
      <c r="A394" s="3"/>
      <c r="B394" s="3"/>
      <c r="C394" s="3"/>
      <c r="D394" s="3"/>
      <c r="E394" s="3"/>
      <c r="F394" s="3"/>
      <c r="G394" s="23"/>
      <c r="H394" s="24"/>
      <c r="I394" s="3"/>
      <c r="J394" s="3"/>
      <c r="K394" s="3"/>
      <c r="L394" s="3"/>
      <c r="M394" s="3"/>
      <c r="N394" s="3"/>
      <c r="O394" s="3"/>
      <c r="P394" s="3"/>
      <c r="Q394" s="3"/>
      <c r="R394" s="3"/>
      <c r="S394" s="3"/>
      <c r="T394" s="3"/>
      <c r="U394" s="3"/>
      <c r="V394" s="3"/>
      <c r="W394" s="3"/>
      <c r="X394" s="3"/>
      <c r="Y394" s="3"/>
    </row>
    <row r="395" ht="14.25" customHeight="1">
      <c r="A395" s="3"/>
      <c r="B395" s="3"/>
      <c r="C395" s="3"/>
      <c r="D395" s="3"/>
      <c r="E395" s="3"/>
      <c r="F395" s="3"/>
      <c r="G395" s="23"/>
      <c r="H395" s="24"/>
      <c r="I395" s="3"/>
      <c r="J395" s="3"/>
      <c r="K395" s="3"/>
      <c r="L395" s="3"/>
      <c r="M395" s="3"/>
      <c r="N395" s="3"/>
      <c r="O395" s="3"/>
      <c r="P395" s="3"/>
      <c r="Q395" s="3"/>
      <c r="R395" s="3"/>
      <c r="S395" s="3"/>
      <c r="T395" s="3"/>
      <c r="U395" s="3"/>
      <c r="V395" s="3"/>
      <c r="W395" s="3"/>
      <c r="X395" s="3"/>
      <c r="Y395" s="3"/>
    </row>
    <row r="396" ht="14.25" customHeight="1">
      <c r="A396" s="3"/>
      <c r="B396" s="3"/>
      <c r="C396" s="3"/>
      <c r="D396" s="3"/>
      <c r="E396" s="3"/>
      <c r="F396" s="3"/>
      <c r="G396" s="23"/>
      <c r="H396" s="24"/>
      <c r="I396" s="3"/>
      <c r="J396" s="3"/>
      <c r="K396" s="3"/>
      <c r="L396" s="3"/>
      <c r="M396" s="3"/>
      <c r="N396" s="3"/>
      <c r="O396" s="3"/>
      <c r="P396" s="3"/>
      <c r="Q396" s="3"/>
      <c r="R396" s="3"/>
      <c r="S396" s="3"/>
      <c r="T396" s="3"/>
      <c r="U396" s="3"/>
      <c r="V396" s="3"/>
      <c r="W396" s="3"/>
      <c r="X396" s="3"/>
      <c r="Y396" s="3"/>
    </row>
    <row r="397" ht="14.25" customHeight="1">
      <c r="A397" s="3"/>
      <c r="B397" s="3"/>
      <c r="C397" s="3"/>
      <c r="D397" s="3"/>
      <c r="E397" s="3"/>
      <c r="F397" s="3"/>
      <c r="G397" s="23"/>
      <c r="H397" s="24"/>
      <c r="I397" s="3"/>
      <c r="J397" s="3"/>
      <c r="K397" s="3"/>
      <c r="L397" s="3"/>
      <c r="M397" s="3"/>
      <c r="N397" s="3"/>
      <c r="O397" s="3"/>
      <c r="P397" s="3"/>
      <c r="Q397" s="3"/>
      <c r="R397" s="3"/>
      <c r="S397" s="3"/>
      <c r="T397" s="3"/>
      <c r="U397" s="3"/>
      <c r="V397" s="3"/>
      <c r="W397" s="3"/>
      <c r="X397" s="3"/>
      <c r="Y397" s="3"/>
    </row>
    <row r="398" ht="14.25" customHeight="1">
      <c r="A398" s="3"/>
      <c r="B398" s="3"/>
      <c r="C398" s="3"/>
      <c r="D398" s="3"/>
      <c r="E398" s="3"/>
      <c r="F398" s="3"/>
      <c r="G398" s="23"/>
      <c r="H398" s="24"/>
      <c r="I398" s="3"/>
      <c r="J398" s="3"/>
      <c r="K398" s="3"/>
      <c r="L398" s="3"/>
      <c r="M398" s="3"/>
      <c r="N398" s="3"/>
      <c r="O398" s="3"/>
      <c r="P398" s="3"/>
      <c r="Q398" s="3"/>
      <c r="R398" s="3"/>
      <c r="S398" s="3"/>
      <c r="T398" s="3"/>
      <c r="U398" s="3"/>
      <c r="V398" s="3"/>
      <c r="W398" s="3"/>
      <c r="X398" s="3"/>
      <c r="Y398" s="3"/>
    </row>
    <row r="399" ht="14.25" customHeight="1">
      <c r="A399" s="3"/>
      <c r="B399" s="3"/>
      <c r="C399" s="3"/>
      <c r="D399" s="3"/>
      <c r="E399" s="3"/>
      <c r="F399" s="3"/>
      <c r="G399" s="23"/>
      <c r="H399" s="24"/>
      <c r="I399" s="3"/>
      <c r="J399" s="3"/>
      <c r="K399" s="3"/>
      <c r="L399" s="3"/>
      <c r="M399" s="3"/>
      <c r="N399" s="3"/>
      <c r="O399" s="3"/>
      <c r="P399" s="3"/>
      <c r="Q399" s="3"/>
      <c r="R399" s="3"/>
      <c r="S399" s="3"/>
      <c r="T399" s="3"/>
      <c r="U399" s="3"/>
      <c r="V399" s="3"/>
      <c r="W399" s="3"/>
      <c r="X399" s="3"/>
      <c r="Y399" s="3"/>
    </row>
    <row r="400" ht="14.25" customHeight="1">
      <c r="A400" s="3"/>
      <c r="B400" s="3"/>
      <c r="C400" s="3"/>
      <c r="D400" s="3"/>
      <c r="E400" s="3"/>
      <c r="F400" s="3"/>
      <c r="G400" s="23"/>
      <c r="H400" s="24"/>
      <c r="I400" s="3"/>
      <c r="J400" s="3"/>
      <c r="K400" s="3"/>
      <c r="L400" s="3"/>
      <c r="M400" s="3"/>
      <c r="N400" s="3"/>
      <c r="O400" s="3"/>
      <c r="P400" s="3"/>
      <c r="Q400" s="3"/>
      <c r="R400" s="3"/>
      <c r="S400" s="3"/>
      <c r="T400" s="3"/>
      <c r="U400" s="3"/>
      <c r="V400" s="3"/>
      <c r="W400" s="3"/>
      <c r="X400" s="3"/>
      <c r="Y400" s="3"/>
    </row>
    <row r="401" ht="14.25" customHeight="1">
      <c r="A401" s="3"/>
      <c r="B401" s="3"/>
      <c r="C401" s="3"/>
      <c r="D401" s="3"/>
      <c r="E401" s="3"/>
      <c r="F401" s="3"/>
      <c r="G401" s="23"/>
      <c r="H401" s="24"/>
      <c r="I401" s="3"/>
      <c r="J401" s="3"/>
      <c r="K401" s="3"/>
      <c r="L401" s="3"/>
      <c r="M401" s="3"/>
      <c r="N401" s="3"/>
      <c r="O401" s="3"/>
      <c r="P401" s="3"/>
      <c r="Q401" s="3"/>
      <c r="R401" s="3"/>
      <c r="S401" s="3"/>
      <c r="T401" s="3"/>
      <c r="U401" s="3"/>
      <c r="V401" s="3"/>
      <c r="W401" s="3"/>
      <c r="X401" s="3"/>
      <c r="Y401" s="3"/>
    </row>
    <row r="402" ht="14.25" customHeight="1">
      <c r="A402" s="3"/>
      <c r="B402" s="3"/>
      <c r="C402" s="3"/>
      <c r="D402" s="3"/>
      <c r="E402" s="3"/>
      <c r="F402" s="3"/>
      <c r="G402" s="23"/>
      <c r="H402" s="24"/>
      <c r="I402" s="3"/>
      <c r="J402" s="3"/>
      <c r="K402" s="3"/>
      <c r="L402" s="3"/>
      <c r="M402" s="3"/>
      <c r="N402" s="3"/>
      <c r="O402" s="3"/>
      <c r="P402" s="3"/>
      <c r="Q402" s="3"/>
      <c r="R402" s="3"/>
      <c r="S402" s="3"/>
      <c r="T402" s="3"/>
      <c r="U402" s="3"/>
      <c r="V402" s="3"/>
      <c r="W402" s="3"/>
      <c r="X402" s="3"/>
      <c r="Y402" s="3"/>
    </row>
    <row r="403" ht="14.25" customHeight="1">
      <c r="A403" s="3"/>
      <c r="B403" s="3"/>
      <c r="C403" s="3"/>
      <c r="D403" s="3"/>
      <c r="E403" s="3"/>
      <c r="F403" s="3"/>
      <c r="G403" s="23"/>
      <c r="H403" s="24"/>
      <c r="I403" s="3"/>
      <c r="J403" s="3"/>
      <c r="K403" s="3"/>
      <c r="L403" s="3"/>
      <c r="M403" s="3"/>
      <c r="N403" s="3"/>
      <c r="O403" s="3"/>
      <c r="P403" s="3"/>
      <c r="Q403" s="3"/>
      <c r="R403" s="3"/>
      <c r="S403" s="3"/>
      <c r="T403" s="3"/>
      <c r="U403" s="3"/>
      <c r="V403" s="3"/>
      <c r="W403" s="3"/>
      <c r="X403" s="3"/>
      <c r="Y403" s="3"/>
    </row>
    <row r="404" ht="14.25" customHeight="1">
      <c r="A404" s="3"/>
      <c r="B404" s="3"/>
      <c r="C404" s="3"/>
      <c r="D404" s="3"/>
      <c r="E404" s="3"/>
      <c r="F404" s="3"/>
      <c r="G404" s="23"/>
      <c r="H404" s="24"/>
      <c r="I404" s="3"/>
      <c r="J404" s="3"/>
      <c r="K404" s="3"/>
      <c r="L404" s="3"/>
      <c r="M404" s="3"/>
      <c r="N404" s="3"/>
      <c r="O404" s="3"/>
      <c r="P404" s="3"/>
      <c r="Q404" s="3"/>
      <c r="R404" s="3"/>
      <c r="S404" s="3"/>
      <c r="T404" s="3"/>
      <c r="U404" s="3"/>
      <c r="V404" s="3"/>
      <c r="W404" s="3"/>
      <c r="X404" s="3"/>
      <c r="Y404" s="3"/>
    </row>
    <row r="405" ht="14.25" customHeight="1">
      <c r="A405" s="3"/>
      <c r="B405" s="3"/>
      <c r="C405" s="3"/>
      <c r="D405" s="3"/>
      <c r="E405" s="3"/>
      <c r="F405" s="3"/>
      <c r="G405" s="23"/>
      <c r="H405" s="24"/>
      <c r="I405" s="3"/>
      <c r="J405" s="3"/>
      <c r="K405" s="3"/>
      <c r="L405" s="3"/>
      <c r="M405" s="3"/>
      <c r="N405" s="3"/>
      <c r="O405" s="3"/>
      <c r="P405" s="3"/>
      <c r="Q405" s="3"/>
      <c r="R405" s="3"/>
      <c r="S405" s="3"/>
      <c r="T405" s="3"/>
      <c r="U405" s="3"/>
      <c r="V405" s="3"/>
      <c r="W405" s="3"/>
      <c r="X405" s="3"/>
      <c r="Y405" s="3"/>
    </row>
    <row r="406" ht="14.25" customHeight="1">
      <c r="A406" s="3"/>
      <c r="B406" s="3"/>
      <c r="C406" s="3"/>
      <c r="D406" s="3"/>
      <c r="E406" s="3"/>
      <c r="F406" s="3"/>
      <c r="G406" s="23"/>
      <c r="H406" s="24"/>
      <c r="I406" s="3"/>
      <c r="J406" s="3"/>
      <c r="K406" s="3"/>
      <c r="L406" s="3"/>
      <c r="M406" s="3"/>
      <c r="N406" s="3"/>
      <c r="O406" s="3"/>
      <c r="P406" s="3"/>
      <c r="Q406" s="3"/>
      <c r="R406" s="3"/>
      <c r="S406" s="3"/>
      <c r="T406" s="3"/>
      <c r="U406" s="3"/>
      <c r="V406" s="3"/>
      <c r="W406" s="3"/>
      <c r="X406" s="3"/>
      <c r="Y406" s="3"/>
    </row>
    <row r="407" ht="14.25" customHeight="1">
      <c r="A407" s="3"/>
      <c r="B407" s="3"/>
      <c r="C407" s="3"/>
      <c r="D407" s="3"/>
      <c r="E407" s="3"/>
      <c r="F407" s="3"/>
      <c r="G407" s="23"/>
      <c r="H407" s="24"/>
      <c r="I407" s="3"/>
      <c r="J407" s="3"/>
      <c r="K407" s="3"/>
      <c r="L407" s="3"/>
      <c r="M407" s="3"/>
      <c r="N407" s="3"/>
      <c r="O407" s="3"/>
      <c r="P407" s="3"/>
      <c r="Q407" s="3"/>
      <c r="R407" s="3"/>
      <c r="S407" s="3"/>
      <c r="T407" s="3"/>
      <c r="U407" s="3"/>
      <c r="V407" s="3"/>
      <c r="W407" s="3"/>
      <c r="X407" s="3"/>
      <c r="Y407" s="3"/>
    </row>
    <row r="408" ht="14.25" customHeight="1">
      <c r="A408" s="3"/>
      <c r="B408" s="3"/>
      <c r="C408" s="3"/>
      <c r="D408" s="3"/>
      <c r="E408" s="3"/>
      <c r="F408" s="3"/>
      <c r="G408" s="23"/>
      <c r="H408" s="24"/>
      <c r="I408" s="3"/>
      <c r="J408" s="3"/>
      <c r="K408" s="3"/>
      <c r="L408" s="3"/>
      <c r="M408" s="3"/>
      <c r="N408" s="3"/>
      <c r="O408" s="3"/>
      <c r="P408" s="3"/>
      <c r="Q408" s="3"/>
      <c r="R408" s="3"/>
      <c r="S408" s="3"/>
      <c r="T408" s="3"/>
      <c r="U408" s="3"/>
      <c r="V408" s="3"/>
      <c r="W408" s="3"/>
      <c r="X408" s="3"/>
      <c r="Y408" s="3"/>
    </row>
    <row r="409" ht="14.25" customHeight="1">
      <c r="A409" s="3"/>
      <c r="B409" s="3"/>
      <c r="C409" s="3"/>
      <c r="D409" s="3"/>
      <c r="E409" s="3"/>
      <c r="F409" s="3"/>
      <c r="G409" s="23"/>
      <c r="H409" s="24"/>
      <c r="I409" s="3"/>
      <c r="J409" s="3"/>
      <c r="K409" s="3"/>
      <c r="L409" s="3"/>
      <c r="M409" s="3"/>
      <c r="N409" s="3"/>
      <c r="O409" s="3"/>
      <c r="P409" s="3"/>
      <c r="Q409" s="3"/>
      <c r="R409" s="3"/>
      <c r="S409" s="3"/>
      <c r="T409" s="3"/>
      <c r="U409" s="3"/>
      <c r="V409" s="3"/>
      <c r="W409" s="3"/>
      <c r="X409" s="3"/>
      <c r="Y409" s="3"/>
    </row>
    <row r="410" ht="14.25" customHeight="1">
      <c r="A410" s="3"/>
      <c r="B410" s="3"/>
      <c r="C410" s="3"/>
      <c r="D410" s="3"/>
      <c r="E410" s="3"/>
      <c r="F410" s="3"/>
      <c r="G410" s="23"/>
      <c r="H410" s="24"/>
      <c r="I410" s="3"/>
      <c r="J410" s="3"/>
      <c r="K410" s="3"/>
      <c r="L410" s="3"/>
      <c r="M410" s="3"/>
      <c r="N410" s="3"/>
      <c r="O410" s="3"/>
      <c r="P410" s="3"/>
      <c r="Q410" s="3"/>
      <c r="R410" s="3"/>
      <c r="S410" s="3"/>
      <c r="T410" s="3"/>
      <c r="U410" s="3"/>
      <c r="V410" s="3"/>
      <c r="W410" s="3"/>
      <c r="X410" s="3"/>
      <c r="Y410" s="3"/>
    </row>
    <row r="411" ht="14.25" customHeight="1">
      <c r="A411" s="3"/>
      <c r="B411" s="3"/>
      <c r="C411" s="3"/>
      <c r="D411" s="3"/>
      <c r="E411" s="3"/>
      <c r="F411" s="3"/>
      <c r="G411" s="23"/>
      <c r="H411" s="24"/>
      <c r="I411" s="3"/>
      <c r="J411" s="3"/>
      <c r="K411" s="3"/>
      <c r="L411" s="3"/>
      <c r="M411" s="3"/>
      <c r="N411" s="3"/>
      <c r="O411" s="3"/>
      <c r="P411" s="3"/>
      <c r="Q411" s="3"/>
      <c r="R411" s="3"/>
      <c r="S411" s="3"/>
      <c r="T411" s="3"/>
      <c r="U411" s="3"/>
      <c r="V411" s="3"/>
      <c r="W411" s="3"/>
      <c r="X411" s="3"/>
      <c r="Y411" s="3"/>
    </row>
    <row r="412" ht="14.25" customHeight="1">
      <c r="A412" s="3"/>
      <c r="B412" s="3"/>
      <c r="C412" s="3"/>
      <c r="D412" s="3"/>
      <c r="E412" s="3"/>
      <c r="F412" s="3"/>
      <c r="G412" s="23"/>
      <c r="H412" s="24"/>
      <c r="I412" s="3"/>
      <c r="J412" s="3"/>
      <c r="K412" s="3"/>
      <c r="L412" s="3"/>
      <c r="M412" s="3"/>
      <c r="N412" s="3"/>
      <c r="O412" s="3"/>
      <c r="P412" s="3"/>
      <c r="Q412" s="3"/>
      <c r="R412" s="3"/>
      <c r="S412" s="3"/>
      <c r="T412" s="3"/>
      <c r="U412" s="3"/>
      <c r="V412" s="3"/>
      <c r="W412" s="3"/>
      <c r="X412" s="3"/>
      <c r="Y412" s="3"/>
    </row>
    <row r="413" ht="14.25" customHeight="1">
      <c r="A413" s="3"/>
      <c r="B413" s="3"/>
      <c r="C413" s="3"/>
      <c r="D413" s="3"/>
      <c r="E413" s="3"/>
      <c r="F413" s="3"/>
      <c r="G413" s="23"/>
      <c r="H413" s="24"/>
      <c r="I413" s="3"/>
      <c r="J413" s="3"/>
      <c r="K413" s="3"/>
      <c r="L413" s="3"/>
      <c r="M413" s="3"/>
      <c r="N413" s="3"/>
      <c r="O413" s="3"/>
      <c r="P413" s="3"/>
      <c r="Q413" s="3"/>
      <c r="R413" s="3"/>
      <c r="S413" s="3"/>
      <c r="T413" s="3"/>
      <c r="U413" s="3"/>
      <c r="V413" s="3"/>
      <c r="W413" s="3"/>
      <c r="X413" s="3"/>
      <c r="Y413" s="3"/>
    </row>
    <row r="414" ht="14.25" customHeight="1">
      <c r="A414" s="3"/>
      <c r="B414" s="3"/>
      <c r="C414" s="3"/>
      <c r="D414" s="3"/>
      <c r="E414" s="3"/>
      <c r="F414" s="3"/>
      <c r="G414" s="23"/>
      <c r="H414" s="24"/>
      <c r="I414" s="3"/>
      <c r="J414" s="3"/>
      <c r="K414" s="3"/>
      <c r="L414" s="3"/>
      <c r="M414" s="3"/>
      <c r="N414" s="3"/>
      <c r="O414" s="3"/>
      <c r="P414" s="3"/>
      <c r="Q414" s="3"/>
      <c r="R414" s="3"/>
      <c r="S414" s="3"/>
      <c r="T414" s="3"/>
      <c r="U414" s="3"/>
      <c r="V414" s="3"/>
      <c r="W414" s="3"/>
      <c r="X414" s="3"/>
      <c r="Y414" s="3"/>
    </row>
    <row r="415" ht="14.25" customHeight="1">
      <c r="A415" s="3"/>
      <c r="B415" s="3"/>
      <c r="C415" s="3"/>
      <c r="D415" s="3"/>
      <c r="E415" s="3"/>
      <c r="F415" s="3"/>
      <c r="G415" s="23"/>
      <c r="H415" s="24"/>
      <c r="I415" s="3"/>
      <c r="J415" s="3"/>
      <c r="K415" s="3"/>
      <c r="L415" s="3"/>
      <c r="M415" s="3"/>
      <c r="N415" s="3"/>
      <c r="O415" s="3"/>
      <c r="P415" s="3"/>
      <c r="Q415" s="3"/>
      <c r="R415" s="3"/>
      <c r="S415" s="3"/>
      <c r="T415" s="3"/>
      <c r="U415" s="3"/>
      <c r="V415" s="3"/>
      <c r="W415" s="3"/>
      <c r="X415" s="3"/>
      <c r="Y415" s="3"/>
    </row>
    <row r="416" ht="14.25" customHeight="1">
      <c r="A416" s="3"/>
      <c r="B416" s="3"/>
      <c r="C416" s="3"/>
      <c r="D416" s="3"/>
      <c r="E416" s="3"/>
      <c r="F416" s="3"/>
      <c r="G416" s="23"/>
      <c r="H416" s="24"/>
      <c r="I416" s="3"/>
      <c r="J416" s="3"/>
      <c r="K416" s="3"/>
      <c r="L416" s="3"/>
      <c r="M416" s="3"/>
      <c r="N416" s="3"/>
      <c r="O416" s="3"/>
      <c r="P416" s="3"/>
      <c r="Q416" s="3"/>
      <c r="R416" s="3"/>
      <c r="S416" s="3"/>
      <c r="T416" s="3"/>
      <c r="U416" s="3"/>
      <c r="V416" s="3"/>
      <c r="W416" s="3"/>
      <c r="X416" s="3"/>
      <c r="Y416" s="3"/>
    </row>
    <row r="417" ht="14.25" customHeight="1">
      <c r="A417" s="3"/>
      <c r="B417" s="3"/>
      <c r="C417" s="3"/>
      <c r="D417" s="3"/>
      <c r="E417" s="3"/>
      <c r="F417" s="3"/>
      <c r="G417" s="23"/>
      <c r="H417" s="24"/>
      <c r="I417" s="3"/>
      <c r="J417" s="3"/>
      <c r="K417" s="3"/>
      <c r="L417" s="3"/>
      <c r="M417" s="3"/>
      <c r="N417" s="3"/>
      <c r="O417" s="3"/>
      <c r="P417" s="3"/>
      <c r="Q417" s="3"/>
      <c r="R417" s="3"/>
      <c r="S417" s="3"/>
      <c r="T417" s="3"/>
      <c r="U417" s="3"/>
      <c r="V417" s="3"/>
      <c r="W417" s="3"/>
      <c r="X417" s="3"/>
      <c r="Y417" s="3"/>
    </row>
    <row r="418" ht="14.25" customHeight="1">
      <c r="A418" s="3"/>
      <c r="B418" s="3"/>
      <c r="C418" s="3"/>
      <c r="D418" s="3"/>
      <c r="E418" s="3"/>
      <c r="F418" s="3"/>
      <c r="G418" s="23"/>
      <c r="H418" s="24"/>
      <c r="I418" s="3"/>
      <c r="J418" s="3"/>
      <c r="K418" s="3"/>
      <c r="L418" s="3"/>
      <c r="M418" s="3"/>
      <c r="N418" s="3"/>
      <c r="O418" s="3"/>
      <c r="P418" s="3"/>
      <c r="Q418" s="3"/>
      <c r="R418" s="3"/>
      <c r="S418" s="3"/>
      <c r="T418" s="3"/>
      <c r="U418" s="3"/>
      <c r="V418" s="3"/>
      <c r="W418" s="3"/>
      <c r="X418" s="3"/>
      <c r="Y418" s="3"/>
    </row>
    <row r="419" ht="14.25" customHeight="1">
      <c r="A419" s="3"/>
      <c r="B419" s="3"/>
      <c r="C419" s="3"/>
      <c r="D419" s="3"/>
      <c r="E419" s="3"/>
      <c r="F419" s="3"/>
      <c r="G419" s="23"/>
      <c r="H419" s="24"/>
      <c r="I419" s="3"/>
      <c r="J419" s="3"/>
      <c r="K419" s="3"/>
      <c r="L419" s="3"/>
      <c r="M419" s="3"/>
      <c r="N419" s="3"/>
      <c r="O419" s="3"/>
      <c r="P419" s="3"/>
      <c r="Q419" s="3"/>
      <c r="R419" s="3"/>
      <c r="S419" s="3"/>
      <c r="T419" s="3"/>
      <c r="U419" s="3"/>
      <c r="V419" s="3"/>
      <c r="W419" s="3"/>
      <c r="X419" s="3"/>
      <c r="Y419" s="3"/>
    </row>
    <row r="420" ht="14.25" customHeight="1">
      <c r="A420" s="3"/>
      <c r="B420" s="3"/>
      <c r="C420" s="3"/>
      <c r="D420" s="3"/>
      <c r="E420" s="3"/>
      <c r="F420" s="3"/>
      <c r="G420" s="23"/>
      <c r="H420" s="24"/>
      <c r="I420" s="3"/>
      <c r="J420" s="3"/>
      <c r="K420" s="3"/>
      <c r="L420" s="3"/>
      <c r="M420" s="3"/>
      <c r="N420" s="3"/>
      <c r="O420" s="3"/>
      <c r="P420" s="3"/>
      <c r="Q420" s="3"/>
      <c r="R420" s="3"/>
      <c r="S420" s="3"/>
      <c r="T420" s="3"/>
      <c r="U420" s="3"/>
      <c r="V420" s="3"/>
      <c r="W420" s="3"/>
      <c r="X420" s="3"/>
      <c r="Y420" s="3"/>
    </row>
    <row r="421" ht="14.25" customHeight="1">
      <c r="A421" s="3"/>
      <c r="B421" s="3"/>
      <c r="C421" s="3"/>
      <c r="D421" s="3"/>
      <c r="E421" s="3"/>
      <c r="F421" s="3"/>
      <c r="G421" s="23"/>
      <c r="H421" s="24"/>
      <c r="I421" s="3"/>
      <c r="J421" s="3"/>
      <c r="K421" s="3"/>
      <c r="L421" s="3"/>
      <c r="M421" s="3"/>
      <c r="N421" s="3"/>
      <c r="O421" s="3"/>
      <c r="P421" s="3"/>
      <c r="Q421" s="3"/>
      <c r="R421" s="3"/>
      <c r="S421" s="3"/>
      <c r="T421" s="3"/>
      <c r="U421" s="3"/>
      <c r="V421" s="3"/>
      <c r="W421" s="3"/>
      <c r="X421" s="3"/>
      <c r="Y421" s="3"/>
    </row>
    <row r="422" ht="14.25" customHeight="1">
      <c r="A422" s="3"/>
      <c r="B422" s="3"/>
      <c r="C422" s="3"/>
      <c r="D422" s="3"/>
      <c r="E422" s="3"/>
      <c r="F422" s="3"/>
      <c r="G422" s="23"/>
      <c r="H422" s="24"/>
      <c r="I422" s="3"/>
      <c r="J422" s="3"/>
      <c r="K422" s="3"/>
      <c r="L422" s="3"/>
      <c r="M422" s="3"/>
      <c r="N422" s="3"/>
      <c r="O422" s="3"/>
      <c r="P422" s="3"/>
      <c r="Q422" s="3"/>
      <c r="R422" s="3"/>
      <c r="S422" s="3"/>
      <c r="T422" s="3"/>
      <c r="U422" s="3"/>
      <c r="V422" s="3"/>
      <c r="W422" s="3"/>
      <c r="X422" s="3"/>
      <c r="Y422" s="3"/>
    </row>
    <row r="423" ht="14.25" customHeight="1">
      <c r="A423" s="3"/>
      <c r="B423" s="3"/>
      <c r="C423" s="3"/>
      <c r="D423" s="3"/>
      <c r="E423" s="3"/>
      <c r="F423" s="3"/>
      <c r="G423" s="23"/>
      <c r="H423" s="24"/>
      <c r="I423" s="3"/>
      <c r="J423" s="3"/>
      <c r="K423" s="3"/>
      <c r="L423" s="3"/>
      <c r="M423" s="3"/>
      <c r="N423" s="3"/>
      <c r="O423" s="3"/>
      <c r="P423" s="3"/>
      <c r="Q423" s="3"/>
      <c r="R423" s="3"/>
      <c r="S423" s="3"/>
      <c r="T423" s="3"/>
      <c r="U423" s="3"/>
      <c r="V423" s="3"/>
      <c r="W423" s="3"/>
      <c r="X423" s="3"/>
      <c r="Y423" s="3"/>
    </row>
    <row r="424" ht="14.25" customHeight="1">
      <c r="A424" s="3"/>
      <c r="B424" s="3"/>
      <c r="C424" s="3"/>
      <c r="D424" s="3"/>
      <c r="E424" s="3"/>
      <c r="F424" s="3"/>
      <c r="G424" s="23"/>
      <c r="H424" s="24"/>
      <c r="I424" s="3"/>
      <c r="J424" s="3"/>
      <c r="K424" s="3"/>
      <c r="L424" s="3"/>
      <c r="M424" s="3"/>
      <c r="N424" s="3"/>
      <c r="O424" s="3"/>
      <c r="P424" s="3"/>
      <c r="Q424" s="3"/>
      <c r="R424" s="3"/>
      <c r="S424" s="3"/>
      <c r="T424" s="3"/>
      <c r="U424" s="3"/>
      <c r="V424" s="3"/>
      <c r="W424" s="3"/>
      <c r="X424" s="3"/>
      <c r="Y424" s="3"/>
    </row>
    <row r="425" ht="14.25" customHeight="1">
      <c r="A425" s="3"/>
      <c r="B425" s="3"/>
      <c r="C425" s="3"/>
      <c r="D425" s="3"/>
      <c r="E425" s="3"/>
      <c r="F425" s="3"/>
      <c r="G425" s="23"/>
      <c r="H425" s="24"/>
      <c r="I425" s="3"/>
      <c r="J425" s="3"/>
      <c r="K425" s="3"/>
      <c r="L425" s="3"/>
      <c r="M425" s="3"/>
      <c r="N425" s="3"/>
      <c r="O425" s="3"/>
      <c r="P425" s="3"/>
      <c r="Q425" s="3"/>
      <c r="R425" s="3"/>
      <c r="S425" s="3"/>
      <c r="T425" s="3"/>
      <c r="U425" s="3"/>
      <c r="V425" s="3"/>
      <c r="W425" s="3"/>
      <c r="X425" s="3"/>
      <c r="Y425" s="3"/>
    </row>
    <row r="426" ht="14.25" customHeight="1">
      <c r="A426" s="3"/>
      <c r="B426" s="3"/>
      <c r="C426" s="3"/>
      <c r="D426" s="3"/>
      <c r="E426" s="3"/>
      <c r="F426" s="3"/>
      <c r="G426" s="23"/>
      <c r="H426" s="24"/>
      <c r="I426" s="3"/>
      <c r="J426" s="3"/>
      <c r="K426" s="3"/>
      <c r="L426" s="3"/>
      <c r="M426" s="3"/>
      <c r="N426" s="3"/>
      <c r="O426" s="3"/>
      <c r="P426" s="3"/>
      <c r="Q426" s="3"/>
      <c r="R426" s="3"/>
      <c r="S426" s="3"/>
      <c r="T426" s="3"/>
      <c r="U426" s="3"/>
      <c r="V426" s="3"/>
      <c r="W426" s="3"/>
      <c r="X426" s="3"/>
      <c r="Y426" s="3"/>
    </row>
    <row r="427" ht="14.25" customHeight="1">
      <c r="A427" s="3"/>
      <c r="B427" s="3"/>
      <c r="C427" s="3"/>
      <c r="D427" s="3"/>
      <c r="E427" s="3"/>
      <c r="F427" s="3"/>
      <c r="G427" s="23"/>
      <c r="H427" s="24"/>
      <c r="I427" s="3"/>
      <c r="J427" s="3"/>
      <c r="K427" s="3"/>
      <c r="L427" s="3"/>
      <c r="M427" s="3"/>
      <c r="N427" s="3"/>
      <c r="O427" s="3"/>
      <c r="P427" s="3"/>
      <c r="Q427" s="3"/>
      <c r="R427" s="3"/>
      <c r="S427" s="3"/>
      <c r="T427" s="3"/>
      <c r="U427" s="3"/>
      <c r="V427" s="3"/>
      <c r="W427" s="3"/>
      <c r="X427" s="3"/>
      <c r="Y427" s="3"/>
    </row>
    <row r="428" ht="14.25" customHeight="1">
      <c r="A428" s="3"/>
      <c r="B428" s="3"/>
      <c r="C428" s="3"/>
      <c r="D428" s="3"/>
      <c r="E428" s="3"/>
      <c r="F428" s="3"/>
      <c r="G428" s="23"/>
      <c r="H428" s="24"/>
      <c r="I428" s="3"/>
      <c r="J428" s="3"/>
      <c r="K428" s="3"/>
      <c r="L428" s="3"/>
      <c r="M428" s="3"/>
      <c r="N428" s="3"/>
      <c r="O428" s="3"/>
      <c r="P428" s="3"/>
      <c r="Q428" s="3"/>
      <c r="R428" s="3"/>
      <c r="S428" s="3"/>
      <c r="T428" s="3"/>
      <c r="U428" s="3"/>
      <c r="V428" s="3"/>
      <c r="W428" s="3"/>
      <c r="X428" s="3"/>
      <c r="Y428" s="3"/>
    </row>
    <row r="429" ht="14.25" customHeight="1">
      <c r="A429" s="3"/>
      <c r="B429" s="3"/>
      <c r="C429" s="3"/>
      <c r="D429" s="3"/>
      <c r="E429" s="3"/>
      <c r="F429" s="3"/>
      <c r="G429" s="23"/>
      <c r="H429" s="24"/>
      <c r="I429" s="3"/>
      <c r="J429" s="3"/>
      <c r="K429" s="3"/>
      <c r="L429" s="3"/>
      <c r="M429" s="3"/>
      <c r="N429" s="3"/>
      <c r="O429" s="3"/>
      <c r="P429" s="3"/>
      <c r="Q429" s="3"/>
      <c r="R429" s="3"/>
      <c r="S429" s="3"/>
      <c r="T429" s="3"/>
      <c r="U429" s="3"/>
      <c r="V429" s="3"/>
      <c r="W429" s="3"/>
      <c r="X429" s="3"/>
      <c r="Y429" s="3"/>
    </row>
    <row r="430" ht="14.25" customHeight="1">
      <c r="A430" s="3"/>
      <c r="B430" s="3"/>
      <c r="C430" s="3"/>
      <c r="D430" s="3"/>
      <c r="E430" s="3"/>
      <c r="F430" s="3"/>
      <c r="G430" s="23"/>
      <c r="H430" s="24"/>
      <c r="I430" s="3"/>
      <c r="J430" s="3"/>
      <c r="K430" s="3"/>
      <c r="L430" s="3"/>
      <c r="M430" s="3"/>
      <c r="N430" s="3"/>
      <c r="O430" s="3"/>
      <c r="P430" s="3"/>
      <c r="Q430" s="3"/>
      <c r="R430" s="3"/>
      <c r="S430" s="3"/>
      <c r="T430" s="3"/>
      <c r="U430" s="3"/>
      <c r="V430" s="3"/>
      <c r="W430" s="3"/>
      <c r="X430" s="3"/>
      <c r="Y430" s="3"/>
    </row>
    <row r="431" ht="14.25" customHeight="1">
      <c r="A431" s="3"/>
      <c r="B431" s="3"/>
      <c r="C431" s="3"/>
      <c r="D431" s="3"/>
      <c r="E431" s="3"/>
      <c r="F431" s="3"/>
      <c r="G431" s="23"/>
      <c r="H431" s="24"/>
      <c r="I431" s="3"/>
      <c r="J431" s="3"/>
      <c r="K431" s="3"/>
      <c r="L431" s="3"/>
      <c r="M431" s="3"/>
      <c r="N431" s="3"/>
      <c r="O431" s="3"/>
      <c r="P431" s="3"/>
      <c r="Q431" s="3"/>
      <c r="R431" s="3"/>
      <c r="S431" s="3"/>
      <c r="T431" s="3"/>
      <c r="U431" s="3"/>
      <c r="V431" s="3"/>
      <c r="W431" s="3"/>
      <c r="X431" s="3"/>
      <c r="Y431" s="3"/>
    </row>
    <row r="432" ht="14.25" customHeight="1">
      <c r="A432" s="3"/>
      <c r="B432" s="3"/>
      <c r="C432" s="3"/>
      <c r="D432" s="3"/>
      <c r="E432" s="3"/>
      <c r="F432" s="3"/>
      <c r="G432" s="23"/>
      <c r="H432" s="24"/>
      <c r="I432" s="3"/>
      <c r="J432" s="3"/>
      <c r="K432" s="3"/>
      <c r="L432" s="3"/>
      <c r="M432" s="3"/>
      <c r="N432" s="3"/>
      <c r="O432" s="3"/>
      <c r="P432" s="3"/>
      <c r="Q432" s="3"/>
      <c r="R432" s="3"/>
      <c r="S432" s="3"/>
      <c r="T432" s="3"/>
      <c r="U432" s="3"/>
      <c r="V432" s="3"/>
      <c r="W432" s="3"/>
      <c r="X432" s="3"/>
      <c r="Y432" s="3"/>
    </row>
    <row r="433" ht="14.25" customHeight="1">
      <c r="A433" s="3"/>
      <c r="B433" s="3"/>
      <c r="C433" s="3"/>
      <c r="D433" s="3"/>
      <c r="E433" s="3"/>
      <c r="F433" s="3"/>
      <c r="G433" s="23"/>
      <c r="H433" s="24"/>
      <c r="I433" s="3"/>
      <c r="J433" s="3"/>
      <c r="K433" s="3"/>
      <c r="L433" s="3"/>
      <c r="M433" s="3"/>
      <c r="N433" s="3"/>
      <c r="O433" s="3"/>
      <c r="P433" s="3"/>
      <c r="Q433" s="3"/>
      <c r="R433" s="3"/>
      <c r="S433" s="3"/>
      <c r="T433" s="3"/>
      <c r="U433" s="3"/>
      <c r="V433" s="3"/>
      <c r="W433" s="3"/>
      <c r="X433" s="3"/>
      <c r="Y433" s="3"/>
    </row>
    <row r="434" ht="14.25" customHeight="1">
      <c r="A434" s="3"/>
      <c r="B434" s="3"/>
      <c r="C434" s="3"/>
      <c r="D434" s="3"/>
      <c r="E434" s="3"/>
      <c r="F434" s="3"/>
      <c r="G434" s="23"/>
      <c r="H434" s="24"/>
      <c r="I434" s="3"/>
      <c r="J434" s="3"/>
      <c r="K434" s="3"/>
      <c r="L434" s="3"/>
      <c r="M434" s="3"/>
      <c r="N434" s="3"/>
      <c r="O434" s="3"/>
      <c r="P434" s="3"/>
      <c r="Q434" s="3"/>
      <c r="R434" s="3"/>
      <c r="S434" s="3"/>
      <c r="T434" s="3"/>
      <c r="U434" s="3"/>
      <c r="V434" s="3"/>
      <c r="W434" s="3"/>
      <c r="X434" s="3"/>
      <c r="Y434" s="3"/>
    </row>
    <row r="435" ht="14.25" customHeight="1">
      <c r="A435" s="3"/>
      <c r="B435" s="3"/>
      <c r="C435" s="3"/>
      <c r="D435" s="3"/>
      <c r="E435" s="3"/>
      <c r="F435" s="3"/>
      <c r="G435" s="23"/>
      <c r="H435" s="24"/>
      <c r="I435" s="3"/>
      <c r="J435" s="3"/>
      <c r="K435" s="3"/>
      <c r="L435" s="3"/>
      <c r="M435" s="3"/>
      <c r="N435" s="3"/>
      <c r="O435" s="3"/>
      <c r="P435" s="3"/>
      <c r="Q435" s="3"/>
      <c r="R435" s="3"/>
      <c r="S435" s="3"/>
      <c r="T435" s="3"/>
      <c r="U435" s="3"/>
      <c r="V435" s="3"/>
      <c r="W435" s="3"/>
      <c r="X435" s="3"/>
      <c r="Y435" s="3"/>
    </row>
    <row r="436" ht="14.25" customHeight="1">
      <c r="A436" s="3"/>
      <c r="B436" s="3"/>
      <c r="C436" s="3"/>
      <c r="D436" s="3"/>
      <c r="E436" s="3"/>
      <c r="F436" s="3"/>
      <c r="G436" s="23"/>
      <c r="H436" s="24"/>
      <c r="I436" s="3"/>
      <c r="J436" s="3"/>
      <c r="K436" s="3"/>
      <c r="L436" s="3"/>
      <c r="M436" s="3"/>
      <c r="N436" s="3"/>
      <c r="O436" s="3"/>
      <c r="P436" s="3"/>
      <c r="Q436" s="3"/>
      <c r="R436" s="3"/>
      <c r="S436" s="3"/>
      <c r="T436" s="3"/>
      <c r="U436" s="3"/>
      <c r="V436" s="3"/>
      <c r="W436" s="3"/>
      <c r="X436" s="3"/>
      <c r="Y436" s="3"/>
    </row>
    <row r="437" ht="14.25" customHeight="1">
      <c r="A437" s="3"/>
      <c r="B437" s="3"/>
      <c r="C437" s="3"/>
      <c r="D437" s="3"/>
      <c r="E437" s="3"/>
      <c r="F437" s="3"/>
      <c r="G437" s="23"/>
      <c r="H437" s="24"/>
      <c r="I437" s="3"/>
      <c r="J437" s="3"/>
      <c r="K437" s="3"/>
      <c r="L437" s="3"/>
      <c r="M437" s="3"/>
      <c r="N437" s="3"/>
      <c r="O437" s="3"/>
      <c r="P437" s="3"/>
      <c r="Q437" s="3"/>
      <c r="R437" s="3"/>
      <c r="S437" s="3"/>
      <c r="T437" s="3"/>
      <c r="U437" s="3"/>
      <c r="V437" s="3"/>
      <c r="W437" s="3"/>
      <c r="X437" s="3"/>
      <c r="Y437" s="3"/>
    </row>
    <row r="438" ht="14.25" customHeight="1">
      <c r="A438" s="3"/>
      <c r="B438" s="3"/>
      <c r="C438" s="3"/>
      <c r="D438" s="3"/>
      <c r="E438" s="3"/>
      <c r="F438" s="3"/>
      <c r="G438" s="23"/>
      <c r="H438" s="24"/>
      <c r="I438" s="3"/>
      <c r="J438" s="3"/>
      <c r="K438" s="3"/>
      <c r="L438" s="3"/>
      <c r="M438" s="3"/>
      <c r="N438" s="3"/>
      <c r="O438" s="3"/>
      <c r="P438" s="3"/>
      <c r="Q438" s="3"/>
      <c r="R438" s="3"/>
      <c r="S438" s="3"/>
      <c r="T438" s="3"/>
      <c r="U438" s="3"/>
      <c r="V438" s="3"/>
      <c r="W438" s="3"/>
      <c r="X438" s="3"/>
      <c r="Y438" s="3"/>
    </row>
    <row r="439" ht="14.25" customHeight="1">
      <c r="A439" s="3"/>
      <c r="B439" s="3"/>
      <c r="C439" s="3"/>
      <c r="D439" s="3"/>
      <c r="E439" s="3"/>
      <c r="F439" s="3"/>
      <c r="G439" s="23"/>
      <c r="H439" s="24"/>
      <c r="I439" s="3"/>
      <c r="J439" s="3"/>
      <c r="K439" s="3"/>
      <c r="L439" s="3"/>
      <c r="M439" s="3"/>
      <c r="N439" s="3"/>
      <c r="O439" s="3"/>
      <c r="P439" s="3"/>
      <c r="Q439" s="3"/>
      <c r="R439" s="3"/>
      <c r="S439" s="3"/>
      <c r="T439" s="3"/>
      <c r="U439" s="3"/>
      <c r="V439" s="3"/>
      <c r="W439" s="3"/>
      <c r="X439" s="3"/>
      <c r="Y439" s="3"/>
    </row>
    <row r="440" ht="14.25" customHeight="1">
      <c r="A440" s="3"/>
      <c r="B440" s="3"/>
      <c r="C440" s="3"/>
      <c r="D440" s="3"/>
      <c r="E440" s="3"/>
      <c r="F440" s="3"/>
      <c r="G440" s="23"/>
      <c r="H440" s="24"/>
      <c r="I440" s="3"/>
      <c r="J440" s="3"/>
      <c r="K440" s="3"/>
      <c r="L440" s="3"/>
      <c r="M440" s="3"/>
      <c r="N440" s="3"/>
      <c r="O440" s="3"/>
      <c r="P440" s="3"/>
      <c r="Q440" s="3"/>
      <c r="R440" s="3"/>
      <c r="S440" s="3"/>
      <c r="T440" s="3"/>
      <c r="U440" s="3"/>
      <c r="V440" s="3"/>
      <c r="W440" s="3"/>
      <c r="X440" s="3"/>
      <c r="Y440" s="3"/>
    </row>
    <row r="441" ht="14.25" customHeight="1">
      <c r="A441" s="3"/>
      <c r="B441" s="3"/>
      <c r="C441" s="3"/>
      <c r="D441" s="3"/>
      <c r="E441" s="3"/>
      <c r="F441" s="3"/>
      <c r="G441" s="23"/>
      <c r="H441" s="24"/>
      <c r="I441" s="3"/>
      <c r="J441" s="3"/>
      <c r="K441" s="3"/>
      <c r="L441" s="3"/>
      <c r="M441" s="3"/>
      <c r="N441" s="3"/>
      <c r="O441" s="3"/>
      <c r="P441" s="3"/>
      <c r="Q441" s="3"/>
      <c r="R441" s="3"/>
      <c r="S441" s="3"/>
      <c r="T441" s="3"/>
      <c r="U441" s="3"/>
      <c r="V441" s="3"/>
      <c r="W441" s="3"/>
      <c r="X441" s="3"/>
      <c r="Y441" s="3"/>
    </row>
    <row r="442" ht="14.25" customHeight="1">
      <c r="A442" s="3"/>
      <c r="B442" s="3"/>
      <c r="C442" s="3"/>
      <c r="D442" s="3"/>
      <c r="E442" s="3"/>
      <c r="F442" s="3"/>
      <c r="G442" s="23"/>
      <c r="H442" s="24"/>
      <c r="I442" s="3"/>
      <c r="J442" s="3"/>
      <c r="K442" s="3"/>
      <c r="L442" s="3"/>
      <c r="M442" s="3"/>
      <c r="N442" s="3"/>
      <c r="O442" s="3"/>
      <c r="P442" s="3"/>
      <c r="Q442" s="3"/>
      <c r="R442" s="3"/>
      <c r="S442" s="3"/>
      <c r="T442" s="3"/>
      <c r="U442" s="3"/>
      <c r="V442" s="3"/>
      <c r="W442" s="3"/>
      <c r="X442" s="3"/>
      <c r="Y442" s="3"/>
    </row>
    <row r="443" ht="14.25" customHeight="1">
      <c r="A443" s="3"/>
      <c r="B443" s="3"/>
      <c r="C443" s="3"/>
      <c r="D443" s="3"/>
      <c r="E443" s="3"/>
      <c r="F443" s="3"/>
      <c r="G443" s="23"/>
      <c r="H443" s="24"/>
      <c r="I443" s="3"/>
      <c r="J443" s="3"/>
      <c r="K443" s="3"/>
      <c r="L443" s="3"/>
      <c r="M443" s="3"/>
      <c r="N443" s="3"/>
      <c r="O443" s="3"/>
      <c r="P443" s="3"/>
      <c r="Q443" s="3"/>
      <c r="R443" s="3"/>
      <c r="S443" s="3"/>
      <c r="T443" s="3"/>
      <c r="U443" s="3"/>
      <c r="V443" s="3"/>
      <c r="W443" s="3"/>
      <c r="X443" s="3"/>
      <c r="Y443" s="3"/>
    </row>
    <row r="444" ht="14.25" customHeight="1">
      <c r="A444" s="3"/>
      <c r="B444" s="3"/>
      <c r="C444" s="3"/>
      <c r="D444" s="3"/>
      <c r="E444" s="3"/>
      <c r="F444" s="3"/>
      <c r="G444" s="23"/>
      <c r="H444" s="24"/>
      <c r="I444" s="3"/>
      <c r="J444" s="3"/>
      <c r="K444" s="3"/>
      <c r="L444" s="3"/>
      <c r="M444" s="3"/>
      <c r="N444" s="3"/>
      <c r="O444" s="3"/>
      <c r="P444" s="3"/>
      <c r="Q444" s="3"/>
      <c r="R444" s="3"/>
      <c r="S444" s="3"/>
      <c r="T444" s="3"/>
      <c r="U444" s="3"/>
      <c r="V444" s="3"/>
      <c r="W444" s="3"/>
      <c r="X444" s="3"/>
      <c r="Y444" s="3"/>
    </row>
    <row r="445" ht="14.25" customHeight="1">
      <c r="A445" s="3"/>
      <c r="B445" s="3"/>
      <c r="C445" s="3"/>
      <c r="D445" s="3"/>
      <c r="E445" s="3"/>
      <c r="F445" s="3"/>
      <c r="G445" s="23"/>
      <c r="H445" s="24"/>
      <c r="I445" s="3"/>
      <c r="J445" s="3"/>
      <c r="K445" s="3"/>
      <c r="L445" s="3"/>
      <c r="M445" s="3"/>
      <c r="N445" s="3"/>
      <c r="O445" s="3"/>
      <c r="P445" s="3"/>
      <c r="Q445" s="3"/>
      <c r="R445" s="3"/>
      <c r="S445" s="3"/>
      <c r="T445" s="3"/>
      <c r="U445" s="3"/>
      <c r="V445" s="3"/>
      <c r="W445" s="3"/>
      <c r="X445" s="3"/>
      <c r="Y445" s="3"/>
    </row>
    <row r="446" ht="14.25" customHeight="1">
      <c r="A446" s="3"/>
      <c r="B446" s="3"/>
      <c r="C446" s="3"/>
      <c r="D446" s="3"/>
      <c r="E446" s="3"/>
      <c r="F446" s="3"/>
      <c r="G446" s="23"/>
      <c r="H446" s="24"/>
      <c r="I446" s="3"/>
      <c r="J446" s="3"/>
      <c r="K446" s="3"/>
      <c r="L446" s="3"/>
      <c r="M446" s="3"/>
      <c r="N446" s="3"/>
      <c r="O446" s="3"/>
      <c r="P446" s="3"/>
      <c r="Q446" s="3"/>
      <c r="R446" s="3"/>
      <c r="S446" s="3"/>
      <c r="T446" s="3"/>
      <c r="U446" s="3"/>
      <c r="V446" s="3"/>
      <c r="W446" s="3"/>
      <c r="X446" s="3"/>
      <c r="Y446" s="3"/>
    </row>
    <row r="447" ht="14.25" customHeight="1">
      <c r="A447" s="3"/>
      <c r="B447" s="3"/>
      <c r="C447" s="3"/>
      <c r="D447" s="3"/>
      <c r="E447" s="3"/>
      <c r="F447" s="3"/>
      <c r="G447" s="23"/>
      <c r="H447" s="24"/>
      <c r="I447" s="3"/>
      <c r="J447" s="3"/>
      <c r="K447" s="3"/>
      <c r="L447" s="3"/>
      <c r="M447" s="3"/>
      <c r="N447" s="3"/>
      <c r="O447" s="3"/>
      <c r="P447" s="3"/>
      <c r="Q447" s="3"/>
      <c r="R447" s="3"/>
      <c r="S447" s="3"/>
      <c r="T447" s="3"/>
      <c r="U447" s="3"/>
      <c r="V447" s="3"/>
      <c r="W447" s="3"/>
      <c r="X447" s="3"/>
      <c r="Y447" s="3"/>
    </row>
    <row r="448" ht="14.25" customHeight="1">
      <c r="A448" s="3"/>
      <c r="B448" s="3"/>
      <c r="C448" s="3"/>
      <c r="D448" s="3"/>
      <c r="E448" s="3"/>
      <c r="F448" s="3"/>
      <c r="G448" s="23"/>
      <c r="H448" s="24"/>
      <c r="I448" s="3"/>
      <c r="J448" s="3"/>
      <c r="K448" s="3"/>
      <c r="L448" s="3"/>
      <c r="M448" s="3"/>
      <c r="N448" s="3"/>
      <c r="O448" s="3"/>
      <c r="P448" s="3"/>
      <c r="Q448" s="3"/>
      <c r="R448" s="3"/>
      <c r="S448" s="3"/>
      <c r="T448" s="3"/>
      <c r="U448" s="3"/>
      <c r="V448" s="3"/>
      <c r="W448" s="3"/>
      <c r="X448" s="3"/>
      <c r="Y448" s="3"/>
    </row>
    <row r="449" ht="14.25" customHeight="1">
      <c r="A449" s="3"/>
      <c r="B449" s="3"/>
      <c r="C449" s="3"/>
      <c r="D449" s="3"/>
      <c r="E449" s="3"/>
      <c r="F449" s="3"/>
      <c r="G449" s="23"/>
      <c r="H449" s="24"/>
      <c r="I449" s="3"/>
      <c r="J449" s="3"/>
      <c r="K449" s="3"/>
      <c r="L449" s="3"/>
      <c r="M449" s="3"/>
      <c r="N449" s="3"/>
      <c r="O449" s="3"/>
      <c r="P449" s="3"/>
      <c r="Q449" s="3"/>
      <c r="R449" s="3"/>
      <c r="S449" s="3"/>
      <c r="T449" s="3"/>
      <c r="U449" s="3"/>
      <c r="V449" s="3"/>
      <c r="W449" s="3"/>
      <c r="X449" s="3"/>
      <c r="Y449" s="3"/>
    </row>
    <row r="450" ht="14.25" customHeight="1">
      <c r="A450" s="3"/>
      <c r="B450" s="3"/>
      <c r="C450" s="3"/>
      <c r="D450" s="3"/>
      <c r="E450" s="3"/>
      <c r="F450" s="3"/>
      <c r="G450" s="23"/>
      <c r="H450" s="24"/>
      <c r="I450" s="3"/>
      <c r="J450" s="3"/>
      <c r="K450" s="3"/>
      <c r="L450" s="3"/>
      <c r="M450" s="3"/>
      <c r="N450" s="3"/>
      <c r="O450" s="3"/>
      <c r="P450" s="3"/>
      <c r="Q450" s="3"/>
      <c r="R450" s="3"/>
      <c r="S450" s="3"/>
      <c r="T450" s="3"/>
      <c r="U450" s="3"/>
      <c r="V450" s="3"/>
      <c r="W450" s="3"/>
      <c r="X450" s="3"/>
      <c r="Y450" s="3"/>
    </row>
    <row r="451" ht="14.25" customHeight="1">
      <c r="A451" s="3"/>
      <c r="B451" s="3"/>
      <c r="C451" s="3"/>
      <c r="D451" s="3"/>
      <c r="E451" s="3"/>
      <c r="F451" s="3"/>
      <c r="G451" s="23"/>
      <c r="H451" s="24"/>
      <c r="I451" s="3"/>
      <c r="J451" s="3"/>
      <c r="K451" s="3"/>
      <c r="L451" s="3"/>
      <c r="M451" s="3"/>
      <c r="N451" s="3"/>
      <c r="O451" s="3"/>
      <c r="P451" s="3"/>
      <c r="Q451" s="3"/>
      <c r="R451" s="3"/>
      <c r="S451" s="3"/>
      <c r="T451" s="3"/>
      <c r="U451" s="3"/>
      <c r="V451" s="3"/>
      <c r="W451" s="3"/>
      <c r="X451" s="3"/>
      <c r="Y451" s="3"/>
    </row>
    <row r="452" ht="14.25" customHeight="1">
      <c r="A452" s="3"/>
      <c r="B452" s="3"/>
      <c r="C452" s="3"/>
      <c r="D452" s="3"/>
      <c r="E452" s="3"/>
      <c r="F452" s="3"/>
      <c r="G452" s="23"/>
      <c r="H452" s="24"/>
      <c r="I452" s="3"/>
      <c r="J452" s="3"/>
      <c r="K452" s="3"/>
      <c r="L452" s="3"/>
      <c r="M452" s="3"/>
      <c r="N452" s="3"/>
      <c r="O452" s="3"/>
      <c r="P452" s="3"/>
      <c r="Q452" s="3"/>
      <c r="R452" s="3"/>
      <c r="S452" s="3"/>
      <c r="T452" s="3"/>
      <c r="U452" s="3"/>
      <c r="V452" s="3"/>
      <c r="W452" s="3"/>
      <c r="X452" s="3"/>
      <c r="Y452" s="3"/>
    </row>
    <row r="453" ht="14.25" customHeight="1">
      <c r="A453" s="3"/>
      <c r="B453" s="3"/>
      <c r="C453" s="3"/>
      <c r="D453" s="3"/>
      <c r="E453" s="3"/>
      <c r="F453" s="3"/>
      <c r="G453" s="23"/>
      <c r="H453" s="24"/>
      <c r="I453" s="3"/>
      <c r="J453" s="3"/>
      <c r="K453" s="3"/>
      <c r="L453" s="3"/>
      <c r="M453" s="3"/>
      <c r="N453" s="3"/>
      <c r="O453" s="3"/>
      <c r="P453" s="3"/>
      <c r="Q453" s="3"/>
      <c r="R453" s="3"/>
      <c r="S453" s="3"/>
      <c r="T453" s="3"/>
      <c r="U453" s="3"/>
      <c r="V453" s="3"/>
      <c r="W453" s="3"/>
      <c r="X453" s="3"/>
      <c r="Y453" s="3"/>
    </row>
    <row r="454" ht="14.25" customHeight="1">
      <c r="A454" s="3"/>
      <c r="B454" s="3"/>
      <c r="C454" s="3"/>
      <c r="D454" s="3"/>
      <c r="E454" s="3"/>
      <c r="F454" s="3"/>
      <c r="G454" s="23"/>
      <c r="H454" s="24"/>
      <c r="I454" s="3"/>
      <c r="J454" s="3"/>
      <c r="K454" s="3"/>
      <c r="L454" s="3"/>
      <c r="M454" s="3"/>
      <c r="N454" s="3"/>
      <c r="O454" s="3"/>
      <c r="P454" s="3"/>
      <c r="Q454" s="3"/>
      <c r="R454" s="3"/>
      <c r="S454" s="3"/>
      <c r="T454" s="3"/>
      <c r="U454" s="3"/>
      <c r="V454" s="3"/>
      <c r="W454" s="3"/>
      <c r="X454" s="3"/>
      <c r="Y454" s="3"/>
    </row>
    <row r="455" ht="14.25" customHeight="1">
      <c r="A455" s="3"/>
      <c r="B455" s="3"/>
      <c r="C455" s="3"/>
      <c r="D455" s="3"/>
      <c r="E455" s="3"/>
      <c r="F455" s="3"/>
      <c r="G455" s="23"/>
      <c r="H455" s="24"/>
      <c r="I455" s="3"/>
      <c r="J455" s="3"/>
      <c r="K455" s="3"/>
      <c r="L455" s="3"/>
      <c r="M455" s="3"/>
      <c r="N455" s="3"/>
      <c r="O455" s="3"/>
      <c r="P455" s="3"/>
      <c r="Q455" s="3"/>
      <c r="R455" s="3"/>
      <c r="S455" s="3"/>
      <c r="T455" s="3"/>
      <c r="U455" s="3"/>
      <c r="V455" s="3"/>
      <c r="W455" s="3"/>
      <c r="X455" s="3"/>
      <c r="Y455" s="3"/>
    </row>
    <row r="456" ht="14.25" customHeight="1">
      <c r="A456" s="3"/>
      <c r="B456" s="3"/>
      <c r="C456" s="3"/>
      <c r="D456" s="3"/>
      <c r="E456" s="3"/>
      <c r="F456" s="3"/>
      <c r="G456" s="23"/>
      <c r="H456" s="24"/>
      <c r="I456" s="3"/>
      <c r="J456" s="3"/>
      <c r="K456" s="3"/>
      <c r="L456" s="3"/>
      <c r="M456" s="3"/>
      <c r="N456" s="3"/>
      <c r="O456" s="3"/>
      <c r="P456" s="3"/>
      <c r="Q456" s="3"/>
      <c r="R456" s="3"/>
      <c r="S456" s="3"/>
      <c r="T456" s="3"/>
      <c r="U456" s="3"/>
      <c r="V456" s="3"/>
      <c r="W456" s="3"/>
      <c r="X456" s="3"/>
      <c r="Y456" s="3"/>
    </row>
    <row r="457" ht="14.25" customHeight="1">
      <c r="A457" s="3"/>
      <c r="B457" s="3"/>
      <c r="C457" s="3"/>
      <c r="D457" s="3"/>
      <c r="E457" s="3"/>
      <c r="F457" s="3"/>
      <c r="G457" s="23"/>
      <c r="H457" s="24"/>
      <c r="I457" s="3"/>
      <c r="J457" s="3"/>
      <c r="K457" s="3"/>
      <c r="L457" s="3"/>
      <c r="M457" s="3"/>
      <c r="N457" s="3"/>
      <c r="O457" s="3"/>
      <c r="P457" s="3"/>
      <c r="Q457" s="3"/>
      <c r="R457" s="3"/>
      <c r="S457" s="3"/>
      <c r="T457" s="3"/>
      <c r="U457" s="3"/>
      <c r="V457" s="3"/>
      <c r="W457" s="3"/>
      <c r="X457" s="3"/>
      <c r="Y457" s="3"/>
    </row>
    <row r="458" ht="14.25" customHeight="1">
      <c r="A458" s="3"/>
      <c r="B458" s="3"/>
      <c r="C458" s="3"/>
      <c r="D458" s="3"/>
      <c r="E458" s="3"/>
      <c r="F458" s="3"/>
      <c r="G458" s="23"/>
      <c r="H458" s="24"/>
      <c r="I458" s="3"/>
      <c r="J458" s="3"/>
      <c r="K458" s="3"/>
      <c r="L458" s="3"/>
      <c r="M458" s="3"/>
      <c r="N458" s="3"/>
      <c r="O458" s="3"/>
      <c r="P458" s="3"/>
      <c r="Q458" s="3"/>
      <c r="R458" s="3"/>
      <c r="S458" s="3"/>
      <c r="T458" s="3"/>
      <c r="U458" s="3"/>
      <c r="V458" s="3"/>
      <c r="W458" s="3"/>
      <c r="X458" s="3"/>
      <c r="Y458" s="3"/>
    </row>
    <row r="459" ht="14.25" customHeight="1">
      <c r="A459" s="3"/>
      <c r="B459" s="3"/>
      <c r="C459" s="3"/>
      <c r="D459" s="3"/>
      <c r="E459" s="3"/>
      <c r="F459" s="3"/>
      <c r="G459" s="23"/>
      <c r="H459" s="24"/>
      <c r="I459" s="3"/>
      <c r="J459" s="3"/>
      <c r="K459" s="3"/>
      <c r="L459" s="3"/>
      <c r="M459" s="3"/>
      <c r="N459" s="3"/>
      <c r="O459" s="3"/>
      <c r="P459" s="3"/>
      <c r="Q459" s="3"/>
      <c r="R459" s="3"/>
      <c r="S459" s="3"/>
      <c r="T459" s="3"/>
      <c r="U459" s="3"/>
      <c r="V459" s="3"/>
      <c r="W459" s="3"/>
      <c r="X459" s="3"/>
      <c r="Y459" s="3"/>
    </row>
    <row r="460" ht="14.25" customHeight="1">
      <c r="A460" s="3"/>
      <c r="B460" s="3"/>
      <c r="C460" s="3"/>
      <c r="D460" s="3"/>
      <c r="E460" s="3"/>
      <c r="F460" s="3"/>
      <c r="G460" s="23"/>
      <c r="H460" s="24"/>
      <c r="I460" s="3"/>
      <c r="J460" s="3"/>
      <c r="K460" s="3"/>
      <c r="L460" s="3"/>
      <c r="M460" s="3"/>
      <c r="N460" s="3"/>
      <c r="O460" s="3"/>
      <c r="P460" s="3"/>
      <c r="Q460" s="3"/>
      <c r="R460" s="3"/>
      <c r="S460" s="3"/>
      <c r="T460" s="3"/>
      <c r="U460" s="3"/>
      <c r="V460" s="3"/>
      <c r="W460" s="3"/>
      <c r="X460" s="3"/>
      <c r="Y460" s="3"/>
    </row>
    <row r="461" ht="14.25" customHeight="1">
      <c r="A461" s="3"/>
      <c r="B461" s="3"/>
      <c r="C461" s="3"/>
      <c r="D461" s="3"/>
      <c r="E461" s="3"/>
      <c r="F461" s="3"/>
      <c r="G461" s="23"/>
      <c r="H461" s="24"/>
      <c r="I461" s="3"/>
      <c r="J461" s="3"/>
      <c r="K461" s="3"/>
      <c r="L461" s="3"/>
      <c r="M461" s="3"/>
      <c r="N461" s="3"/>
      <c r="O461" s="3"/>
      <c r="P461" s="3"/>
      <c r="Q461" s="3"/>
      <c r="R461" s="3"/>
      <c r="S461" s="3"/>
      <c r="T461" s="3"/>
      <c r="U461" s="3"/>
      <c r="V461" s="3"/>
      <c r="W461" s="3"/>
      <c r="X461" s="3"/>
      <c r="Y461" s="3"/>
    </row>
    <row r="462" ht="14.25" customHeight="1">
      <c r="A462" s="3"/>
      <c r="B462" s="3"/>
      <c r="C462" s="3"/>
      <c r="D462" s="3"/>
      <c r="E462" s="3"/>
      <c r="F462" s="3"/>
      <c r="G462" s="23"/>
      <c r="H462" s="24"/>
      <c r="I462" s="3"/>
      <c r="J462" s="3"/>
      <c r="K462" s="3"/>
      <c r="L462" s="3"/>
      <c r="M462" s="3"/>
      <c r="N462" s="3"/>
      <c r="O462" s="3"/>
      <c r="P462" s="3"/>
      <c r="Q462" s="3"/>
      <c r="R462" s="3"/>
      <c r="S462" s="3"/>
      <c r="T462" s="3"/>
      <c r="U462" s="3"/>
      <c r="V462" s="3"/>
      <c r="W462" s="3"/>
      <c r="X462" s="3"/>
      <c r="Y462" s="3"/>
    </row>
    <row r="463" ht="14.25" customHeight="1">
      <c r="A463" s="3"/>
      <c r="B463" s="3"/>
      <c r="C463" s="3"/>
      <c r="D463" s="3"/>
      <c r="E463" s="3"/>
      <c r="F463" s="3"/>
      <c r="G463" s="23"/>
      <c r="H463" s="24"/>
      <c r="I463" s="3"/>
      <c r="J463" s="3"/>
      <c r="K463" s="3"/>
      <c r="L463" s="3"/>
      <c r="M463" s="3"/>
      <c r="N463" s="3"/>
      <c r="O463" s="3"/>
      <c r="P463" s="3"/>
      <c r="Q463" s="3"/>
      <c r="R463" s="3"/>
      <c r="S463" s="3"/>
      <c r="T463" s="3"/>
      <c r="U463" s="3"/>
      <c r="V463" s="3"/>
      <c r="W463" s="3"/>
      <c r="X463" s="3"/>
      <c r="Y463" s="3"/>
    </row>
    <row r="464" ht="14.25" customHeight="1">
      <c r="A464" s="3"/>
      <c r="B464" s="3"/>
      <c r="C464" s="3"/>
      <c r="D464" s="3"/>
      <c r="E464" s="3"/>
      <c r="F464" s="3"/>
      <c r="G464" s="23"/>
      <c r="H464" s="24"/>
      <c r="I464" s="3"/>
      <c r="J464" s="3"/>
      <c r="K464" s="3"/>
      <c r="L464" s="3"/>
      <c r="M464" s="3"/>
      <c r="N464" s="3"/>
      <c r="O464" s="3"/>
      <c r="P464" s="3"/>
      <c r="Q464" s="3"/>
      <c r="R464" s="3"/>
      <c r="S464" s="3"/>
      <c r="T464" s="3"/>
      <c r="U464" s="3"/>
      <c r="V464" s="3"/>
      <c r="W464" s="3"/>
      <c r="X464" s="3"/>
      <c r="Y464" s="3"/>
    </row>
    <row r="465" ht="14.25" customHeight="1">
      <c r="A465" s="3"/>
      <c r="B465" s="3"/>
      <c r="C465" s="3"/>
      <c r="D465" s="3"/>
      <c r="E465" s="3"/>
      <c r="F465" s="3"/>
      <c r="G465" s="23"/>
      <c r="H465" s="24"/>
      <c r="I465" s="3"/>
      <c r="J465" s="3"/>
      <c r="K465" s="3"/>
      <c r="L465" s="3"/>
      <c r="M465" s="3"/>
      <c r="N465" s="3"/>
      <c r="O465" s="3"/>
      <c r="P465" s="3"/>
      <c r="Q465" s="3"/>
      <c r="R465" s="3"/>
      <c r="S465" s="3"/>
      <c r="T465" s="3"/>
      <c r="U465" s="3"/>
      <c r="V465" s="3"/>
      <c r="W465" s="3"/>
      <c r="X465" s="3"/>
      <c r="Y465" s="3"/>
    </row>
    <row r="466" ht="14.25" customHeight="1">
      <c r="A466" s="3"/>
      <c r="B466" s="3"/>
      <c r="C466" s="3"/>
      <c r="D466" s="3"/>
      <c r="E466" s="3"/>
      <c r="F466" s="3"/>
      <c r="G466" s="23"/>
      <c r="H466" s="24"/>
      <c r="I466" s="3"/>
      <c r="J466" s="3"/>
      <c r="K466" s="3"/>
      <c r="L466" s="3"/>
      <c r="M466" s="3"/>
      <c r="N466" s="3"/>
      <c r="O466" s="3"/>
      <c r="P466" s="3"/>
      <c r="Q466" s="3"/>
      <c r="R466" s="3"/>
      <c r="S466" s="3"/>
      <c r="T466" s="3"/>
      <c r="U466" s="3"/>
      <c r="V466" s="3"/>
      <c r="W466" s="3"/>
      <c r="X466" s="3"/>
      <c r="Y466" s="3"/>
    </row>
    <row r="467" ht="14.25" customHeight="1">
      <c r="A467" s="3"/>
      <c r="B467" s="3"/>
      <c r="C467" s="3"/>
      <c r="D467" s="3"/>
      <c r="E467" s="3"/>
      <c r="F467" s="3"/>
      <c r="G467" s="23"/>
      <c r="H467" s="24"/>
      <c r="I467" s="3"/>
      <c r="J467" s="3"/>
      <c r="K467" s="3"/>
      <c r="L467" s="3"/>
      <c r="M467" s="3"/>
      <c r="N467" s="3"/>
      <c r="O467" s="3"/>
      <c r="P467" s="3"/>
      <c r="Q467" s="3"/>
      <c r="R467" s="3"/>
      <c r="S467" s="3"/>
      <c r="T467" s="3"/>
      <c r="U467" s="3"/>
      <c r="V467" s="3"/>
      <c r="W467" s="3"/>
      <c r="X467" s="3"/>
      <c r="Y467" s="3"/>
    </row>
    <row r="468" ht="14.25" customHeight="1">
      <c r="A468" s="3"/>
      <c r="B468" s="3"/>
      <c r="C468" s="3"/>
      <c r="D468" s="3"/>
      <c r="E468" s="3"/>
      <c r="F468" s="3"/>
      <c r="G468" s="23"/>
      <c r="H468" s="24"/>
      <c r="I468" s="3"/>
      <c r="J468" s="3"/>
      <c r="K468" s="3"/>
      <c r="L468" s="3"/>
      <c r="M468" s="3"/>
      <c r="N468" s="3"/>
      <c r="O468" s="3"/>
      <c r="P468" s="3"/>
      <c r="Q468" s="3"/>
      <c r="R468" s="3"/>
      <c r="S468" s="3"/>
      <c r="T468" s="3"/>
      <c r="U468" s="3"/>
      <c r="V468" s="3"/>
      <c r="W468" s="3"/>
      <c r="X468" s="3"/>
      <c r="Y468" s="3"/>
    </row>
    <row r="469" ht="14.25" customHeight="1">
      <c r="A469" s="3"/>
      <c r="B469" s="3"/>
      <c r="C469" s="3"/>
      <c r="D469" s="3"/>
      <c r="E469" s="3"/>
      <c r="F469" s="3"/>
      <c r="G469" s="23"/>
      <c r="H469" s="24"/>
      <c r="I469" s="3"/>
      <c r="J469" s="3"/>
      <c r="K469" s="3"/>
      <c r="L469" s="3"/>
      <c r="M469" s="3"/>
      <c r="N469" s="3"/>
      <c r="O469" s="3"/>
      <c r="P469" s="3"/>
      <c r="Q469" s="3"/>
      <c r="R469" s="3"/>
      <c r="S469" s="3"/>
      <c r="T469" s="3"/>
      <c r="U469" s="3"/>
      <c r="V469" s="3"/>
      <c r="W469" s="3"/>
      <c r="X469" s="3"/>
      <c r="Y469" s="3"/>
    </row>
    <row r="470" ht="14.25" customHeight="1">
      <c r="A470" s="3"/>
      <c r="B470" s="3"/>
      <c r="C470" s="3"/>
      <c r="D470" s="3"/>
      <c r="E470" s="3"/>
      <c r="F470" s="3"/>
      <c r="G470" s="23"/>
      <c r="H470" s="24"/>
      <c r="I470" s="3"/>
      <c r="J470" s="3"/>
      <c r="K470" s="3"/>
      <c r="L470" s="3"/>
      <c r="M470" s="3"/>
      <c r="N470" s="3"/>
      <c r="O470" s="3"/>
      <c r="P470" s="3"/>
      <c r="Q470" s="3"/>
      <c r="R470" s="3"/>
      <c r="S470" s="3"/>
      <c r="T470" s="3"/>
      <c r="U470" s="3"/>
      <c r="V470" s="3"/>
      <c r="W470" s="3"/>
      <c r="X470" s="3"/>
      <c r="Y470" s="3"/>
    </row>
    <row r="471" ht="14.25" customHeight="1">
      <c r="A471" s="3"/>
      <c r="B471" s="3"/>
      <c r="C471" s="3"/>
      <c r="D471" s="3"/>
      <c r="E471" s="3"/>
      <c r="F471" s="3"/>
      <c r="G471" s="23"/>
      <c r="H471" s="24"/>
      <c r="I471" s="3"/>
      <c r="J471" s="3"/>
      <c r="K471" s="3"/>
      <c r="L471" s="3"/>
      <c r="M471" s="3"/>
      <c r="N471" s="3"/>
      <c r="O471" s="3"/>
      <c r="P471" s="3"/>
      <c r="Q471" s="3"/>
      <c r="R471" s="3"/>
      <c r="S471" s="3"/>
      <c r="T471" s="3"/>
      <c r="U471" s="3"/>
      <c r="V471" s="3"/>
      <c r="W471" s="3"/>
      <c r="X471" s="3"/>
      <c r="Y471" s="3"/>
    </row>
    <row r="472" ht="14.25" customHeight="1">
      <c r="A472" s="3"/>
      <c r="B472" s="3"/>
      <c r="C472" s="3"/>
      <c r="D472" s="3"/>
      <c r="E472" s="3"/>
      <c r="F472" s="3"/>
      <c r="G472" s="23"/>
      <c r="H472" s="24"/>
      <c r="I472" s="3"/>
      <c r="J472" s="3"/>
      <c r="K472" s="3"/>
      <c r="L472" s="3"/>
      <c r="M472" s="3"/>
      <c r="N472" s="3"/>
      <c r="O472" s="3"/>
      <c r="P472" s="3"/>
      <c r="Q472" s="3"/>
      <c r="R472" s="3"/>
      <c r="S472" s="3"/>
      <c r="T472" s="3"/>
      <c r="U472" s="3"/>
      <c r="V472" s="3"/>
      <c r="W472" s="3"/>
      <c r="X472" s="3"/>
      <c r="Y472" s="3"/>
    </row>
    <row r="473" ht="14.25" customHeight="1">
      <c r="A473" s="3"/>
      <c r="B473" s="3"/>
      <c r="C473" s="3"/>
      <c r="D473" s="3"/>
      <c r="E473" s="3"/>
      <c r="F473" s="3"/>
      <c r="G473" s="23"/>
      <c r="H473" s="24"/>
      <c r="I473" s="3"/>
      <c r="J473" s="3"/>
      <c r="K473" s="3"/>
      <c r="L473" s="3"/>
      <c r="M473" s="3"/>
      <c r="N473" s="3"/>
      <c r="O473" s="3"/>
      <c r="P473" s="3"/>
      <c r="Q473" s="3"/>
      <c r="R473" s="3"/>
      <c r="S473" s="3"/>
      <c r="T473" s="3"/>
      <c r="U473" s="3"/>
      <c r="V473" s="3"/>
      <c r="W473" s="3"/>
      <c r="X473" s="3"/>
      <c r="Y473" s="3"/>
    </row>
    <row r="474" ht="14.25" customHeight="1">
      <c r="A474" s="3"/>
      <c r="B474" s="3"/>
      <c r="C474" s="3"/>
      <c r="D474" s="3"/>
      <c r="E474" s="3"/>
      <c r="F474" s="3"/>
      <c r="G474" s="23"/>
      <c r="H474" s="24"/>
      <c r="I474" s="3"/>
      <c r="J474" s="3"/>
      <c r="K474" s="3"/>
      <c r="L474" s="3"/>
      <c r="M474" s="3"/>
      <c r="N474" s="3"/>
      <c r="O474" s="3"/>
      <c r="P474" s="3"/>
      <c r="Q474" s="3"/>
      <c r="R474" s="3"/>
      <c r="S474" s="3"/>
      <c r="T474" s="3"/>
      <c r="U474" s="3"/>
      <c r="V474" s="3"/>
      <c r="W474" s="3"/>
      <c r="X474" s="3"/>
      <c r="Y474" s="3"/>
    </row>
    <row r="475" ht="14.25" customHeight="1">
      <c r="A475" s="3"/>
      <c r="B475" s="3"/>
      <c r="C475" s="3"/>
      <c r="D475" s="3"/>
      <c r="E475" s="3"/>
      <c r="F475" s="3"/>
      <c r="G475" s="23"/>
      <c r="H475" s="24"/>
      <c r="I475" s="3"/>
      <c r="J475" s="3"/>
      <c r="K475" s="3"/>
      <c r="L475" s="3"/>
      <c r="M475" s="3"/>
      <c r="N475" s="3"/>
      <c r="O475" s="3"/>
      <c r="P475" s="3"/>
      <c r="Q475" s="3"/>
      <c r="R475" s="3"/>
      <c r="S475" s="3"/>
      <c r="T475" s="3"/>
      <c r="U475" s="3"/>
      <c r="V475" s="3"/>
      <c r="W475" s="3"/>
      <c r="X475" s="3"/>
      <c r="Y475" s="3"/>
    </row>
    <row r="476" ht="14.25" customHeight="1">
      <c r="A476" s="3"/>
      <c r="B476" s="3"/>
      <c r="C476" s="3"/>
      <c r="D476" s="3"/>
      <c r="E476" s="3"/>
      <c r="F476" s="3"/>
      <c r="G476" s="23"/>
      <c r="H476" s="24"/>
      <c r="I476" s="3"/>
      <c r="J476" s="3"/>
      <c r="K476" s="3"/>
      <c r="L476" s="3"/>
      <c r="M476" s="3"/>
      <c r="N476" s="3"/>
      <c r="O476" s="3"/>
      <c r="P476" s="3"/>
      <c r="Q476" s="3"/>
      <c r="R476" s="3"/>
      <c r="S476" s="3"/>
      <c r="T476" s="3"/>
      <c r="U476" s="3"/>
      <c r="V476" s="3"/>
      <c r="W476" s="3"/>
      <c r="X476" s="3"/>
      <c r="Y476" s="3"/>
    </row>
    <row r="477" ht="14.25" customHeight="1">
      <c r="A477" s="3"/>
      <c r="B477" s="3"/>
      <c r="C477" s="3"/>
      <c r="D477" s="3"/>
      <c r="E477" s="3"/>
      <c r="F477" s="3"/>
      <c r="G477" s="23"/>
      <c r="H477" s="24"/>
      <c r="I477" s="3"/>
      <c r="J477" s="3"/>
      <c r="K477" s="3"/>
      <c r="L477" s="3"/>
      <c r="M477" s="3"/>
      <c r="N477" s="3"/>
      <c r="O477" s="3"/>
      <c r="P477" s="3"/>
      <c r="Q477" s="3"/>
      <c r="R477" s="3"/>
      <c r="S477" s="3"/>
      <c r="T477" s="3"/>
      <c r="U477" s="3"/>
      <c r="V477" s="3"/>
      <c r="W477" s="3"/>
      <c r="X477" s="3"/>
      <c r="Y477" s="3"/>
    </row>
    <row r="478" ht="14.25" customHeight="1">
      <c r="A478" s="3"/>
      <c r="B478" s="3"/>
      <c r="C478" s="3"/>
      <c r="D478" s="3"/>
      <c r="E478" s="3"/>
      <c r="F478" s="3"/>
      <c r="G478" s="23"/>
      <c r="H478" s="24"/>
      <c r="I478" s="3"/>
      <c r="J478" s="3"/>
      <c r="K478" s="3"/>
      <c r="L478" s="3"/>
      <c r="M478" s="3"/>
      <c r="N478" s="3"/>
      <c r="O478" s="3"/>
      <c r="P478" s="3"/>
      <c r="Q478" s="3"/>
      <c r="R478" s="3"/>
      <c r="S478" s="3"/>
      <c r="T478" s="3"/>
      <c r="U478" s="3"/>
      <c r="V478" s="3"/>
      <c r="W478" s="3"/>
      <c r="X478" s="3"/>
      <c r="Y478" s="3"/>
    </row>
    <row r="479" ht="14.25" customHeight="1">
      <c r="A479" s="3"/>
      <c r="B479" s="3"/>
      <c r="C479" s="3"/>
      <c r="D479" s="3"/>
      <c r="E479" s="3"/>
      <c r="F479" s="3"/>
      <c r="G479" s="23"/>
      <c r="H479" s="24"/>
      <c r="I479" s="3"/>
      <c r="J479" s="3"/>
      <c r="K479" s="3"/>
      <c r="L479" s="3"/>
      <c r="M479" s="3"/>
      <c r="N479" s="3"/>
      <c r="O479" s="3"/>
      <c r="P479" s="3"/>
      <c r="Q479" s="3"/>
      <c r="R479" s="3"/>
      <c r="S479" s="3"/>
      <c r="T479" s="3"/>
      <c r="U479" s="3"/>
      <c r="V479" s="3"/>
      <c r="W479" s="3"/>
      <c r="X479" s="3"/>
      <c r="Y479" s="3"/>
    </row>
    <row r="480" ht="14.25" customHeight="1">
      <c r="A480" s="3"/>
      <c r="B480" s="3"/>
      <c r="C480" s="3"/>
      <c r="D480" s="3"/>
      <c r="E480" s="3"/>
      <c r="F480" s="3"/>
      <c r="G480" s="23"/>
      <c r="H480" s="24"/>
      <c r="I480" s="3"/>
      <c r="J480" s="3"/>
      <c r="K480" s="3"/>
      <c r="L480" s="3"/>
      <c r="M480" s="3"/>
      <c r="N480" s="3"/>
      <c r="O480" s="3"/>
      <c r="P480" s="3"/>
      <c r="Q480" s="3"/>
      <c r="R480" s="3"/>
      <c r="S480" s="3"/>
      <c r="T480" s="3"/>
      <c r="U480" s="3"/>
      <c r="V480" s="3"/>
      <c r="W480" s="3"/>
      <c r="X480" s="3"/>
      <c r="Y480" s="3"/>
    </row>
    <row r="481" ht="14.25" customHeight="1">
      <c r="A481" s="3"/>
      <c r="B481" s="3"/>
      <c r="C481" s="3"/>
      <c r="D481" s="3"/>
      <c r="E481" s="3"/>
      <c r="F481" s="3"/>
      <c r="G481" s="23"/>
      <c r="H481" s="24"/>
      <c r="I481" s="3"/>
      <c r="J481" s="3"/>
      <c r="K481" s="3"/>
      <c r="L481" s="3"/>
      <c r="M481" s="3"/>
      <c r="N481" s="3"/>
      <c r="O481" s="3"/>
      <c r="P481" s="3"/>
      <c r="Q481" s="3"/>
      <c r="R481" s="3"/>
      <c r="S481" s="3"/>
      <c r="T481" s="3"/>
      <c r="U481" s="3"/>
      <c r="V481" s="3"/>
      <c r="W481" s="3"/>
      <c r="X481" s="3"/>
      <c r="Y481" s="3"/>
    </row>
    <row r="482" ht="14.25" customHeight="1">
      <c r="A482" s="3"/>
      <c r="B482" s="3"/>
      <c r="C482" s="3"/>
      <c r="D482" s="3"/>
      <c r="E482" s="3"/>
      <c r="F482" s="3"/>
      <c r="G482" s="23"/>
      <c r="H482" s="24"/>
      <c r="I482" s="3"/>
      <c r="J482" s="3"/>
      <c r="K482" s="3"/>
      <c r="L482" s="3"/>
      <c r="M482" s="3"/>
      <c r="N482" s="3"/>
      <c r="O482" s="3"/>
      <c r="P482" s="3"/>
      <c r="Q482" s="3"/>
      <c r="R482" s="3"/>
      <c r="S482" s="3"/>
      <c r="T482" s="3"/>
      <c r="U482" s="3"/>
      <c r="V482" s="3"/>
      <c r="W482" s="3"/>
      <c r="X482" s="3"/>
      <c r="Y482" s="3"/>
    </row>
    <row r="483" ht="14.25" customHeight="1">
      <c r="A483" s="3"/>
      <c r="B483" s="3"/>
      <c r="C483" s="3"/>
      <c r="D483" s="3"/>
      <c r="E483" s="3"/>
      <c r="F483" s="3"/>
      <c r="G483" s="23"/>
      <c r="H483" s="24"/>
      <c r="I483" s="3"/>
      <c r="J483" s="3"/>
      <c r="K483" s="3"/>
      <c r="L483" s="3"/>
      <c r="M483" s="3"/>
      <c r="N483" s="3"/>
      <c r="O483" s="3"/>
      <c r="P483" s="3"/>
      <c r="Q483" s="3"/>
      <c r="R483" s="3"/>
      <c r="S483" s="3"/>
      <c r="T483" s="3"/>
      <c r="U483" s="3"/>
      <c r="V483" s="3"/>
      <c r="W483" s="3"/>
      <c r="X483" s="3"/>
      <c r="Y483" s="3"/>
    </row>
    <row r="484" ht="14.25" customHeight="1">
      <c r="A484" s="3"/>
      <c r="B484" s="3"/>
      <c r="C484" s="3"/>
      <c r="D484" s="3"/>
      <c r="E484" s="3"/>
      <c r="F484" s="3"/>
      <c r="G484" s="23"/>
      <c r="H484" s="24"/>
      <c r="I484" s="3"/>
      <c r="J484" s="3"/>
      <c r="K484" s="3"/>
      <c r="L484" s="3"/>
      <c r="M484" s="3"/>
      <c r="N484" s="3"/>
      <c r="O484" s="3"/>
      <c r="P484" s="3"/>
      <c r="Q484" s="3"/>
      <c r="R484" s="3"/>
      <c r="S484" s="3"/>
      <c r="T484" s="3"/>
      <c r="U484" s="3"/>
      <c r="V484" s="3"/>
      <c r="W484" s="3"/>
      <c r="X484" s="3"/>
      <c r="Y484" s="3"/>
    </row>
    <row r="485" ht="14.25" customHeight="1">
      <c r="A485" s="3"/>
      <c r="B485" s="3"/>
      <c r="C485" s="3"/>
      <c r="D485" s="3"/>
      <c r="E485" s="3"/>
      <c r="F485" s="3"/>
      <c r="G485" s="23"/>
      <c r="H485" s="24"/>
      <c r="I485" s="3"/>
      <c r="J485" s="3"/>
      <c r="K485" s="3"/>
      <c r="L485" s="3"/>
      <c r="M485" s="3"/>
      <c r="N485" s="3"/>
      <c r="O485" s="3"/>
      <c r="P485" s="3"/>
      <c r="Q485" s="3"/>
      <c r="R485" s="3"/>
      <c r="S485" s="3"/>
      <c r="T485" s="3"/>
      <c r="U485" s="3"/>
      <c r="V485" s="3"/>
      <c r="W485" s="3"/>
      <c r="X485" s="3"/>
      <c r="Y485" s="3"/>
    </row>
    <row r="486" ht="14.25" customHeight="1">
      <c r="A486" s="3"/>
      <c r="B486" s="3"/>
      <c r="C486" s="3"/>
      <c r="D486" s="3"/>
      <c r="E486" s="3"/>
      <c r="F486" s="3"/>
      <c r="G486" s="23"/>
      <c r="H486" s="24"/>
      <c r="I486" s="3"/>
      <c r="J486" s="3"/>
      <c r="K486" s="3"/>
      <c r="L486" s="3"/>
      <c r="M486" s="3"/>
      <c r="N486" s="3"/>
      <c r="O486" s="3"/>
      <c r="P486" s="3"/>
      <c r="Q486" s="3"/>
      <c r="R486" s="3"/>
      <c r="S486" s="3"/>
      <c r="T486" s="3"/>
      <c r="U486" s="3"/>
      <c r="V486" s="3"/>
      <c r="W486" s="3"/>
      <c r="X486" s="3"/>
      <c r="Y486" s="3"/>
    </row>
    <row r="487" ht="14.25" customHeight="1">
      <c r="A487" s="3"/>
      <c r="B487" s="3"/>
      <c r="C487" s="3"/>
      <c r="D487" s="3"/>
      <c r="E487" s="3"/>
      <c r="F487" s="3"/>
      <c r="G487" s="23"/>
      <c r="H487" s="24"/>
      <c r="I487" s="3"/>
      <c r="J487" s="3"/>
      <c r="K487" s="3"/>
      <c r="L487" s="3"/>
      <c r="M487" s="3"/>
      <c r="N487" s="3"/>
      <c r="O487" s="3"/>
      <c r="P487" s="3"/>
      <c r="Q487" s="3"/>
      <c r="R487" s="3"/>
      <c r="S487" s="3"/>
      <c r="T487" s="3"/>
      <c r="U487" s="3"/>
      <c r="V487" s="3"/>
      <c r="W487" s="3"/>
      <c r="X487" s="3"/>
      <c r="Y487" s="3"/>
    </row>
    <row r="488" ht="14.25" customHeight="1">
      <c r="A488" s="3"/>
      <c r="B488" s="3"/>
      <c r="C488" s="3"/>
      <c r="D488" s="3"/>
      <c r="E488" s="3"/>
      <c r="F488" s="3"/>
      <c r="G488" s="23"/>
      <c r="H488" s="24"/>
      <c r="I488" s="3"/>
      <c r="J488" s="3"/>
      <c r="K488" s="3"/>
      <c r="L488" s="3"/>
      <c r="M488" s="3"/>
      <c r="N488" s="3"/>
      <c r="O488" s="3"/>
      <c r="P488" s="3"/>
      <c r="Q488" s="3"/>
      <c r="R488" s="3"/>
      <c r="S488" s="3"/>
      <c r="T488" s="3"/>
      <c r="U488" s="3"/>
      <c r="V488" s="3"/>
      <c r="W488" s="3"/>
      <c r="X488" s="3"/>
      <c r="Y488" s="3"/>
    </row>
    <row r="489" ht="14.25" customHeight="1">
      <c r="A489" s="3"/>
      <c r="B489" s="3"/>
      <c r="C489" s="3"/>
      <c r="D489" s="3"/>
      <c r="E489" s="3"/>
      <c r="F489" s="3"/>
      <c r="G489" s="23"/>
      <c r="H489" s="24"/>
      <c r="I489" s="3"/>
      <c r="J489" s="3"/>
      <c r="K489" s="3"/>
      <c r="L489" s="3"/>
      <c r="M489" s="3"/>
      <c r="N489" s="3"/>
      <c r="O489" s="3"/>
      <c r="P489" s="3"/>
      <c r="Q489" s="3"/>
      <c r="R489" s="3"/>
      <c r="S489" s="3"/>
      <c r="T489" s="3"/>
      <c r="U489" s="3"/>
      <c r="V489" s="3"/>
      <c r="W489" s="3"/>
      <c r="X489" s="3"/>
      <c r="Y489" s="3"/>
    </row>
    <row r="490" ht="14.25" customHeight="1">
      <c r="A490" s="3"/>
      <c r="B490" s="3"/>
      <c r="C490" s="3"/>
      <c r="D490" s="3"/>
      <c r="E490" s="3"/>
      <c r="F490" s="3"/>
      <c r="G490" s="23"/>
      <c r="H490" s="24"/>
      <c r="I490" s="3"/>
      <c r="J490" s="3"/>
      <c r="K490" s="3"/>
      <c r="L490" s="3"/>
      <c r="M490" s="3"/>
      <c r="N490" s="3"/>
      <c r="O490" s="3"/>
      <c r="P490" s="3"/>
      <c r="Q490" s="3"/>
      <c r="R490" s="3"/>
      <c r="S490" s="3"/>
      <c r="T490" s="3"/>
      <c r="U490" s="3"/>
      <c r="V490" s="3"/>
      <c r="W490" s="3"/>
      <c r="X490" s="3"/>
      <c r="Y490" s="3"/>
    </row>
    <row r="491" ht="14.25" customHeight="1">
      <c r="A491" s="3"/>
      <c r="B491" s="3"/>
      <c r="C491" s="3"/>
      <c r="D491" s="3"/>
      <c r="E491" s="3"/>
      <c r="F491" s="3"/>
      <c r="G491" s="23"/>
      <c r="H491" s="24"/>
      <c r="I491" s="3"/>
      <c r="J491" s="3"/>
      <c r="K491" s="3"/>
      <c r="L491" s="3"/>
      <c r="M491" s="3"/>
      <c r="N491" s="3"/>
      <c r="O491" s="3"/>
      <c r="P491" s="3"/>
      <c r="Q491" s="3"/>
      <c r="R491" s="3"/>
      <c r="S491" s="3"/>
      <c r="T491" s="3"/>
      <c r="U491" s="3"/>
      <c r="V491" s="3"/>
      <c r="W491" s="3"/>
      <c r="X491" s="3"/>
      <c r="Y491" s="3"/>
    </row>
    <row r="492" ht="14.25" customHeight="1">
      <c r="A492" s="3"/>
      <c r="B492" s="3"/>
      <c r="C492" s="3"/>
      <c r="D492" s="3"/>
      <c r="E492" s="3"/>
      <c r="F492" s="3"/>
      <c r="G492" s="23"/>
      <c r="H492" s="24"/>
      <c r="I492" s="3"/>
      <c r="J492" s="3"/>
      <c r="K492" s="3"/>
      <c r="L492" s="3"/>
      <c r="M492" s="3"/>
      <c r="N492" s="3"/>
      <c r="O492" s="3"/>
      <c r="P492" s="3"/>
      <c r="Q492" s="3"/>
      <c r="R492" s="3"/>
      <c r="S492" s="3"/>
      <c r="T492" s="3"/>
      <c r="U492" s="3"/>
      <c r="V492" s="3"/>
      <c r="W492" s="3"/>
      <c r="X492" s="3"/>
      <c r="Y492" s="3"/>
    </row>
    <row r="493" ht="14.25" customHeight="1">
      <c r="A493" s="3"/>
      <c r="B493" s="3"/>
      <c r="C493" s="3"/>
      <c r="D493" s="3"/>
      <c r="E493" s="3"/>
      <c r="F493" s="3"/>
      <c r="G493" s="23"/>
      <c r="H493" s="24"/>
      <c r="I493" s="3"/>
      <c r="J493" s="3"/>
      <c r="K493" s="3"/>
      <c r="L493" s="3"/>
      <c r="M493" s="3"/>
      <c r="N493" s="3"/>
      <c r="O493" s="3"/>
      <c r="P493" s="3"/>
      <c r="Q493" s="3"/>
      <c r="R493" s="3"/>
      <c r="S493" s="3"/>
      <c r="T493" s="3"/>
      <c r="U493" s="3"/>
      <c r="V493" s="3"/>
      <c r="W493" s="3"/>
      <c r="X493" s="3"/>
      <c r="Y493" s="3"/>
    </row>
    <row r="494" ht="14.25" customHeight="1">
      <c r="A494" s="3"/>
      <c r="B494" s="3"/>
      <c r="C494" s="3"/>
      <c r="D494" s="3"/>
      <c r="E494" s="3"/>
      <c r="F494" s="3"/>
      <c r="G494" s="23"/>
      <c r="H494" s="24"/>
      <c r="I494" s="3"/>
      <c r="J494" s="3"/>
      <c r="K494" s="3"/>
      <c r="L494" s="3"/>
      <c r="M494" s="3"/>
      <c r="N494" s="3"/>
      <c r="O494" s="3"/>
      <c r="P494" s="3"/>
      <c r="Q494" s="3"/>
      <c r="R494" s="3"/>
      <c r="S494" s="3"/>
      <c r="T494" s="3"/>
      <c r="U494" s="3"/>
      <c r="V494" s="3"/>
      <c r="W494" s="3"/>
      <c r="X494" s="3"/>
      <c r="Y494" s="3"/>
    </row>
    <row r="495" ht="14.25" customHeight="1">
      <c r="A495" s="3"/>
      <c r="B495" s="3"/>
      <c r="C495" s="3"/>
      <c r="D495" s="3"/>
      <c r="E495" s="3"/>
      <c r="F495" s="3"/>
      <c r="G495" s="23"/>
      <c r="H495" s="24"/>
      <c r="I495" s="3"/>
      <c r="J495" s="3"/>
      <c r="K495" s="3"/>
      <c r="L495" s="3"/>
      <c r="M495" s="3"/>
      <c r="N495" s="3"/>
      <c r="O495" s="3"/>
      <c r="P495" s="3"/>
      <c r="Q495" s="3"/>
      <c r="R495" s="3"/>
      <c r="S495" s="3"/>
      <c r="T495" s="3"/>
      <c r="U495" s="3"/>
      <c r="V495" s="3"/>
      <c r="W495" s="3"/>
      <c r="X495" s="3"/>
      <c r="Y495" s="3"/>
    </row>
    <row r="496" ht="14.25" customHeight="1">
      <c r="A496" s="3"/>
      <c r="B496" s="3"/>
      <c r="C496" s="3"/>
      <c r="D496" s="3"/>
      <c r="E496" s="3"/>
      <c r="F496" s="3"/>
      <c r="G496" s="23"/>
      <c r="H496" s="24"/>
      <c r="I496" s="3"/>
      <c r="J496" s="3"/>
      <c r="K496" s="3"/>
      <c r="L496" s="3"/>
      <c r="M496" s="3"/>
      <c r="N496" s="3"/>
      <c r="O496" s="3"/>
      <c r="P496" s="3"/>
      <c r="Q496" s="3"/>
      <c r="R496" s="3"/>
      <c r="S496" s="3"/>
      <c r="T496" s="3"/>
      <c r="U496" s="3"/>
      <c r="V496" s="3"/>
      <c r="W496" s="3"/>
      <c r="X496" s="3"/>
      <c r="Y496" s="3"/>
    </row>
    <row r="497" ht="14.25" customHeight="1">
      <c r="A497" s="3"/>
      <c r="B497" s="3"/>
      <c r="C497" s="3"/>
      <c r="D497" s="3"/>
      <c r="E497" s="3"/>
      <c r="F497" s="3"/>
      <c r="G497" s="23"/>
      <c r="H497" s="24"/>
      <c r="I497" s="3"/>
      <c r="J497" s="3"/>
      <c r="K497" s="3"/>
      <c r="L497" s="3"/>
      <c r="M497" s="3"/>
      <c r="N497" s="3"/>
      <c r="O497" s="3"/>
      <c r="P497" s="3"/>
      <c r="Q497" s="3"/>
      <c r="R497" s="3"/>
      <c r="S497" s="3"/>
      <c r="T497" s="3"/>
      <c r="U497" s="3"/>
      <c r="V497" s="3"/>
      <c r="W497" s="3"/>
      <c r="X497" s="3"/>
      <c r="Y497" s="3"/>
    </row>
    <row r="498" ht="14.25" customHeight="1">
      <c r="A498" s="3"/>
      <c r="B498" s="3"/>
      <c r="C498" s="3"/>
      <c r="D498" s="3"/>
      <c r="E498" s="3"/>
      <c r="F498" s="3"/>
      <c r="G498" s="23"/>
      <c r="H498" s="24"/>
      <c r="I498" s="3"/>
      <c r="J498" s="3"/>
      <c r="K498" s="3"/>
      <c r="L498" s="3"/>
      <c r="M498" s="3"/>
      <c r="N498" s="3"/>
      <c r="O498" s="3"/>
      <c r="P498" s="3"/>
      <c r="Q498" s="3"/>
      <c r="R498" s="3"/>
      <c r="S498" s="3"/>
      <c r="T498" s="3"/>
      <c r="U498" s="3"/>
      <c r="V498" s="3"/>
      <c r="W498" s="3"/>
      <c r="X498" s="3"/>
      <c r="Y498" s="3"/>
    </row>
    <row r="499" ht="14.25" customHeight="1">
      <c r="A499" s="3"/>
      <c r="B499" s="3"/>
      <c r="C499" s="3"/>
      <c r="D499" s="3"/>
      <c r="E499" s="3"/>
      <c r="F499" s="3"/>
      <c r="G499" s="23"/>
      <c r="H499" s="24"/>
      <c r="I499" s="3"/>
      <c r="J499" s="3"/>
      <c r="K499" s="3"/>
      <c r="L499" s="3"/>
      <c r="M499" s="3"/>
      <c r="N499" s="3"/>
      <c r="O499" s="3"/>
      <c r="P499" s="3"/>
      <c r="Q499" s="3"/>
      <c r="R499" s="3"/>
      <c r="S499" s="3"/>
      <c r="T499" s="3"/>
      <c r="U499" s="3"/>
      <c r="V499" s="3"/>
      <c r="W499" s="3"/>
      <c r="X499" s="3"/>
      <c r="Y499" s="3"/>
    </row>
    <row r="500" ht="14.25" customHeight="1">
      <c r="A500" s="3"/>
      <c r="B500" s="3"/>
      <c r="C500" s="3"/>
      <c r="D500" s="3"/>
      <c r="E500" s="3"/>
      <c r="F500" s="3"/>
      <c r="G500" s="23"/>
      <c r="H500" s="24"/>
      <c r="I500" s="3"/>
      <c r="J500" s="3"/>
      <c r="K500" s="3"/>
      <c r="L500" s="3"/>
      <c r="M500" s="3"/>
      <c r="N500" s="3"/>
      <c r="O500" s="3"/>
      <c r="P500" s="3"/>
      <c r="Q500" s="3"/>
      <c r="R500" s="3"/>
      <c r="S500" s="3"/>
      <c r="T500" s="3"/>
      <c r="U500" s="3"/>
      <c r="V500" s="3"/>
      <c r="W500" s="3"/>
      <c r="X500" s="3"/>
      <c r="Y500" s="3"/>
    </row>
    <row r="501" ht="14.25" customHeight="1">
      <c r="A501" s="3"/>
      <c r="B501" s="3"/>
      <c r="C501" s="3"/>
      <c r="D501" s="3"/>
      <c r="E501" s="3"/>
      <c r="F501" s="3"/>
      <c r="G501" s="23"/>
      <c r="H501" s="24"/>
      <c r="I501" s="3"/>
      <c r="J501" s="3"/>
      <c r="K501" s="3"/>
      <c r="L501" s="3"/>
      <c r="M501" s="3"/>
      <c r="N501" s="3"/>
      <c r="O501" s="3"/>
      <c r="P501" s="3"/>
      <c r="Q501" s="3"/>
      <c r="R501" s="3"/>
      <c r="S501" s="3"/>
      <c r="T501" s="3"/>
      <c r="U501" s="3"/>
      <c r="V501" s="3"/>
      <c r="W501" s="3"/>
      <c r="X501" s="3"/>
      <c r="Y501" s="3"/>
    </row>
    <row r="502" ht="14.25" customHeight="1">
      <c r="A502" s="3"/>
      <c r="B502" s="3"/>
      <c r="C502" s="3"/>
      <c r="D502" s="3"/>
      <c r="E502" s="3"/>
      <c r="F502" s="3"/>
      <c r="G502" s="23"/>
      <c r="H502" s="24"/>
      <c r="I502" s="3"/>
      <c r="J502" s="3"/>
      <c r="K502" s="3"/>
      <c r="L502" s="3"/>
      <c r="M502" s="3"/>
      <c r="N502" s="3"/>
      <c r="O502" s="3"/>
      <c r="P502" s="3"/>
      <c r="Q502" s="3"/>
      <c r="R502" s="3"/>
      <c r="S502" s="3"/>
      <c r="T502" s="3"/>
      <c r="U502" s="3"/>
      <c r="V502" s="3"/>
      <c r="W502" s="3"/>
      <c r="X502" s="3"/>
      <c r="Y502" s="3"/>
    </row>
    <row r="503" ht="14.25" customHeight="1">
      <c r="A503" s="3"/>
      <c r="B503" s="3"/>
      <c r="C503" s="3"/>
      <c r="D503" s="3"/>
      <c r="E503" s="3"/>
      <c r="F503" s="3"/>
      <c r="G503" s="23"/>
      <c r="H503" s="24"/>
      <c r="I503" s="3"/>
      <c r="J503" s="3"/>
      <c r="K503" s="3"/>
      <c r="L503" s="3"/>
      <c r="M503" s="3"/>
      <c r="N503" s="3"/>
      <c r="O503" s="3"/>
      <c r="P503" s="3"/>
      <c r="Q503" s="3"/>
      <c r="R503" s="3"/>
      <c r="S503" s="3"/>
      <c r="T503" s="3"/>
      <c r="U503" s="3"/>
      <c r="V503" s="3"/>
      <c r="W503" s="3"/>
      <c r="X503" s="3"/>
      <c r="Y503" s="3"/>
    </row>
    <row r="504" ht="14.25" customHeight="1">
      <c r="A504" s="3"/>
      <c r="B504" s="3"/>
      <c r="C504" s="3"/>
      <c r="D504" s="3"/>
      <c r="E504" s="3"/>
      <c r="F504" s="3"/>
      <c r="G504" s="23"/>
      <c r="H504" s="24"/>
      <c r="I504" s="3"/>
      <c r="J504" s="3"/>
      <c r="K504" s="3"/>
      <c r="L504" s="3"/>
      <c r="M504" s="3"/>
      <c r="N504" s="3"/>
      <c r="O504" s="3"/>
      <c r="P504" s="3"/>
      <c r="Q504" s="3"/>
      <c r="R504" s="3"/>
      <c r="S504" s="3"/>
      <c r="T504" s="3"/>
      <c r="U504" s="3"/>
      <c r="V504" s="3"/>
      <c r="W504" s="3"/>
      <c r="X504" s="3"/>
      <c r="Y504" s="3"/>
    </row>
    <row r="505" ht="14.25" customHeight="1">
      <c r="A505" s="3"/>
      <c r="B505" s="3"/>
      <c r="C505" s="3"/>
      <c r="D505" s="3"/>
      <c r="E505" s="3"/>
      <c r="F505" s="3"/>
      <c r="G505" s="23"/>
      <c r="H505" s="24"/>
      <c r="I505" s="3"/>
      <c r="J505" s="3"/>
      <c r="K505" s="3"/>
      <c r="L505" s="3"/>
      <c r="M505" s="3"/>
      <c r="N505" s="3"/>
      <c r="O505" s="3"/>
      <c r="P505" s="3"/>
      <c r="Q505" s="3"/>
      <c r="R505" s="3"/>
      <c r="S505" s="3"/>
      <c r="T505" s="3"/>
      <c r="U505" s="3"/>
      <c r="V505" s="3"/>
      <c r="W505" s="3"/>
      <c r="X505" s="3"/>
      <c r="Y505" s="3"/>
    </row>
    <row r="506" ht="14.25" customHeight="1">
      <c r="A506" s="3"/>
      <c r="B506" s="3"/>
      <c r="C506" s="3"/>
      <c r="D506" s="3"/>
      <c r="E506" s="3"/>
      <c r="F506" s="3"/>
      <c r="G506" s="23"/>
      <c r="H506" s="24"/>
      <c r="I506" s="3"/>
      <c r="J506" s="3"/>
      <c r="K506" s="3"/>
      <c r="L506" s="3"/>
      <c r="M506" s="3"/>
      <c r="N506" s="3"/>
      <c r="O506" s="3"/>
      <c r="P506" s="3"/>
      <c r="Q506" s="3"/>
      <c r="R506" s="3"/>
      <c r="S506" s="3"/>
      <c r="T506" s="3"/>
      <c r="U506" s="3"/>
      <c r="V506" s="3"/>
      <c r="W506" s="3"/>
      <c r="X506" s="3"/>
      <c r="Y506" s="3"/>
    </row>
    <row r="507" ht="14.25" customHeight="1">
      <c r="A507" s="3"/>
      <c r="B507" s="3"/>
      <c r="C507" s="3"/>
      <c r="D507" s="3"/>
      <c r="E507" s="3"/>
      <c r="F507" s="3"/>
      <c r="G507" s="23"/>
      <c r="H507" s="24"/>
      <c r="I507" s="3"/>
      <c r="J507" s="3"/>
      <c r="K507" s="3"/>
      <c r="L507" s="3"/>
      <c r="M507" s="3"/>
      <c r="N507" s="3"/>
      <c r="O507" s="3"/>
      <c r="P507" s="3"/>
      <c r="Q507" s="3"/>
      <c r="R507" s="3"/>
      <c r="S507" s="3"/>
      <c r="T507" s="3"/>
      <c r="U507" s="3"/>
      <c r="V507" s="3"/>
      <c r="W507" s="3"/>
      <c r="X507" s="3"/>
      <c r="Y507" s="3"/>
    </row>
    <row r="508" ht="14.25" customHeight="1">
      <c r="A508" s="3"/>
      <c r="B508" s="3"/>
      <c r="C508" s="3"/>
      <c r="D508" s="3"/>
      <c r="E508" s="3"/>
      <c r="F508" s="3"/>
      <c r="G508" s="23"/>
      <c r="H508" s="24"/>
      <c r="I508" s="3"/>
      <c r="J508" s="3"/>
      <c r="K508" s="3"/>
      <c r="L508" s="3"/>
      <c r="M508" s="3"/>
      <c r="N508" s="3"/>
      <c r="O508" s="3"/>
      <c r="P508" s="3"/>
      <c r="Q508" s="3"/>
      <c r="R508" s="3"/>
      <c r="S508" s="3"/>
      <c r="T508" s="3"/>
      <c r="U508" s="3"/>
      <c r="V508" s="3"/>
      <c r="W508" s="3"/>
      <c r="X508" s="3"/>
      <c r="Y508" s="3"/>
    </row>
    <row r="509" ht="14.25" customHeight="1">
      <c r="A509" s="3"/>
      <c r="B509" s="3"/>
      <c r="C509" s="3"/>
      <c r="D509" s="3"/>
      <c r="E509" s="3"/>
      <c r="F509" s="3"/>
      <c r="G509" s="23"/>
      <c r="H509" s="24"/>
      <c r="I509" s="3"/>
      <c r="J509" s="3"/>
      <c r="K509" s="3"/>
      <c r="L509" s="3"/>
      <c r="M509" s="3"/>
      <c r="N509" s="3"/>
      <c r="O509" s="3"/>
      <c r="P509" s="3"/>
      <c r="Q509" s="3"/>
      <c r="R509" s="3"/>
      <c r="S509" s="3"/>
      <c r="T509" s="3"/>
      <c r="U509" s="3"/>
      <c r="V509" s="3"/>
      <c r="W509" s="3"/>
      <c r="X509" s="3"/>
      <c r="Y509" s="3"/>
    </row>
    <row r="510" ht="14.25" customHeight="1">
      <c r="A510" s="3"/>
      <c r="B510" s="3"/>
      <c r="C510" s="3"/>
      <c r="D510" s="3"/>
      <c r="E510" s="3"/>
      <c r="F510" s="3"/>
      <c r="G510" s="23"/>
      <c r="H510" s="24"/>
      <c r="I510" s="3"/>
      <c r="J510" s="3"/>
      <c r="K510" s="3"/>
      <c r="L510" s="3"/>
      <c r="M510" s="3"/>
      <c r="N510" s="3"/>
      <c r="O510" s="3"/>
      <c r="P510" s="3"/>
      <c r="Q510" s="3"/>
      <c r="R510" s="3"/>
      <c r="S510" s="3"/>
      <c r="T510" s="3"/>
      <c r="U510" s="3"/>
      <c r="V510" s="3"/>
      <c r="W510" s="3"/>
      <c r="X510" s="3"/>
      <c r="Y510" s="3"/>
    </row>
    <row r="511" ht="14.25" customHeight="1">
      <c r="A511" s="3"/>
      <c r="B511" s="3"/>
      <c r="C511" s="3"/>
      <c r="D511" s="3"/>
      <c r="E511" s="3"/>
      <c r="F511" s="3"/>
      <c r="G511" s="23"/>
      <c r="H511" s="24"/>
      <c r="I511" s="3"/>
      <c r="J511" s="3"/>
      <c r="K511" s="3"/>
      <c r="L511" s="3"/>
      <c r="M511" s="3"/>
      <c r="N511" s="3"/>
      <c r="O511" s="3"/>
      <c r="P511" s="3"/>
      <c r="Q511" s="3"/>
      <c r="R511" s="3"/>
      <c r="S511" s="3"/>
      <c r="T511" s="3"/>
      <c r="U511" s="3"/>
      <c r="V511" s="3"/>
      <c r="W511" s="3"/>
      <c r="X511" s="3"/>
      <c r="Y511" s="3"/>
    </row>
    <row r="512" ht="14.25" customHeight="1">
      <c r="A512" s="3"/>
      <c r="B512" s="3"/>
      <c r="C512" s="3"/>
      <c r="D512" s="3"/>
      <c r="E512" s="3"/>
      <c r="F512" s="3"/>
      <c r="G512" s="23"/>
      <c r="H512" s="24"/>
      <c r="I512" s="3"/>
      <c r="J512" s="3"/>
      <c r="K512" s="3"/>
      <c r="L512" s="3"/>
      <c r="M512" s="3"/>
      <c r="N512" s="3"/>
      <c r="O512" s="3"/>
      <c r="P512" s="3"/>
      <c r="Q512" s="3"/>
      <c r="R512" s="3"/>
      <c r="S512" s="3"/>
      <c r="T512" s="3"/>
      <c r="U512" s="3"/>
      <c r="V512" s="3"/>
      <c r="W512" s="3"/>
      <c r="X512" s="3"/>
      <c r="Y512" s="3"/>
    </row>
    <row r="513" ht="14.25" customHeight="1">
      <c r="A513" s="3"/>
      <c r="B513" s="3"/>
      <c r="C513" s="3"/>
      <c r="D513" s="3"/>
      <c r="E513" s="3"/>
      <c r="F513" s="3"/>
      <c r="G513" s="23"/>
      <c r="H513" s="24"/>
      <c r="I513" s="3"/>
      <c r="J513" s="3"/>
      <c r="K513" s="3"/>
      <c r="L513" s="3"/>
      <c r="M513" s="3"/>
      <c r="N513" s="3"/>
      <c r="O513" s="3"/>
      <c r="P513" s="3"/>
      <c r="Q513" s="3"/>
      <c r="R513" s="3"/>
      <c r="S513" s="3"/>
      <c r="T513" s="3"/>
      <c r="U513" s="3"/>
      <c r="V513" s="3"/>
      <c r="W513" s="3"/>
      <c r="X513" s="3"/>
      <c r="Y513" s="3"/>
    </row>
    <row r="514" ht="14.25" customHeight="1">
      <c r="A514" s="3"/>
      <c r="B514" s="3"/>
      <c r="C514" s="3"/>
      <c r="D514" s="3"/>
      <c r="E514" s="3"/>
      <c r="F514" s="3"/>
      <c r="G514" s="23"/>
      <c r="H514" s="24"/>
      <c r="I514" s="3"/>
      <c r="J514" s="3"/>
      <c r="K514" s="3"/>
      <c r="L514" s="3"/>
      <c r="M514" s="3"/>
      <c r="N514" s="3"/>
      <c r="O514" s="3"/>
      <c r="P514" s="3"/>
      <c r="Q514" s="3"/>
      <c r="R514" s="3"/>
      <c r="S514" s="3"/>
      <c r="T514" s="3"/>
      <c r="U514" s="3"/>
      <c r="V514" s="3"/>
      <c r="W514" s="3"/>
      <c r="X514" s="3"/>
      <c r="Y514" s="3"/>
    </row>
    <row r="515" ht="14.25" customHeight="1">
      <c r="A515" s="3"/>
      <c r="B515" s="3"/>
      <c r="C515" s="3"/>
      <c r="D515" s="3"/>
      <c r="E515" s="3"/>
      <c r="F515" s="3"/>
      <c r="G515" s="23"/>
      <c r="H515" s="24"/>
      <c r="I515" s="3"/>
      <c r="J515" s="3"/>
      <c r="K515" s="3"/>
      <c r="L515" s="3"/>
      <c r="M515" s="3"/>
      <c r="N515" s="3"/>
      <c r="O515" s="3"/>
      <c r="P515" s="3"/>
      <c r="Q515" s="3"/>
      <c r="R515" s="3"/>
      <c r="S515" s="3"/>
      <c r="T515" s="3"/>
      <c r="U515" s="3"/>
      <c r="V515" s="3"/>
      <c r="W515" s="3"/>
      <c r="X515" s="3"/>
      <c r="Y515" s="3"/>
    </row>
    <row r="516" ht="14.25" customHeight="1">
      <c r="A516" s="3"/>
      <c r="B516" s="3"/>
      <c r="C516" s="3"/>
      <c r="D516" s="3"/>
      <c r="E516" s="3"/>
      <c r="F516" s="3"/>
      <c r="G516" s="23"/>
      <c r="H516" s="24"/>
      <c r="I516" s="3"/>
      <c r="J516" s="3"/>
      <c r="K516" s="3"/>
      <c r="L516" s="3"/>
      <c r="M516" s="3"/>
      <c r="N516" s="3"/>
      <c r="O516" s="3"/>
      <c r="P516" s="3"/>
      <c r="Q516" s="3"/>
      <c r="R516" s="3"/>
      <c r="S516" s="3"/>
      <c r="T516" s="3"/>
      <c r="U516" s="3"/>
      <c r="V516" s="3"/>
      <c r="W516" s="3"/>
      <c r="X516" s="3"/>
      <c r="Y516" s="3"/>
    </row>
    <row r="517" ht="14.25" customHeight="1">
      <c r="A517" s="3"/>
      <c r="B517" s="3"/>
      <c r="C517" s="3"/>
      <c r="D517" s="3"/>
      <c r="E517" s="3"/>
      <c r="F517" s="3"/>
      <c r="G517" s="23"/>
      <c r="H517" s="24"/>
      <c r="I517" s="3"/>
      <c r="J517" s="3"/>
      <c r="K517" s="3"/>
      <c r="L517" s="3"/>
      <c r="M517" s="3"/>
      <c r="N517" s="3"/>
      <c r="O517" s="3"/>
      <c r="P517" s="3"/>
      <c r="Q517" s="3"/>
      <c r="R517" s="3"/>
      <c r="S517" s="3"/>
      <c r="T517" s="3"/>
      <c r="U517" s="3"/>
      <c r="V517" s="3"/>
      <c r="W517" s="3"/>
      <c r="X517" s="3"/>
      <c r="Y517" s="3"/>
    </row>
    <row r="518" ht="14.25" customHeight="1">
      <c r="A518" s="3"/>
      <c r="B518" s="3"/>
      <c r="C518" s="3"/>
      <c r="D518" s="3"/>
      <c r="E518" s="3"/>
      <c r="F518" s="3"/>
      <c r="G518" s="23"/>
      <c r="H518" s="24"/>
      <c r="I518" s="3"/>
      <c r="J518" s="3"/>
      <c r="K518" s="3"/>
      <c r="L518" s="3"/>
      <c r="M518" s="3"/>
      <c r="N518" s="3"/>
      <c r="O518" s="3"/>
      <c r="P518" s="3"/>
      <c r="Q518" s="3"/>
      <c r="R518" s="3"/>
      <c r="S518" s="3"/>
      <c r="T518" s="3"/>
      <c r="U518" s="3"/>
      <c r="V518" s="3"/>
      <c r="W518" s="3"/>
      <c r="X518" s="3"/>
      <c r="Y518" s="3"/>
    </row>
    <row r="519" ht="14.25" customHeight="1">
      <c r="A519" s="3"/>
      <c r="B519" s="3"/>
      <c r="C519" s="3"/>
      <c r="D519" s="3"/>
      <c r="E519" s="3"/>
      <c r="F519" s="3"/>
      <c r="G519" s="23"/>
      <c r="H519" s="24"/>
      <c r="I519" s="3"/>
      <c r="J519" s="3"/>
      <c r="K519" s="3"/>
      <c r="L519" s="3"/>
      <c r="M519" s="3"/>
      <c r="N519" s="3"/>
      <c r="O519" s="3"/>
      <c r="P519" s="3"/>
      <c r="Q519" s="3"/>
      <c r="R519" s="3"/>
      <c r="S519" s="3"/>
      <c r="T519" s="3"/>
      <c r="U519" s="3"/>
      <c r="V519" s="3"/>
      <c r="W519" s="3"/>
      <c r="X519" s="3"/>
      <c r="Y519" s="3"/>
    </row>
    <row r="520" ht="14.25" customHeight="1">
      <c r="A520" s="3"/>
      <c r="B520" s="3"/>
      <c r="C520" s="3"/>
      <c r="D520" s="3"/>
      <c r="E520" s="3"/>
      <c r="F520" s="3"/>
      <c r="G520" s="23"/>
      <c r="H520" s="24"/>
      <c r="I520" s="3"/>
      <c r="J520" s="3"/>
      <c r="K520" s="3"/>
      <c r="L520" s="3"/>
      <c r="M520" s="3"/>
      <c r="N520" s="3"/>
      <c r="O520" s="3"/>
      <c r="P520" s="3"/>
      <c r="Q520" s="3"/>
      <c r="R520" s="3"/>
      <c r="S520" s="3"/>
      <c r="T520" s="3"/>
      <c r="U520" s="3"/>
      <c r="V520" s="3"/>
      <c r="W520" s="3"/>
      <c r="X520" s="3"/>
      <c r="Y520" s="3"/>
    </row>
    <row r="521" ht="14.25" customHeight="1">
      <c r="A521" s="3"/>
      <c r="B521" s="3"/>
      <c r="C521" s="3"/>
      <c r="D521" s="3"/>
      <c r="E521" s="3"/>
      <c r="F521" s="3"/>
      <c r="G521" s="23"/>
      <c r="H521" s="24"/>
      <c r="I521" s="3"/>
      <c r="J521" s="3"/>
      <c r="K521" s="3"/>
      <c r="L521" s="3"/>
      <c r="M521" s="3"/>
      <c r="N521" s="3"/>
      <c r="O521" s="3"/>
      <c r="P521" s="3"/>
      <c r="Q521" s="3"/>
      <c r="R521" s="3"/>
      <c r="S521" s="3"/>
      <c r="T521" s="3"/>
      <c r="U521" s="3"/>
      <c r="V521" s="3"/>
      <c r="W521" s="3"/>
      <c r="X521" s="3"/>
      <c r="Y521" s="3"/>
    </row>
    <row r="522" ht="14.25" customHeight="1">
      <c r="A522" s="3"/>
      <c r="B522" s="3"/>
      <c r="C522" s="3"/>
      <c r="D522" s="3"/>
      <c r="E522" s="3"/>
      <c r="F522" s="3"/>
      <c r="G522" s="23"/>
      <c r="H522" s="24"/>
      <c r="I522" s="3"/>
      <c r="J522" s="3"/>
      <c r="K522" s="3"/>
      <c r="L522" s="3"/>
      <c r="M522" s="3"/>
      <c r="N522" s="3"/>
      <c r="O522" s="3"/>
      <c r="P522" s="3"/>
      <c r="Q522" s="3"/>
      <c r="R522" s="3"/>
      <c r="S522" s="3"/>
      <c r="T522" s="3"/>
      <c r="U522" s="3"/>
      <c r="V522" s="3"/>
      <c r="W522" s="3"/>
      <c r="X522" s="3"/>
      <c r="Y522" s="3"/>
    </row>
    <row r="523" ht="14.25" customHeight="1">
      <c r="A523" s="3"/>
      <c r="B523" s="3"/>
      <c r="C523" s="3"/>
      <c r="D523" s="3"/>
      <c r="E523" s="3"/>
      <c r="F523" s="3"/>
      <c r="G523" s="23"/>
      <c r="H523" s="24"/>
      <c r="I523" s="3"/>
      <c r="J523" s="3"/>
      <c r="K523" s="3"/>
      <c r="L523" s="3"/>
      <c r="M523" s="3"/>
      <c r="N523" s="3"/>
      <c r="O523" s="3"/>
      <c r="P523" s="3"/>
      <c r="Q523" s="3"/>
      <c r="R523" s="3"/>
      <c r="S523" s="3"/>
      <c r="T523" s="3"/>
      <c r="U523" s="3"/>
      <c r="V523" s="3"/>
      <c r="W523" s="3"/>
      <c r="X523" s="3"/>
      <c r="Y523" s="3"/>
    </row>
    <row r="524" ht="14.25" customHeight="1">
      <c r="A524" s="3"/>
      <c r="B524" s="3"/>
      <c r="C524" s="3"/>
      <c r="D524" s="3"/>
      <c r="E524" s="3"/>
      <c r="F524" s="3"/>
      <c r="G524" s="23"/>
      <c r="H524" s="24"/>
      <c r="I524" s="3"/>
      <c r="J524" s="3"/>
      <c r="K524" s="3"/>
      <c r="L524" s="3"/>
      <c r="M524" s="3"/>
      <c r="N524" s="3"/>
      <c r="O524" s="3"/>
      <c r="P524" s="3"/>
      <c r="Q524" s="3"/>
      <c r="R524" s="3"/>
      <c r="S524" s="3"/>
      <c r="T524" s="3"/>
      <c r="U524" s="3"/>
      <c r="V524" s="3"/>
      <c r="W524" s="3"/>
      <c r="X524" s="3"/>
      <c r="Y524" s="3"/>
    </row>
    <row r="525" ht="14.25" customHeight="1">
      <c r="A525" s="3"/>
      <c r="B525" s="3"/>
      <c r="C525" s="3"/>
      <c r="D525" s="3"/>
      <c r="E525" s="3"/>
      <c r="F525" s="3"/>
      <c r="G525" s="23"/>
      <c r="H525" s="24"/>
      <c r="I525" s="3"/>
      <c r="J525" s="3"/>
      <c r="K525" s="3"/>
      <c r="L525" s="3"/>
      <c r="M525" s="3"/>
      <c r="N525" s="3"/>
      <c r="O525" s="3"/>
      <c r="P525" s="3"/>
      <c r="Q525" s="3"/>
      <c r="R525" s="3"/>
      <c r="S525" s="3"/>
      <c r="T525" s="3"/>
      <c r="U525" s="3"/>
      <c r="V525" s="3"/>
      <c r="W525" s="3"/>
      <c r="X525" s="3"/>
      <c r="Y525" s="3"/>
    </row>
    <row r="526" ht="14.25" customHeight="1">
      <c r="A526" s="3"/>
      <c r="B526" s="3"/>
      <c r="C526" s="3"/>
      <c r="D526" s="3"/>
      <c r="E526" s="3"/>
      <c r="F526" s="3"/>
      <c r="G526" s="23"/>
      <c r="H526" s="24"/>
      <c r="I526" s="3"/>
      <c r="J526" s="3"/>
      <c r="K526" s="3"/>
      <c r="L526" s="3"/>
      <c r="M526" s="3"/>
      <c r="N526" s="3"/>
      <c r="O526" s="3"/>
      <c r="P526" s="3"/>
      <c r="Q526" s="3"/>
      <c r="R526" s="3"/>
      <c r="S526" s="3"/>
      <c r="T526" s="3"/>
      <c r="U526" s="3"/>
      <c r="V526" s="3"/>
      <c r="W526" s="3"/>
      <c r="X526" s="3"/>
      <c r="Y526" s="3"/>
    </row>
    <row r="527" ht="14.25" customHeight="1">
      <c r="A527" s="3"/>
      <c r="B527" s="3"/>
      <c r="C527" s="3"/>
      <c r="D527" s="3"/>
      <c r="E527" s="3"/>
      <c r="F527" s="3"/>
      <c r="G527" s="23"/>
      <c r="H527" s="24"/>
      <c r="I527" s="3"/>
      <c r="J527" s="3"/>
      <c r="K527" s="3"/>
      <c r="L527" s="3"/>
      <c r="M527" s="3"/>
      <c r="N527" s="3"/>
      <c r="O527" s="3"/>
      <c r="P527" s="3"/>
      <c r="Q527" s="3"/>
      <c r="R527" s="3"/>
      <c r="S527" s="3"/>
      <c r="T527" s="3"/>
      <c r="U527" s="3"/>
      <c r="V527" s="3"/>
      <c r="W527" s="3"/>
      <c r="X527" s="3"/>
      <c r="Y527" s="3"/>
    </row>
    <row r="528" ht="14.25" customHeight="1">
      <c r="A528" s="3"/>
      <c r="B528" s="3"/>
      <c r="C528" s="3"/>
      <c r="D528" s="3"/>
      <c r="E528" s="3"/>
      <c r="F528" s="3"/>
      <c r="G528" s="23"/>
      <c r="H528" s="24"/>
      <c r="I528" s="3"/>
      <c r="J528" s="3"/>
      <c r="K528" s="3"/>
      <c r="L528" s="3"/>
      <c r="M528" s="3"/>
      <c r="N528" s="3"/>
      <c r="O528" s="3"/>
      <c r="P528" s="3"/>
      <c r="Q528" s="3"/>
      <c r="R528" s="3"/>
      <c r="S528" s="3"/>
      <c r="T528" s="3"/>
      <c r="U528" s="3"/>
      <c r="V528" s="3"/>
      <c r="W528" s="3"/>
      <c r="X528" s="3"/>
      <c r="Y528" s="3"/>
    </row>
    <row r="529" ht="14.25" customHeight="1">
      <c r="A529" s="3"/>
      <c r="B529" s="3"/>
      <c r="C529" s="3"/>
      <c r="D529" s="3"/>
      <c r="E529" s="3"/>
      <c r="F529" s="3"/>
      <c r="G529" s="23"/>
      <c r="H529" s="24"/>
      <c r="I529" s="3"/>
      <c r="J529" s="3"/>
      <c r="K529" s="3"/>
      <c r="L529" s="3"/>
      <c r="M529" s="3"/>
      <c r="N529" s="3"/>
      <c r="O529" s="3"/>
      <c r="P529" s="3"/>
      <c r="Q529" s="3"/>
      <c r="R529" s="3"/>
      <c r="S529" s="3"/>
      <c r="T529" s="3"/>
      <c r="U529" s="3"/>
      <c r="V529" s="3"/>
      <c r="W529" s="3"/>
      <c r="X529" s="3"/>
      <c r="Y529" s="3"/>
    </row>
    <row r="530" ht="14.25" customHeight="1">
      <c r="A530" s="3"/>
      <c r="B530" s="3"/>
      <c r="C530" s="3"/>
      <c r="D530" s="3"/>
      <c r="E530" s="3"/>
      <c r="F530" s="3"/>
      <c r="G530" s="23"/>
      <c r="H530" s="24"/>
      <c r="I530" s="3"/>
      <c r="J530" s="3"/>
      <c r="K530" s="3"/>
      <c r="L530" s="3"/>
      <c r="M530" s="3"/>
      <c r="N530" s="3"/>
      <c r="O530" s="3"/>
      <c r="P530" s="3"/>
      <c r="Q530" s="3"/>
      <c r="R530" s="3"/>
      <c r="S530" s="3"/>
      <c r="T530" s="3"/>
      <c r="U530" s="3"/>
      <c r="V530" s="3"/>
      <c r="W530" s="3"/>
      <c r="X530" s="3"/>
      <c r="Y530" s="3"/>
    </row>
    <row r="531" ht="14.25" customHeight="1">
      <c r="A531" s="3"/>
      <c r="B531" s="3"/>
      <c r="C531" s="3"/>
      <c r="D531" s="3"/>
      <c r="E531" s="3"/>
      <c r="F531" s="3"/>
      <c r="G531" s="23"/>
      <c r="H531" s="24"/>
      <c r="I531" s="3"/>
      <c r="J531" s="3"/>
      <c r="K531" s="3"/>
      <c r="L531" s="3"/>
      <c r="M531" s="3"/>
      <c r="N531" s="3"/>
      <c r="O531" s="3"/>
      <c r="P531" s="3"/>
      <c r="Q531" s="3"/>
      <c r="R531" s="3"/>
      <c r="S531" s="3"/>
      <c r="T531" s="3"/>
      <c r="U531" s="3"/>
      <c r="V531" s="3"/>
      <c r="W531" s="3"/>
      <c r="X531" s="3"/>
      <c r="Y531" s="3"/>
    </row>
    <row r="532" ht="14.25" customHeight="1">
      <c r="A532" s="3"/>
      <c r="B532" s="3"/>
      <c r="C532" s="3"/>
      <c r="D532" s="3"/>
      <c r="E532" s="3"/>
      <c r="F532" s="3"/>
      <c r="G532" s="23"/>
      <c r="H532" s="24"/>
      <c r="I532" s="3"/>
      <c r="J532" s="3"/>
      <c r="K532" s="3"/>
      <c r="L532" s="3"/>
      <c r="M532" s="3"/>
      <c r="N532" s="3"/>
      <c r="O532" s="3"/>
      <c r="P532" s="3"/>
      <c r="Q532" s="3"/>
      <c r="R532" s="3"/>
      <c r="S532" s="3"/>
      <c r="T532" s="3"/>
      <c r="U532" s="3"/>
      <c r="V532" s="3"/>
      <c r="W532" s="3"/>
      <c r="X532" s="3"/>
      <c r="Y532" s="3"/>
    </row>
    <row r="533" ht="14.25" customHeight="1">
      <c r="A533" s="3"/>
      <c r="B533" s="3"/>
      <c r="C533" s="3"/>
      <c r="D533" s="3"/>
      <c r="E533" s="3"/>
      <c r="F533" s="3"/>
      <c r="G533" s="23"/>
      <c r="H533" s="24"/>
      <c r="I533" s="3"/>
      <c r="J533" s="3"/>
      <c r="K533" s="3"/>
      <c r="L533" s="3"/>
      <c r="M533" s="3"/>
      <c r="N533" s="3"/>
      <c r="O533" s="3"/>
      <c r="P533" s="3"/>
      <c r="Q533" s="3"/>
      <c r="R533" s="3"/>
      <c r="S533" s="3"/>
      <c r="T533" s="3"/>
      <c r="U533" s="3"/>
      <c r="V533" s="3"/>
      <c r="W533" s="3"/>
      <c r="X533" s="3"/>
      <c r="Y533" s="3"/>
    </row>
    <row r="534" ht="14.25" customHeight="1">
      <c r="A534" s="3"/>
      <c r="B534" s="3"/>
      <c r="C534" s="3"/>
      <c r="D534" s="3"/>
      <c r="E534" s="3"/>
      <c r="F534" s="3"/>
      <c r="G534" s="23"/>
      <c r="H534" s="24"/>
      <c r="I534" s="3"/>
      <c r="J534" s="3"/>
      <c r="K534" s="3"/>
      <c r="L534" s="3"/>
      <c r="M534" s="3"/>
      <c r="N534" s="3"/>
      <c r="O534" s="3"/>
      <c r="P534" s="3"/>
      <c r="Q534" s="3"/>
      <c r="R534" s="3"/>
      <c r="S534" s="3"/>
      <c r="T534" s="3"/>
      <c r="U534" s="3"/>
      <c r="V534" s="3"/>
      <c r="W534" s="3"/>
      <c r="X534" s="3"/>
      <c r="Y534" s="3"/>
    </row>
    <row r="535" ht="14.25" customHeight="1">
      <c r="A535" s="3"/>
      <c r="B535" s="3"/>
      <c r="C535" s="3"/>
      <c r="D535" s="3"/>
      <c r="E535" s="3"/>
      <c r="F535" s="3"/>
      <c r="G535" s="23"/>
      <c r="H535" s="24"/>
      <c r="I535" s="3"/>
      <c r="J535" s="3"/>
      <c r="K535" s="3"/>
      <c r="L535" s="3"/>
      <c r="M535" s="3"/>
      <c r="N535" s="3"/>
      <c r="O535" s="3"/>
      <c r="P535" s="3"/>
      <c r="Q535" s="3"/>
      <c r="R535" s="3"/>
      <c r="S535" s="3"/>
      <c r="T535" s="3"/>
      <c r="U535" s="3"/>
      <c r="V535" s="3"/>
      <c r="W535" s="3"/>
      <c r="X535" s="3"/>
      <c r="Y535" s="3"/>
    </row>
    <row r="536" ht="14.25" customHeight="1">
      <c r="A536" s="3"/>
      <c r="B536" s="3"/>
      <c r="C536" s="3"/>
      <c r="D536" s="3"/>
      <c r="E536" s="3"/>
      <c r="F536" s="3"/>
      <c r="G536" s="23"/>
      <c r="H536" s="24"/>
      <c r="I536" s="3"/>
      <c r="J536" s="3"/>
      <c r="K536" s="3"/>
      <c r="L536" s="3"/>
      <c r="M536" s="3"/>
      <c r="N536" s="3"/>
      <c r="O536" s="3"/>
      <c r="P536" s="3"/>
      <c r="Q536" s="3"/>
      <c r="R536" s="3"/>
      <c r="S536" s="3"/>
      <c r="T536" s="3"/>
      <c r="U536" s="3"/>
      <c r="V536" s="3"/>
      <c r="W536" s="3"/>
      <c r="X536" s="3"/>
      <c r="Y536" s="3"/>
    </row>
    <row r="537" ht="14.25" customHeight="1">
      <c r="A537" s="3"/>
      <c r="B537" s="3"/>
      <c r="C537" s="3"/>
      <c r="D537" s="3"/>
      <c r="E537" s="3"/>
      <c r="F537" s="3"/>
      <c r="G537" s="23"/>
      <c r="H537" s="24"/>
      <c r="I537" s="3"/>
      <c r="J537" s="3"/>
      <c r="K537" s="3"/>
      <c r="L537" s="3"/>
      <c r="M537" s="3"/>
      <c r="N537" s="3"/>
      <c r="O537" s="3"/>
      <c r="P537" s="3"/>
      <c r="Q537" s="3"/>
      <c r="R537" s="3"/>
      <c r="S537" s="3"/>
      <c r="T537" s="3"/>
      <c r="U537" s="3"/>
      <c r="V537" s="3"/>
      <c r="W537" s="3"/>
      <c r="X537" s="3"/>
      <c r="Y537" s="3"/>
    </row>
    <row r="538" ht="14.25" customHeight="1">
      <c r="A538" s="3"/>
      <c r="B538" s="3"/>
      <c r="C538" s="3"/>
      <c r="D538" s="3"/>
      <c r="E538" s="3"/>
      <c r="F538" s="3"/>
      <c r="G538" s="23"/>
      <c r="H538" s="24"/>
      <c r="I538" s="3"/>
      <c r="J538" s="3"/>
      <c r="K538" s="3"/>
      <c r="L538" s="3"/>
      <c r="M538" s="3"/>
      <c r="N538" s="3"/>
      <c r="O538" s="3"/>
      <c r="P538" s="3"/>
      <c r="Q538" s="3"/>
      <c r="R538" s="3"/>
      <c r="S538" s="3"/>
      <c r="T538" s="3"/>
      <c r="U538" s="3"/>
      <c r="V538" s="3"/>
      <c r="W538" s="3"/>
      <c r="X538" s="3"/>
      <c r="Y538" s="3"/>
    </row>
    <row r="539" ht="14.25" customHeight="1">
      <c r="A539" s="3"/>
      <c r="B539" s="3"/>
      <c r="C539" s="3"/>
      <c r="D539" s="3"/>
      <c r="E539" s="3"/>
      <c r="F539" s="3"/>
      <c r="G539" s="23"/>
      <c r="H539" s="24"/>
      <c r="I539" s="3"/>
      <c r="J539" s="3"/>
      <c r="K539" s="3"/>
      <c r="L539" s="3"/>
      <c r="M539" s="3"/>
      <c r="N539" s="3"/>
      <c r="O539" s="3"/>
      <c r="P539" s="3"/>
      <c r="Q539" s="3"/>
      <c r="R539" s="3"/>
      <c r="S539" s="3"/>
      <c r="T539" s="3"/>
      <c r="U539" s="3"/>
      <c r="V539" s="3"/>
      <c r="W539" s="3"/>
      <c r="X539" s="3"/>
      <c r="Y539" s="3"/>
    </row>
    <row r="540" ht="14.25" customHeight="1">
      <c r="A540" s="3"/>
      <c r="B540" s="3"/>
      <c r="C540" s="3"/>
      <c r="D540" s="3"/>
      <c r="E540" s="3"/>
      <c r="F540" s="3"/>
      <c r="G540" s="23"/>
      <c r="H540" s="24"/>
      <c r="I540" s="3"/>
      <c r="J540" s="3"/>
      <c r="K540" s="3"/>
      <c r="L540" s="3"/>
      <c r="M540" s="3"/>
      <c r="N540" s="3"/>
      <c r="O540" s="3"/>
      <c r="P540" s="3"/>
      <c r="Q540" s="3"/>
      <c r="R540" s="3"/>
      <c r="S540" s="3"/>
      <c r="T540" s="3"/>
      <c r="U540" s="3"/>
      <c r="V540" s="3"/>
      <c r="W540" s="3"/>
      <c r="X540" s="3"/>
      <c r="Y540" s="3"/>
    </row>
    <row r="541" ht="14.25" customHeight="1">
      <c r="A541" s="3"/>
      <c r="B541" s="3"/>
      <c r="C541" s="3"/>
      <c r="D541" s="3"/>
      <c r="E541" s="3"/>
      <c r="F541" s="3"/>
      <c r="G541" s="23"/>
      <c r="H541" s="24"/>
      <c r="I541" s="3"/>
      <c r="J541" s="3"/>
      <c r="K541" s="3"/>
      <c r="L541" s="3"/>
      <c r="M541" s="3"/>
      <c r="N541" s="3"/>
      <c r="O541" s="3"/>
      <c r="P541" s="3"/>
      <c r="Q541" s="3"/>
      <c r="R541" s="3"/>
      <c r="S541" s="3"/>
      <c r="T541" s="3"/>
      <c r="U541" s="3"/>
      <c r="V541" s="3"/>
      <c r="W541" s="3"/>
      <c r="X541" s="3"/>
      <c r="Y541" s="3"/>
    </row>
    <row r="542" ht="14.25" customHeight="1">
      <c r="A542" s="3"/>
      <c r="B542" s="3"/>
      <c r="C542" s="3"/>
      <c r="D542" s="3"/>
      <c r="E542" s="3"/>
      <c r="F542" s="3"/>
      <c r="G542" s="23"/>
      <c r="H542" s="24"/>
      <c r="I542" s="3"/>
      <c r="J542" s="3"/>
      <c r="K542" s="3"/>
      <c r="L542" s="3"/>
      <c r="M542" s="3"/>
      <c r="N542" s="3"/>
      <c r="O542" s="3"/>
      <c r="P542" s="3"/>
      <c r="Q542" s="3"/>
      <c r="R542" s="3"/>
      <c r="S542" s="3"/>
      <c r="T542" s="3"/>
      <c r="U542" s="3"/>
      <c r="V542" s="3"/>
      <c r="W542" s="3"/>
      <c r="X542" s="3"/>
      <c r="Y542" s="3"/>
    </row>
    <row r="543" ht="14.25" customHeight="1">
      <c r="A543" s="3"/>
      <c r="B543" s="3"/>
      <c r="C543" s="3"/>
      <c r="D543" s="3"/>
      <c r="E543" s="3"/>
      <c r="F543" s="3"/>
      <c r="G543" s="23"/>
      <c r="H543" s="24"/>
      <c r="I543" s="3"/>
      <c r="J543" s="3"/>
      <c r="K543" s="3"/>
      <c r="L543" s="3"/>
      <c r="M543" s="3"/>
      <c r="N543" s="3"/>
      <c r="O543" s="3"/>
      <c r="P543" s="3"/>
      <c r="Q543" s="3"/>
      <c r="R543" s="3"/>
      <c r="S543" s="3"/>
      <c r="T543" s="3"/>
      <c r="U543" s="3"/>
      <c r="V543" s="3"/>
      <c r="W543" s="3"/>
      <c r="X543" s="3"/>
      <c r="Y543" s="3"/>
    </row>
    <row r="544" ht="14.25" customHeight="1">
      <c r="A544" s="3"/>
      <c r="B544" s="3"/>
      <c r="C544" s="3"/>
      <c r="D544" s="3"/>
      <c r="E544" s="3"/>
      <c r="F544" s="3"/>
      <c r="G544" s="23"/>
      <c r="H544" s="24"/>
      <c r="I544" s="3"/>
      <c r="J544" s="3"/>
      <c r="K544" s="3"/>
      <c r="L544" s="3"/>
      <c r="M544" s="3"/>
      <c r="N544" s="3"/>
      <c r="O544" s="3"/>
      <c r="P544" s="3"/>
      <c r="Q544" s="3"/>
      <c r="R544" s="3"/>
      <c r="S544" s="3"/>
      <c r="T544" s="3"/>
      <c r="U544" s="3"/>
      <c r="V544" s="3"/>
      <c r="W544" s="3"/>
      <c r="X544" s="3"/>
      <c r="Y544" s="3"/>
    </row>
    <row r="545" ht="14.25" customHeight="1">
      <c r="A545" s="3"/>
      <c r="B545" s="3"/>
      <c r="C545" s="3"/>
      <c r="D545" s="3"/>
      <c r="E545" s="3"/>
      <c r="F545" s="3"/>
      <c r="G545" s="23"/>
      <c r="H545" s="24"/>
      <c r="I545" s="3"/>
      <c r="J545" s="3"/>
      <c r="K545" s="3"/>
      <c r="L545" s="3"/>
      <c r="M545" s="3"/>
      <c r="N545" s="3"/>
      <c r="O545" s="3"/>
      <c r="P545" s="3"/>
      <c r="Q545" s="3"/>
      <c r="R545" s="3"/>
      <c r="S545" s="3"/>
      <c r="T545" s="3"/>
      <c r="U545" s="3"/>
      <c r="V545" s="3"/>
      <c r="W545" s="3"/>
      <c r="X545" s="3"/>
      <c r="Y545" s="3"/>
    </row>
    <row r="546" ht="14.25" customHeight="1">
      <c r="A546" s="3"/>
      <c r="B546" s="3"/>
      <c r="C546" s="3"/>
      <c r="D546" s="3"/>
      <c r="E546" s="3"/>
      <c r="F546" s="3"/>
      <c r="G546" s="23"/>
      <c r="H546" s="24"/>
      <c r="I546" s="3"/>
      <c r="J546" s="3"/>
      <c r="K546" s="3"/>
      <c r="L546" s="3"/>
      <c r="M546" s="3"/>
      <c r="N546" s="3"/>
      <c r="O546" s="3"/>
      <c r="P546" s="3"/>
      <c r="Q546" s="3"/>
      <c r="R546" s="3"/>
      <c r="S546" s="3"/>
      <c r="T546" s="3"/>
      <c r="U546" s="3"/>
      <c r="V546" s="3"/>
      <c r="W546" s="3"/>
      <c r="X546" s="3"/>
      <c r="Y546" s="3"/>
    </row>
    <row r="547" ht="14.25" customHeight="1">
      <c r="A547" s="3"/>
      <c r="B547" s="3"/>
      <c r="C547" s="3"/>
      <c r="D547" s="3"/>
      <c r="E547" s="3"/>
      <c r="F547" s="3"/>
      <c r="G547" s="23"/>
      <c r="H547" s="24"/>
      <c r="I547" s="3"/>
      <c r="J547" s="3"/>
      <c r="K547" s="3"/>
      <c r="L547" s="3"/>
      <c r="M547" s="3"/>
      <c r="N547" s="3"/>
      <c r="O547" s="3"/>
      <c r="P547" s="3"/>
      <c r="Q547" s="3"/>
      <c r="R547" s="3"/>
      <c r="S547" s="3"/>
      <c r="T547" s="3"/>
      <c r="U547" s="3"/>
      <c r="V547" s="3"/>
      <c r="W547" s="3"/>
      <c r="X547" s="3"/>
      <c r="Y547" s="3"/>
    </row>
    <row r="548" ht="14.25" customHeight="1">
      <c r="A548" s="3"/>
      <c r="B548" s="3"/>
      <c r="C548" s="3"/>
      <c r="D548" s="3"/>
      <c r="E548" s="3"/>
      <c r="F548" s="3"/>
      <c r="G548" s="23"/>
      <c r="H548" s="24"/>
      <c r="I548" s="3"/>
      <c r="J548" s="3"/>
      <c r="K548" s="3"/>
      <c r="L548" s="3"/>
      <c r="M548" s="3"/>
      <c r="N548" s="3"/>
      <c r="O548" s="3"/>
      <c r="P548" s="3"/>
      <c r="Q548" s="3"/>
      <c r="R548" s="3"/>
      <c r="S548" s="3"/>
      <c r="T548" s="3"/>
      <c r="U548" s="3"/>
      <c r="V548" s="3"/>
      <c r="W548" s="3"/>
      <c r="X548" s="3"/>
      <c r="Y548" s="3"/>
    </row>
    <row r="549" ht="14.25" customHeight="1">
      <c r="A549" s="3"/>
      <c r="B549" s="3"/>
      <c r="C549" s="3"/>
      <c r="D549" s="3"/>
      <c r="E549" s="3"/>
      <c r="F549" s="3"/>
      <c r="G549" s="23"/>
      <c r="H549" s="24"/>
      <c r="I549" s="3"/>
      <c r="J549" s="3"/>
      <c r="K549" s="3"/>
      <c r="L549" s="3"/>
      <c r="M549" s="3"/>
      <c r="N549" s="3"/>
      <c r="O549" s="3"/>
      <c r="P549" s="3"/>
      <c r="Q549" s="3"/>
      <c r="R549" s="3"/>
      <c r="S549" s="3"/>
      <c r="T549" s="3"/>
      <c r="U549" s="3"/>
      <c r="V549" s="3"/>
      <c r="W549" s="3"/>
      <c r="X549" s="3"/>
      <c r="Y549" s="3"/>
    </row>
    <row r="550" ht="14.25" customHeight="1">
      <c r="A550" s="3"/>
      <c r="B550" s="3"/>
      <c r="C550" s="3"/>
      <c r="D550" s="3"/>
      <c r="E550" s="3"/>
      <c r="F550" s="3"/>
      <c r="G550" s="23"/>
      <c r="H550" s="24"/>
      <c r="I550" s="3"/>
      <c r="J550" s="3"/>
      <c r="K550" s="3"/>
      <c r="L550" s="3"/>
      <c r="M550" s="3"/>
      <c r="N550" s="3"/>
      <c r="O550" s="3"/>
      <c r="P550" s="3"/>
      <c r="Q550" s="3"/>
      <c r="R550" s="3"/>
      <c r="S550" s="3"/>
      <c r="T550" s="3"/>
      <c r="U550" s="3"/>
      <c r="V550" s="3"/>
      <c r="W550" s="3"/>
      <c r="X550" s="3"/>
      <c r="Y550" s="3"/>
    </row>
    <row r="551" ht="14.25" customHeight="1">
      <c r="A551" s="3"/>
      <c r="B551" s="3"/>
      <c r="C551" s="3"/>
      <c r="D551" s="3"/>
      <c r="E551" s="3"/>
      <c r="F551" s="3"/>
      <c r="G551" s="23"/>
      <c r="H551" s="24"/>
      <c r="I551" s="3"/>
      <c r="J551" s="3"/>
      <c r="K551" s="3"/>
      <c r="L551" s="3"/>
      <c r="M551" s="3"/>
      <c r="N551" s="3"/>
      <c r="O551" s="3"/>
      <c r="P551" s="3"/>
      <c r="Q551" s="3"/>
      <c r="R551" s="3"/>
      <c r="S551" s="3"/>
      <c r="T551" s="3"/>
      <c r="U551" s="3"/>
      <c r="V551" s="3"/>
      <c r="W551" s="3"/>
      <c r="X551" s="3"/>
      <c r="Y551" s="3"/>
    </row>
    <row r="552" ht="14.25" customHeight="1">
      <c r="A552" s="3"/>
      <c r="B552" s="3"/>
      <c r="C552" s="3"/>
      <c r="D552" s="3"/>
      <c r="E552" s="3"/>
      <c r="F552" s="3"/>
      <c r="G552" s="23"/>
      <c r="H552" s="24"/>
      <c r="I552" s="3"/>
      <c r="J552" s="3"/>
      <c r="K552" s="3"/>
      <c r="L552" s="3"/>
      <c r="M552" s="3"/>
      <c r="N552" s="3"/>
      <c r="O552" s="3"/>
      <c r="P552" s="3"/>
      <c r="Q552" s="3"/>
      <c r="R552" s="3"/>
      <c r="S552" s="3"/>
      <c r="T552" s="3"/>
      <c r="U552" s="3"/>
      <c r="V552" s="3"/>
      <c r="W552" s="3"/>
      <c r="X552" s="3"/>
      <c r="Y552" s="3"/>
    </row>
    <row r="553" ht="14.25" customHeight="1">
      <c r="A553" s="3"/>
      <c r="B553" s="3"/>
      <c r="C553" s="3"/>
      <c r="D553" s="3"/>
      <c r="E553" s="3"/>
      <c r="F553" s="3"/>
      <c r="G553" s="23"/>
      <c r="H553" s="24"/>
      <c r="I553" s="3"/>
      <c r="J553" s="3"/>
      <c r="K553" s="3"/>
      <c r="L553" s="3"/>
      <c r="M553" s="3"/>
      <c r="N553" s="3"/>
      <c r="O553" s="3"/>
      <c r="P553" s="3"/>
      <c r="Q553" s="3"/>
      <c r="R553" s="3"/>
      <c r="S553" s="3"/>
      <c r="T553" s="3"/>
      <c r="U553" s="3"/>
      <c r="V553" s="3"/>
      <c r="W553" s="3"/>
      <c r="X553" s="3"/>
      <c r="Y553" s="3"/>
    </row>
    <row r="554" ht="14.25" customHeight="1">
      <c r="A554" s="3"/>
      <c r="B554" s="3"/>
      <c r="C554" s="3"/>
      <c r="D554" s="3"/>
      <c r="E554" s="3"/>
      <c r="F554" s="3"/>
      <c r="G554" s="23"/>
      <c r="H554" s="24"/>
      <c r="I554" s="3"/>
      <c r="J554" s="3"/>
      <c r="K554" s="3"/>
      <c r="L554" s="3"/>
      <c r="M554" s="3"/>
      <c r="N554" s="3"/>
      <c r="O554" s="3"/>
      <c r="P554" s="3"/>
      <c r="Q554" s="3"/>
      <c r="R554" s="3"/>
      <c r="S554" s="3"/>
      <c r="T554" s="3"/>
      <c r="U554" s="3"/>
      <c r="V554" s="3"/>
      <c r="W554" s="3"/>
      <c r="X554" s="3"/>
      <c r="Y554" s="3"/>
    </row>
    <row r="555" ht="14.25" customHeight="1">
      <c r="A555" s="3"/>
      <c r="B555" s="3"/>
      <c r="C555" s="3"/>
      <c r="D555" s="3"/>
      <c r="E555" s="3"/>
      <c r="F555" s="3"/>
      <c r="G555" s="23"/>
      <c r="H555" s="24"/>
      <c r="I555" s="3"/>
      <c r="J555" s="3"/>
      <c r="K555" s="3"/>
      <c r="L555" s="3"/>
      <c r="M555" s="3"/>
      <c r="N555" s="3"/>
      <c r="O555" s="3"/>
      <c r="P555" s="3"/>
      <c r="Q555" s="3"/>
      <c r="R555" s="3"/>
      <c r="S555" s="3"/>
      <c r="T555" s="3"/>
      <c r="U555" s="3"/>
      <c r="V555" s="3"/>
      <c r="W555" s="3"/>
      <c r="X555" s="3"/>
      <c r="Y555" s="3"/>
    </row>
    <row r="556" ht="14.25" customHeight="1">
      <c r="A556" s="3"/>
      <c r="B556" s="3"/>
      <c r="C556" s="3"/>
      <c r="D556" s="3"/>
      <c r="E556" s="3"/>
      <c r="F556" s="3"/>
      <c r="G556" s="23"/>
      <c r="H556" s="24"/>
      <c r="I556" s="3"/>
      <c r="J556" s="3"/>
      <c r="K556" s="3"/>
      <c r="L556" s="3"/>
      <c r="M556" s="3"/>
      <c r="N556" s="3"/>
      <c r="O556" s="3"/>
      <c r="P556" s="3"/>
      <c r="Q556" s="3"/>
      <c r="R556" s="3"/>
      <c r="S556" s="3"/>
      <c r="T556" s="3"/>
      <c r="U556" s="3"/>
      <c r="V556" s="3"/>
      <c r="W556" s="3"/>
      <c r="X556" s="3"/>
      <c r="Y556" s="3"/>
    </row>
    <row r="557" ht="14.25" customHeight="1">
      <c r="A557" s="3"/>
      <c r="B557" s="3"/>
      <c r="C557" s="3"/>
      <c r="D557" s="3"/>
      <c r="E557" s="3"/>
      <c r="F557" s="3"/>
      <c r="G557" s="23"/>
      <c r="H557" s="24"/>
      <c r="I557" s="3"/>
      <c r="J557" s="3"/>
      <c r="K557" s="3"/>
      <c r="L557" s="3"/>
      <c r="M557" s="3"/>
      <c r="N557" s="3"/>
      <c r="O557" s="3"/>
      <c r="P557" s="3"/>
      <c r="Q557" s="3"/>
      <c r="R557" s="3"/>
      <c r="S557" s="3"/>
      <c r="T557" s="3"/>
      <c r="U557" s="3"/>
      <c r="V557" s="3"/>
      <c r="W557" s="3"/>
      <c r="X557" s="3"/>
      <c r="Y557" s="3"/>
    </row>
    <row r="558" ht="14.25" customHeight="1">
      <c r="A558" s="3"/>
      <c r="B558" s="3"/>
      <c r="C558" s="3"/>
      <c r="D558" s="3"/>
      <c r="E558" s="3"/>
      <c r="F558" s="3"/>
      <c r="G558" s="23"/>
      <c r="H558" s="24"/>
      <c r="I558" s="3"/>
      <c r="J558" s="3"/>
      <c r="K558" s="3"/>
      <c r="L558" s="3"/>
      <c r="M558" s="3"/>
      <c r="N558" s="3"/>
      <c r="O558" s="3"/>
      <c r="P558" s="3"/>
      <c r="Q558" s="3"/>
      <c r="R558" s="3"/>
      <c r="S558" s="3"/>
      <c r="T558" s="3"/>
      <c r="U558" s="3"/>
      <c r="V558" s="3"/>
      <c r="W558" s="3"/>
      <c r="X558" s="3"/>
      <c r="Y558" s="3"/>
    </row>
    <row r="559" ht="14.25" customHeight="1">
      <c r="A559" s="3"/>
      <c r="B559" s="3"/>
      <c r="C559" s="3"/>
      <c r="D559" s="3"/>
      <c r="E559" s="3"/>
      <c r="F559" s="3"/>
      <c r="G559" s="23"/>
      <c r="H559" s="24"/>
      <c r="I559" s="3"/>
      <c r="J559" s="3"/>
      <c r="K559" s="3"/>
      <c r="L559" s="3"/>
      <c r="M559" s="3"/>
      <c r="N559" s="3"/>
      <c r="O559" s="3"/>
      <c r="P559" s="3"/>
      <c r="Q559" s="3"/>
      <c r="R559" s="3"/>
      <c r="S559" s="3"/>
      <c r="T559" s="3"/>
      <c r="U559" s="3"/>
      <c r="V559" s="3"/>
      <c r="W559" s="3"/>
      <c r="X559" s="3"/>
      <c r="Y559" s="3"/>
    </row>
    <row r="560" ht="14.25" customHeight="1">
      <c r="A560" s="3"/>
      <c r="B560" s="3"/>
      <c r="C560" s="3"/>
      <c r="D560" s="3"/>
      <c r="E560" s="3"/>
      <c r="F560" s="3"/>
      <c r="G560" s="23"/>
      <c r="H560" s="24"/>
      <c r="I560" s="3"/>
      <c r="J560" s="3"/>
      <c r="K560" s="3"/>
      <c r="L560" s="3"/>
      <c r="M560" s="3"/>
      <c r="N560" s="3"/>
      <c r="O560" s="3"/>
      <c r="P560" s="3"/>
      <c r="Q560" s="3"/>
      <c r="R560" s="3"/>
      <c r="S560" s="3"/>
      <c r="T560" s="3"/>
      <c r="U560" s="3"/>
      <c r="V560" s="3"/>
      <c r="W560" s="3"/>
      <c r="X560" s="3"/>
      <c r="Y560" s="3"/>
    </row>
    <row r="561" ht="14.25" customHeight="1">
      <c r="A561" s="3"/>
      <c r="B561" s="3"/>
      <c r="C561" s="3"/>
      <c r="D561" s="3"/>
      <c r="E561" s="3"/>
      <c r="F561" s="3"/>
      <c r="G561" s="23"/>
      <c r="H561" s="24"/>
      <c r="I561" s="3"/>
      <c r="J561" s="3"/>
      <c r="K561" s="3"/>
      <c r="L561" s="3"/>
      <c r="M561" s="3"/>
      <c r="N561" s="3"/>
      <c r="O561" s="3"/>
      <c r="P561" s="3"/>
      <c r="Q561" s="3"/>
      <c r="R561" s="3"/>
      <c r="S561" s="3"/>
      <c r="T561" s="3"/>
      <c r="U561" s="3"/>
      <c r="V561" s="3"/>
      <c r="W561" s="3"/>
      <c r="X561" s="3"/>
      <c r="Y561" s="3"/>
    </row>
    <row r="562" ht="14.25" customHeight="1">
      <c r="A562" s="3"/>
      <c r="B562" s="3"/>
      <c r="C562" s="3"/>
      <c r="D562" s="3"/>
      <c r="E562" s="3"/>
      <c r="F562" s="3"/>
      <c r="G562" s="23"/>
      <c r="H562" s="24"/>
      <c r="I562" s="3"/>
      <c r="J562" s="3"/>
      <c r="K562" s="3"/>
      <c r="L562" s="3"/>
      <c r="M562" s="3"/>
      <c r="N562" s="3"/>
      <c r="O562" s="3"/>
      <c r="P562" s="3"/>
      <c r="Q562" s="3"/>
      <c r="R562" s="3"/>
      <c r="S562" s="3"/>
      <c r="T562" s="3"/>
      <c r="U562" s="3"/>
      <c r="V562" s="3"/>
      <c r="W562" s="3"/>
      <c r="X562" s="3"/>
      <c r="Y562" s="3"/>
    </row>
    <row r="563" ht="14.25" customHeight="1">
      <c r="A563" s="3"/>
      <c r="B563" s="3"/>
      <c r="C563" s="3"/>
      <c r="D563" s="3"/>
      <c r="E563" s="3"/>
      <c r="F563" s="3"/>
      <c r="G563" s="23"/>
      <c r="H563" s="24"/>
      <c r="I563" s="3"/>
      <c r="J563" s="3"/>
      <c r="K563" s="3"/>
      <c r="L563" s="3"/>
      <c r="M563" s="3"/>
      <c r="N563" s="3"/>
      <c r="O563" s="3"/>
      <c r="P563" s="3"/>
      <c r="Q563" s="3"/>
      <c r="R563" s="3"/>
      <c r="S563" s="3"/>
      <c r="T563" s="3"/>
      <c r="U563" s="3"/>
      <c r="V563" s="3"/>
      <c r="W563" s="3"/>
      <c r="X563" s="3"/>
      <c r="Y563" s="3"/>
    </row>
    <row r="564" ht="14.25" customHeight="1">
      <c r="A564" s="3"/>
      <c r="B564" s="3"/>
      <c r="C564" s="3"/>
      <c r="D564" s="3"/>
      <c r="E564" s="3"/>
      <c r="F564" s="3"/>
      <c r="G564" s="23"/>
      <c r="H564" s="24"/>
      <c r="I564" s="3"/>
      <c r="J564" s="3"/>
      <c r="K564" s="3"/>
      <c r="L564" s="3"/>
      <c r="M564" s="3"/>
      <c r="N564" s="3"/>
      <c r="O564" s="3"/>
      <c r="P564" s="3"/>
      <c r="Q564" s="3"/>
      <c r="R564" s="3"/>
      <c r="S564" s="3"/>
      <c r="T564" s="3"/>
      <c r="U564" s="3"/>
      <c r="V564" s="3"/>
      <c r="W564" s="3"/>
      <c r="X564" s="3"/>
      <c r="Y564" s="3"/>
    </row>
    <row r="565" ht="14.25" customHeight="1">
      <c r="A565" s="3"/>
      <c r="B565" s="3"/>
      <c r="C565" s="3"/>
      <c r="D565" s="3"/>
      <c r="E565" s="3"/>
      <c r="F565" s="3"/>
      <c r="G565" s="23"/>
      <c r="H565" s="24"/>
      <c r="I565" s="3"/>
      <c r="J565" s="3"/>
      <c r="K565" s="3"/>
      <c r="L565" s="3"/>
      <c r="M565" s="3"/>
      <c r="N565" s="3"/>
      <c r="O565" s="3"/>
      <c r="P565" s="3"/>
      <c r="Q565" s="3"/>
      <c r="R565" s="3"/>
      <c r="S565" s="3"/>
      <c r="T565" s="3"/>
      <c r="U565" s="3"/>
      <c r="V565" s="3"/>
      <c r="W565" s="3"/>
      <c r="X565" s="3"/>
      <c r="Y565" s="3"/>
    </row>
    <row r="566" ht="14.25" customHeight="1">
      <c r="A566" s="3"/>
      <c r="B566" s="3"/>
      <c r="C566" s="3"/>
      <c r="D566" s="3"/>
      <c r="E566" s="3"/>
      <c r="F566" s="3"/>
      <c r="G566" s="23"/>
      <c r="H566" s="24"/>
      <c r="I566" s="3"/>
      <c r="J566" s="3"/>
      <c r="K566" s="3"/>
      <c r="L566" s="3"/>
      <c r="M566" s="3"/>
      <c r="N566" s="3"/>
      <c r="O566" s="3"/>
      <c r="P566" s="3"/>
      <c r="Q566" s="3"/>
      <c r="R566" s="3"/>
      <c r="S566" s="3"/>
      <c r="T566" s="3"/>
      <c r="U566" s="3"/>
      <c r="V566" s="3"/>
      <c r="W566" s="3"/>
      <c r="X566" s="3"/>
      <c r="Y566" s="3"/>
    </row>
    <row r="567" ht="14.25" customHeight="1">
      <c r="A567" s="3"/>
      <c r="B567" s="3"/>
      <c r="C567" s="3"/>
      <c r="D567" s="3"/>
      <c r="E567" s="3"/>
      <c r="F567" s="3"/>
      <c r="G567" s="23"/>
      <c r="H567" s="24"/>
      <c r="I567" s="3"/>
      <c r="J567" s="3"/>
      <c r="K567" s="3"/>
      <c r="L567" s="3"/>
      <c r="M567" s="3"/>
      <c r="N567" s="3"/>
      <c r="O567" s="3"/>
      <c r="P567" s="3"/>
      <c r="Q567" s="3"/>
      <c r="R567" s="3"/>
      <c r="S567" s="3"/>
      <c r="T567" s="3"/>
      <c r="U567" s="3"/>
      <c r="V567" s="3"/>
      <c r="W567" s="3"/>
      <c r="X567" s="3"/>
      <c r="Y567" s="3"/>
    </row>
    <row r="568" ht="14.25" customHeight="1">
      <c r="A568" s="3"/>
      <c r="B568" s="3"/>
      <c r="C568" s="3"/>
      <c r="D568" s="3"/>
      <c r="E568" s="3"/>
      <c r="F568" s="3"/>
      <c r="G568" s="23"/>
      <c r="H568" s="24"/>
      <c r="I568" s="3"/>
      <c r="J568" s="3"/>
      <c r="K568" s="3"/>
      <c r="L568" s="3"/>
      <c r="M568" s="3"/>
      <c r="N568" s="3"/>
      <c r="O568" s="3"/>
      <c r="P568" s="3"/>
      <c r="Q568" s="3"/>
      <c r="R568" s="3"/>
      <c r="S568" s="3"/>
      <c r="T568" s="3"/>
      <c r="U568" s="3"/>
      <c r="V568" s="3"/>
      <c r="W568" s="3"/>
      <c r="X568" s="3"/>
      <c r="Y568" s="3"/>
    </row>
    <row r="569" ht="14.25" customHeight="1">
      <c r="A569" s="3"/>
      <c r="B569" s="3"/>
      <c r="C569" s="3"/>
      <c r="D569" s="3"/>
      <c r="E569" s="3"/>
      <c r="F569" s="3"/>
      <c r="G569" s="23"/>
      <c r="H569" s="24"/>
      <c r="I569" s="3"/>
      <c r="J569" s="3"/>
      <c r="K569" s="3"/>
      <c r="L569" s="3"/>
      <c r="M569" s="3"/>
      <c r="N569" s="3"/>
      <c r="O569" s="3"/>
      <c r="P569" s="3"/>
      <c r="Q569" s="3"/>
      <c r="R569" s="3"/>
      <c r="S569" s="3"/>
      <c r="T569" s="3"/>
      <c r="U569" s="3"/>
      <c r="V569" s="3"/>
      <c r="W569" s="3"/>
      <c r="X569" s="3"/>
      <c r="Y569" s="3"/>
    </row>
    <row r="570" ht="14.25" customHeight="1">
      <c r="A570" s="3"/>
      <c r="B570" s="3"/>
      <c r="C570" s="3"/>
      <c r="D570" s="3"/>
      <c r="E570" s="3"/>
      <c r="F570" s="3"/>
      <c r="G570" s="23"/>
      <c r="H570" s="24"/>
      <c r="I570" s="3"/>
      <c r="J570" s="3"/>
      <c r="K570" s="3"/>
      <c r="L570" s="3"/>
      <c r="M570" s="3"/>
      <c r="N570" s="3"/>
      <c r="O570" s="3"/>
      <c r="P570" s="3"/>
      <c r="Q570" s="3"/>
      <c r="R570" s="3"/>
      <c r="S570" s="3"/>
      <c r="T570" s="3"/>
      <c r="U570" s="3"/>
      <c r="V570" s="3"/>
      <c r="W570" s="3"/>
      <c r="X570" s="3"/>
      <c r="Y570" s="3"/>
    </row>
    <row r="571" ht="14.25" customHeight="1">
      <c r="A571" s="3"/>
      <c r="B571" s="3"/>
      <c r="C571" s="3"/>
      <c r="D571" s="3"/>
      <c r="E571" s="3"/>
      <c r="F571" s="3"/>
      <c r="G571" s="23"/>
      <c r="H571" s="24"/>
      <c r="I571" s="3"/>
      <c r="J571" s="3"/>
      <c r="K571" s="3"/>
      <c r="L571" s="3"/>
      <c r="M571" s="3"/>
      <c r="N571" s="3"/>
      <c r="O571" s="3"/>
      <c r="P571" s="3"/>
      <c r="Q571" s="3"/>
      <c r="R571" s="3"/>
      <c r="S571" s="3"/>
      <c r="T571" s="3"/>
      <c r="U571" s="3"/>
      <c r="V571" s="3"/>
      <c r="W571" s="3"/>
      <c r="X571" s="3"/>
      <c r="Y571" s="3"/>
    </row>
    <row r="572" ht="14.25" customHeight="1">
      <c r="A572" s="3"/>
      <c r="B572" s="3"/>
      <c r="C572" s="3"/>
      <c r="D572" s="3"/>
      <c r="E572" s="3"/>
      <c r="F572" s="3"/>
      <c r="G572" s="23"/>
      <c r="H572" s="24"/>
      <c r="I572" s="3"/>
      <c r="J572" s="3"/>
      <c r="K572" s="3"/>
      <c r="L572" s="3"/>
      <c r="M572" s="3"/>
      <c r="N572" s="3"/>
      <c r="O572" s="3"/>
      <c r="P572" s="3"/>
      <c r="Q572" s="3"/>
      <c r="R572" s="3"/>
      <c r="S572" s="3"/>
      <c r="T572" s="3"/>
      <c r="U572" s="3"/>
      <c r="V572" s="3"/>
      <c r="W572" s="3"/>
      <c r="X572" s="3"/>
      <c r="Y572" s="3"/>
    </row>
    <row r="573" ht="14.25" customHeight="1">
      <c r="A573" s="3"/>
      <c r="B573" s="3"/>
      <c r="C573" s="3"/>
      <c r="D573" s="3"/>
      <c r="E573" s="3"/>
      <c r="F573" s="3"/>
      <c r="G573" s="23"/>
      <c r="H573" s="24"/>
      <c r="I573" s="3"/>
      <c r="J573" s="3"/>
      <c r="K573" s="3"/>
      <c r="L573" s="3"/>
      <c r="M573" s="3"/>
      <c r="N573" s="3"/>
      <c r="O573" s="3"/>
      <c r="P573" s="3"/>
      <c r="Q573" s="3"/>
      <c r="R573" s="3"/>
      <c r="S573" s="3"/>
      <c r="T573" s="3"/>
      <c r="U573" s="3"/>
      <c r="V573" s="3"/>
      <c r="W573" s="3"/>
      <c r="X573" s="3"/>
      <c r="Y573" s="3"/>
    </row>
    <row r="574" ht="14.25" customHeight="1">
      <c r="A574" s="3"/>
      <c r="B574" s="3"/>
      <c r="C574" s="3"/>
      <c r="D574" s="3"/>
      <c r="E574" s="3"/>
      <c r="F574" s="3"/>
      <c r="G574" s="23"/>
      <c r="H574" s="24"/>
      <c r="I574" s="3"/>
      <c r="J574" s="3"/>
      <c r="K574" s="3"/>
      <c r="L574" s="3"/>
      <c r="M574" s="3"/>
      <c r="N574" s="3"/>
      <c r="O574" s="3"/>
      <c r="P574" s="3"/>
      <c r="Q574" s="3"/>
      <c r="R574" s="3"/>
      <c r="S574" s="3"/>
      <c r="T574" s="3"/>
      <c r="U574" s="3"/>
      <c r="V574" s="3"/>
      <c r="W574" s="3"/>
      <c r="X574" s="3"/>
      <c r="Y574" s="3"/>
    </row>
    <row r="575" ht="14.25" customHeight="1">
      <c r="A575" s="3"/>
      <c r="B575" s="3"/>
      <c r="C575" s="3"/>
      <c r="D575" s="3"/>
      <c r="E575" s="3"/>
      <c r="F575" s="3"/>
      <c r="G575" s="23"/>
      <c r="H575" s="24"/>
      <c r="I575" s="3"/>
      <c r="J575" s="3"/>
      <c r="K575" s="3"/>
      <c r="L575" s="3"/>
      <c r="M575" s="3"/>
      <c r="N575" s="3"/>
      <c r="O575" s="3"/>
      <c r="P575" s="3"/>
      <c r="Q575" s="3"/>
      <c r="R575" s="3"/>
      <c r="S575" s="3"/>
      <c r="T575" s="3"/>
      <c r="U575" s="3"/>
      <c r="V575" s="3"/>
      <c r="W575" s="3"/>
      <c r="X575" s="3"/>
      <c r="Y575" s="3"/>
    </row>
    <row r="576" ht="14.25" customHeight="1">
      <c r="A576" s="3"/>
      <c r="B576" s="3"/>
      <c r="C576" s="3"/>
      <c r="D576" s="3"/>
      <c r="E576" s="3"/>
      <c r="F576" s="3"/>
      <c r="G576" s="23"/>
      <c r="H576" s="24"/>
      <c r="I576" s="3"/>
      <c r="J576" s="3"/>
      <c r="K576" s="3"/>
      <c r="L576" s="3"/>
      <c r="M576" s="3"/>
      <c r="N576" s="3"/>
      <c r="O576" s="3"/>
      <c r="P576" s="3"/>
      <c r="Q576" s="3"/>
      <c r="R576" s="3"/>
      <c r="S576" s="3"/>
      <c r="T576" s="3"/>
      <c r="U576" s="3"/>
      <c r="V576" s="3"/>
      <c r="W576" s="3"/>
      <c r="X576" s="3"/>
      <c r="Y576" s="3"/>
    </row>
    <row r="577" ht="14.25" customHeight="1">
      <c r="A577" s="3"/>
      <c r="B577" s="3"/>
      <c r="C577" s="3"/>
      <c r="D577" s="3"/>
      <c r="E577" s="3"/>
      <c r="F577" s="3"/>
      <c r="G577" s="23"/>
      <c r="H577" s="24"/>
      <c r="I577" s="3"/>
      <c r="J577" s="3"/>
      <c r="K577" s="3"/>
      <c r="L577" s="3"/>
      <c r="M577" s="3"/>
      <c r="N577" s="3"/>
      <c r="O577" s="3"/>
      <c r="P577" s="3"/>
      <c r="Q577" s="3"/>
      <c r="R577" s="3"/>
      <c r="S577" s="3"/>
      <c r="T577" s="3"/>
      <c r="U577" s="3"/>
      <c r="V577" s="3"/>
      <c r="W577" s="3"/>
      <c r="X577" s="3"/>
      <c r="Y577" s="3"/>
    </row>
    <row r="578" ht="14.25" customHeight="1">
      <c r="A578" s="3"/>
      <c r="B578" s="3"/>
      <c r="C578" s="3"/>
      <c r="D578" s="3"/>
      <c r="E578" s="3"/>
      <c r="F578" s="3"/>
      <c r="G578" s="23"/>
      <c r="H578" s="24"/>
      <c r="I578" s="3"/>
      <c r="J578" s="3"/>
      <c r="K578" s="3"/>
      <c r="L578" s="3"/>
      <c r="M578" s="3"/>
      <c r="N578" s="3"/>
      <c r="O578" s="3"/>
      <c r="P578" s="3"/>
      <c r="Q578" s="3"/>
      <c r="R578" s="3"/>
      <c r="S578" s="3"/>
      <c r="T578" s="3"/>
      <c r="U578" s="3"/>
      <c r="V578" s="3"/>
      <c r="W578" s="3"/>
      <c r="X578" s="3"/>
      <c r="Y578" s="3"/>
    </row>
    <row r="579" ht="14.25" customHeight="1">
      <c r="A579" s="3"/>
      <c r="B579" s="3"/>
      <c r="C579" s="3"/>
      <c r="D579" s="3"/>
      <c r="E579" s="3"/>
      <c r="F579" s="3"/>
      <c r="G579" s="23"/>
      <c r="H579" s="24"/>
      <c r="I579" s="3"/>
      <c r="J579" s="3"/>
      <c r="K579" s="3"/>
      <c r="L579" s="3"/>
      <c r="M579" s="3"/>
      <c r="N579" s="3"/>
      <c r="O579" s="3"/>
      <c r="P579" s="3"/>
      <c r="Q579" s="3"/>
      <c r="R579" s="3"/>
      <c r="S579" s="3"/>
      <c r="T579" s="3"/>
      <c r="U579" s="3"/>
      <c r="V579" s="3"/>
      <c r="W579" s="3"/>
      <c r="X579" s="3"/>
      <c r="Y579" s="3"/>
    </row>
    <row r="580" ht="14.25" customHeight="1">
      <c r="A580" s="3"/>
      <c r="B580" s="3"/>
      <c r="C580" s="3"/>
      <c r="D580" s="3"/>
      <c r="E580" s="3"/>
      <c r="F580" s="3"/>
      <c r="G580" s="23"/>
      <c r="H580" s="24"/>
      <c r="I580" s="3"/>
      <c r="J580" s="3"/>
      <c r="K580" s="3"/>
      <c r="L580" s="3"/>
      <c r="M580" s="3"/>
      <c r="N580" s="3"/>
      <c r="O580" s="3"/>
      <c r="P580" s="3"/>
      <c r="Q580" s="3"/>
      <c r="R580" s="3"/>
      <c r="S580" s="3"/>
      <c r="T580" s="3"/>
      <c r="U580" s="3"/>
      <c r="V580" s="3"/>
      <c r="W580" s="3"/>
      <c r="X580" s="3"/>
      <c r="Y580" s="3"/>
    </row>
    <row r="581" ht="14.25" customHeight="1">
      <c r="A581" s="3"/>
      <c r="B581" s="3"/>
      <c r="C581" s="3"/>
      <c r="D581" s="3"/>
      <c r="E581" s="3"/>
      <c r="F581" s="3"/>
      <c r="G581" s="23"/>
      <c r="H581" s="24"/>
      <c r="I581" s="3"/>
      <c r="J581" s="3"/>
      <c r="K581" s="3"/>
      <c r="L581" s="3"/>
      <c r="M581" s="3"/>
      <c r="N581" s="3"/>
      <c r="O581" s="3"/>
      <c r="P581" s="3"/>
      <c r="Q581" s="3"/>
      <c r="R581" s="3"/>
      <c r="S581" s="3"/>
      <c r="T581" s="3"/>
      <c r="U581" s="3"/>
      <c r="V581" s="3"/>
      <c r="W581" s="3"/>
      <c r="X581" s="3"/>
      <c r="Y581" s="3"/>
    </row>
    <row r="582" ht="14.25" customHeight="1">
      <c r="A582" s="3"/>
      <c r="B582" s="3"/>
      <c r="C582" s="3"/>
      <c r="D582" s="3"/>
      <c r="E582" s="3"/>
      <c r="F582" s="3"/>
      <c r="G582" s="23"/>
      <c r="H582" s="24"/>
      <c r="I582" s="3"/>
      <c r="J582" s="3"/>
      <c r="K582" s="3"/>
      <c r="L582" s="3"/>
      <c r="M582" s="3"/>
      <c r="N582" s="3"/>
      <c r="O582" s="3"/>
      <c r="P582" s="3"/>
      <c r="Q582" s="3"/>
      <c r="R582" s="3"/>
      <c r="S582" s="3"/>
      <c r="T582" s="3"/>
      <c r="U582" s="3"/>
      <c r="V582" s="3"/>
      <c r="W582" s="3"/>
      <c r="X582" s="3"/>
      <c r="Y582" s="3"/>
    </row>
    <row r="583" ht="14.25" customHeight="1">
      <c r="A583" s="3"/>
      <c r="B583" s="3"/>
      <c r="C583" s="3"/>
      <c r="D583" s="3"/>
      <c r="E583" s="3"/>
      <c r="F583" s="3"/>
      <c r="G583" s="23"/>
      <c r="H583" s="24"/>
      <c r="I583" s="3"/>
      <c r="J583" s="3"/>
      <c r="K583" s="3"/>
      <c r="L583" s="3"/>
      <c r="M583" s="3"/>
      <c r="N583" s="3"/>
      <c r="O583" s="3"/>
      <c r="P583" s="3"/>
      <c r="Q583" s="3"/>
      <c r="R583" s="3"/>
      <c r="S583" s="3"/>
      <c r="T583" s="3"/>
      <c r="U583" s="3"/>
      <c r="V583" s="3"/>
      <c r="W583" s="3"/>
      <c r="X583" s="3"/>
      <c r="Y583" s="3"/>
    </row>
    <row r="584" ht="14.25" customHeight="1">
      <c r="A584" s="3"/>
      <c r="B584" s="3"/>
      <c r="C584" s="3"/>
      <c r="D584" s="3"/>
      <c r="E584" s="3"/>
      <c r="F584" s="3"/>
      <c r="G584" s="23"/>
      <c r="H584" s="24"/>
      <c r="I584" s="3"/>
      <c r="J584" s="3"/>
      <c r="K584" s="3"/>
      <c r="L584" s="3"/>
      <c r="M584" s="3"/>
      <c r="N584" s="3"/>
      <c r="O584" s="3"/>
      <c r="P584" s="3"/>
      <c r="Q584" s="3"/>
      <c r="R584" s="3"/>
      <c r="S584" s="3"/>
      <c r="T584" s="3"/>
      <c r="U584" s="3"/>
      <c r="V584" s="3"/>
      <c r="W584" s="3"/>
      <c r="X584" s="3"/>
      <c r="Y584" s="3"/>
    </row>
    <row r="585" ht="14.25" customHeight="1">
      <c r="A585" s="3"/>
      <c r="B585" s="3"/>
      <c r="C585" s="3"/>
      <c r="D585" s="3"/>
      <c r="E585" s="3"/>
      <c r="F585" s="3"/>
      <c r="G585" s="23"/>
      <c r="H585" s="24"/>
      <c r="I585" s="3"/>
      <c r="J585" s="3"/>
      <c r="K585" s="3"/>
      <c r="L585" s="3"/>
      <c r="M585" s="3"/>
      <c r="N585" s="3"/>
      <c r="O585" s="3"/>
      <c r="P585" s="3"/>
      <c r="Q585" s="3"/>
      <c r="R585" s="3"/>
      <c r="S585" s="3"/>
      <c r="T585" s="3"/>
      <c r="U585" s="3"/>
      <c r="V585" s="3"/>
      <c r="W585" s="3"/>
      <c r="X585" s="3"/>
      <c r="Y585" s="3"/>
    </row>
    <row r="586" ht="14.25" customHeight="1">
      <c r="A586" s="3"/>
      <c r="B586" s="3"/>
      <c r="C586" s="3"/>
      <c r="D586" s="3"/>
      <c r="E586" s="3"/>
      <c r="F586" s="3"/>
      <c r="G586" s="23"/>
      <c r="H586" s="24"/>
      <c r="I586" s="3"/>
      <c r="J586" s="3"/>
      <c r="K586" s="3"/>
      <c r="L586" s="3"/>
      <c r="M586" s="3"/>
      <c r="N586" s="3"/>
      <c r="O586" s="3"/>
      <c r="P586" s="3"/>
      <c r="Q586" s="3"/>
      <c r="R586" s="3"/>
      <c r="S586" s="3"/>
      <c r="T586" s="3"/>
      <c r="U586" s="3"/>
      <c r="V586" s="3"/>
      <c r="W586" s="3"/>
      <c r="X586" s="3"/>
      <c r="Y586" s="3"/>
    </row>
    <row r="587" ht="14.25" customHeight="1">
      <c r="A587" s="3"/>
      <c r="B587" s="3"/>
      <c r="C587" s="3"/>
      <c r="D587" s="3"/>
      <c r="E587" s="3"/>
      <c r="F587" s="3"/>
      <c r="G587" s="23"/>
      <c r="H587" s="24"/>
      <c r="I587" s="3"/>
      <c r="J587" s="3"/>
      <c r="K587" s="3"/>
      <c r="L587" s="3"/>
      <c r="M587" s="3"/>
      <c r="N587" s="3"/>
      <c r="O587" s="3"/>
      <c r="P587" s="3"/>
      <c r="Q587" s="3"/>
      <c r="R587" s="3"/>
      <c r="S587" s="3"/>
      <c r="T587" s="3"/>
      <c r="U587" s="3"/>
      <c r="V587" s="3"/>
      <c r="W587" s="3"/>
      <c r="X587" s="3"/>
      <c r="Y587" s="3"/>
    </row>
    <row r="588" ht="14.25" customHeight="1">
      <c r="A588" s="3"/>
      <c r="B588" s="3"/>
      <c r="C588" s="3"/>
      <c r="D588" s="3"/>
      <c r="E588" s="3"/>
      <c r="F588" s="3"/>
      <c r="G588" s="23"/>
      <c r="H588" s="24"/>
      <c r="I588" s="3"/>
      <c r="J588" s="3"/>
      <c r="K588" s="3"/>
      <c r="L588" s="3"/>
      <c r="M588" s="3"/>
      <c r="N588" s="3"/>
      <c r="O588" s="3"/>
      <c r="P588" s="3"/>
      <c r="Q588" s="3"/>
      <c r="R588" s="3"/>
      <c r="S588" s="3"/>
      <c r="T588" s="3"/>
      <c r="U588" s="3"/>
      <c r="V588" s="3"/>
      <c r="W588" s="3"/>
      <c r="X588" s="3"/>
      <c r="Y588" s="3"/>
    </row>
    <row r="589" ht="14.25" customHeight="1">
      <c r="A589" s="3"/>
      <c r="B589" s="3"/>
      <c r="C589" s="3"/>
      <c r="D589" s="3"/>
      <c r="E589" s="3"/>
      <c r="F589" s="3"/>
      <c r="G589" s="23"/>
      <c r="H589" s="24"/>
      <c r="I589" s="3"/>
      <c r="J589" s="3"/>
      <c r="K589" s="3"/>
      <c r="L589" s="3"/>
      <c r="M589" s="3"/>
      <c r="N589" s="3"/>
      <c r="O589" s="3"/>
      <c r="P589" s="3"/>
      <c r="Q589" s="3"/>
      <c r="R589" s="3"/>
      <c r="S589" s="3"/>
      <c r="T589" s="3"/>
      <c r="U589" s="3"/>
      <c r="V589" s="3"/>
      <c r="W589" s="3"/>
      <c r="X589" s="3"/>
      <c r="Y589" s="3"/>
    </row>
    <row r="590" ht="14.25" customHeight="1">
      <c r="A590" s="3"/>
      <c r="B590" s="3"/>
      <c r="C590" s="3"/>
      <c r="D590" s="3"/>
      <c r="E590" s="3"/>
      <c r="F590" s="3"/>
      <c r="G590" s="23"/>
      <c r="H590" s="24"/>
      <c r="I590" s="3"/>
      <c r="J590" s="3"/>
      <c r="K590" s="3"/>
      <c r="L590" s="3"/>
      <c r="M590" s="3"/>
      <c r="N590" s="3"/>
      <c r="O590" s="3"/>
      <c r="P590" s="3"/>
      <c r="Q590" s="3"/>
      <c r="R590" s="3"/>
      <c r="S590" s="3"/>
      <c r="T590" s="3"/>
      <c r="U590" s="3"/>
      <c r="V590" s="3"/>
      <c r="W590" s="3"/>
      <c r="X590" s="3"/>
      <c r="Y590" s="3"/>
    </row>
    <row r="591" ht="14.25" customHeight="1">
      <c r="A591" s="3"/>
      <c r="B591" s="3"/>
      <c r="C591" s="3"/>
      <c r="D591" s="3"/>
      <c r="E591" s="3"/>
      <c r="F591" s="3"/>
      <c r="G591" s="23"/>
      <c r="H591" s="24"/>
      <c r="I591" s="3"/>
      <c r="J591" s="3"/>
      <c r="K591" s="3"/>
      <c r="L591" s="3"/>
      <c r="M591" s="3"/>
      <c r="N591" s="3"/>
      <c r="O591" s="3"/>
      <c r="P591" s="3"/>
      <c r="Q591" s="3"/>
      <c r="R591" s="3"/>
      <c r="S591" s="3"/>
      <c r="T591" s="3"/>
      <c r="U591" s="3"/>
      <c r="V591" s="3"/>
      <c r="W591" s="3"/>
      <c r="X591" s="3"/>
      <c r="Y591" s="3"/>
    </row>
    <row r="592" ht="14.25" customHeight="1">
      <c r="A592" s="3"/>
      <c r="B592" s="3"/>
      <c r="C592" s="3"/>
      <c r="D592" s="3"/>
      <c r="E592" s="3"/>
      <c r="F592" s="3"/>
      <c r="G592" s="23"/>
      <c r="H592" s="24"/>
      <c r="I592" s="3"/>
      <c r="J592" s="3"/>
      <c r="K592" s="3"/>
      <c r="L592" s="3"/>
      <c r="M592" s="3"/>
      <c r="N592" s="3"/>
      <c r="O592" s="3"/>
      <c r="P592" s="3"/>
      <c r="Q592" s="3"/>
      <c r="R592" s="3"/>
      <c r="S592" s="3"/>
      <c r="T592" s="3"/>
      <c r="U592" s="3"/>
      <c r="V592" s="3"/>
      <c r="W592" s="3"/>
      <c r="X592" s="3"/>
      <c r="Y592" s="3"/>
    </row>
    <row r="593" ht="14.25" customHeight="1">
      <c r="A593" s="3"/>
      <c r="B593" s="3"/>
      <c r="C593" s="3"/>
      <c r="D593" s="3"/>
      <c r="E593" s="3"/>
      <c r="F593" s="3"/>
      <c r="G593" s="23"/>
      <c r="H593" s="24"/>
      <c r="I593" s="3"/>
      <c r="J593" s="3"/>
      <c r="K593" s="3"/>
      <c r="L593" s="3"/>
      <c r="M593" s="3"/>
      <c r="N593" s="3"/>
      <c r="O593" s="3"/>
      <c r="P593" s="3"/>
      <c r="Q593" s="3"/>
      <c r="R593" s="3"/>
      <c r="S593" s="3"/>
      <c r="T593" s="3"/>
      <c r="U593" s="3"/>
      <c r="V593" s="3"/>
      <c r="W593" s="3"/>
      <c r="X593" s="3"/>
      <c r="Y593" s="3"/>
    </row>
    <row r="594" ht="14.25" customHeight="1">
      <c r="A594" s="3"/>
      <c r="B594" s="3"/>
      <c r="C594" s="3"/>
      <c r="D594" s="3"/>
      <c r="E594" s="3"/>
      <c r="F594" s="3"/>
      <c r="G594" s="23"/>
      <c r="H594" s="24"/>
      <c r="I594" s="3"/>
      <c r="J594" s="3"/>
      <c r="K594" s="3"/>
      <c r="L594" s="3"/>
      <c r="M594" s="3"/>
      <c r="N594" s="3"/>
      <c r="O594" s="3"/>
      <c r="P594" s="3"/>
      <c r="Q594" s="3"/>
      <c r="R594" s="3"/>
      <c r="S594" s="3"/>
      <c r="T594" s="3"/>
      <c r="U594" s="3"/>
      <c r="V594" s="3"/>
      <c r="W594" s="3"/>
      <c r="X594" s="3"/>
      <c r="Y594" s="3"/>
    </row>
    <row r="595" ht="14.25" customHeight="1">
      <c r="A595" s="3"/>
      <c r="B595" s="3"/>
      <c r="C595" s="3"/>
      <c r="D595" s="3"/>
      <c r="E595" s="3"/>
      <c r="F595" s="3"/>
      <c r="G595" s="23"/>
      <c r="H595" s="24"/>
      <c r="I595" s="3"/>
      <c r="J595" s="3"/>
      <c r="K595" s="3"/>
      <c r="L595" s="3"/>
      <c r="M595" s="3"/>
      <c r="N595" s="3"/>
      <c r="O595" s="3"/>
      <c r="P595" s="3"/>
      <c r="Q595" s="3"/>
      <c r="R595" s="3"/>
      <c r="S595" s="3"/>
      <c r="T595" s="3"/>
      <c r="U595" s="3"/>
      <c r="V595" s="3"/>
      <c r="W595" s="3"/>
      <c r="X595" s="3"/>
      <c r="Y595" s="3"/>
    </row>
    <row r="596" ht="14.25" customHeight="1">
      <c r="A596" s="3"/>
      <c r="B596" s="3"/>
      <c r="C596" s="3"/>
      <c r="D596" s="3"/>
      <c r="E596" s="3"/>
      <c r="F596" s="3"/>
      <c r="G596" s="23"/>
      <c r="H596" s="24"/>
      <c r="I596" s="3"/>
      <c r="J596" s="3"/>
      <c r="K596" s="3"/>
      <c r="L596" s="3"/>
      <c r="M596" s="3"/>
      <c r="N596" s="3"/>
      <c r="O596" s="3"/>
      <c r="P596" s="3"/>
      <c r="Q596" s="3"/>
      <c r="R596" s="3"/>
      <c r="S596" s="3"/>
      <c r="T596" s="3"/>
      <c r="U596" s="3"/>
      <c r="V596" s="3"/>
      <c r="W596" s="3"/>
      <c r="X596" s="3"/>
      <c r="Y596" s="3"/>
    </row>
    <row r="597" ht="14.25" customHeight="1">
      <c r="A597" s="3"/>
      <c r="B597" s="3"/>
      <c r="C597" s="3"/>
      <c r="D597" s="3"/>
      <c r="E597" s="3"/>
      <c r="F597" s="3"/>
      <c r="G597" s="23"/>
      <c r="H597" s="24"/>
      <c r="I597" s="3"/>
      <c r="J597" s="3"/>
      <c r="K597" s="3"/>
      <c r="L597" s="3"/>
      <c r="M597" s="3"/>
      <c r="N597" s="3"/>
      <c r="O597" s="3"/>
      <c r="P597" s="3"/>
      <c r="Q597" s="3"/>
      <c r="R597" s="3"/>
      <c r="S597" s="3"/>
      <c r="T597" s="3"/>
      <c r="U597" s="3"/>
      <c r="V597" s="3"/>
      <c r="W597" s="3"/>
      <c r="X597" s="3"/>
      <c r="Y597" s="3"/>
    </row>
    <row r="598" ht="14.25" customHeight="1">
      <c r="A598" s="3"/>
      <c r="B598" s="3"/>
      <c r="C598" s="3"/>
      <c r="D598" s="3"/>
      <c r="E598" s="3"/>
      <c r="F598" s="3"/>
      <c r="G598" s="23"/>
      <c r="H598" s="24"/>
      <c r="I598" s="3"/>
      <c r="J598" s="3"/>
      <c r="K598" s="3"/>
      <c r="L598" s="3"/>
      <c r="M598" s="3"/>
      <c r="N598" s="3"/>
      <c r="O598" s="3"/>
      <c r="P598" s="3"/>
      <c r="Q598" s="3"/>
      <c r="R598" s="3"/>
      <c r="S598" s="3"/>
      <c r="T598" s="3"/>
      <c r="U598" s="3"/>
      <c r="V598" s="3"/>
      <c r="W598" s="3"/>
      <c r="X598" s="3"/>
      <c r="Y598" s="3"/>
    </row>
    <row r="599" ht="14.25" customHeight="1">
      <c r="A599" s="3"/>
      <c r="B599" s="3"/>
      <c r="C599" s="3"/>
      <c r="D599" s="3"/>
      <c r="E599" s="3"/>
      <c r="F599" s="3"/>
      <c r="G599" s="23"/>
      <c r="H599" s="24"/>
      <c r="I599" s="3"/>
      <c r="J599" s="3"/>
      <c r="K599" s="3"/>
      <c r="L599" s="3"/>
      <c r="M599" s="3"/>
      <c r="N599" s="3"/>
      <c r="O599" s="3"/>
      <c r="P599" s="3"/>
      <c r="Q599" s="3"/>
      <c r="R599" s="3"/>
      <c r="S599" s="3"/>
      <c r="T599" s="3"/>
      <c r="U599" s="3"/>
      <c r="V599" s="3"/>
      <c r="W599" s="3"/>
      <c r="X599" s="3"/>
      <c r="Y599" s="3"/>
    </row>
    <row r="600" ht="14.25" customHeight="1">
      <c r="A600" s="3"/>
      <c r="B600" s="3"/>
      <c r="C600" s="3"/>
      <c r="D600" s="3"/>
      <c r="E600" s="3"/>
      <c r="F600" s="3"/>
      <c r="G600" s="23"/>
      <c r="H600" s="24"/>
      <c r="I600" s="3"/>
      <c r="J600" s="3"/>
      <c r="K600" s="3"/>
      <c r="L600" s="3"/>
      <c r="M600" s="3"/>
      <c r="N600" s="3"/>
      <c r="O600" s="3"/>
      <c r="P600" s="3"/>
      <c r="Q600" s="3"/>
      <c r="R600" s="3"/>
      <c r="S600" s="3"/>
      <c r="T600" s="3"/>
      <c r="U600" s="3"/>
      <c r="V600" s="3"/>
      <c r="W600" s="3"/>
      <c r="X600" s="3"/>
      <c r="Y600" s="3"/>
    </row>
    <row r="601" ht="14.25" customHeight="1">
      <c r="A601" s="3"/>
      <c r="B601" s="3"/>
      <c r="C601" s="3"/>
      <c r="D601" s="3"/>
      <c r="E601" s="3"/>
      <c r="F601" s="3"/>
      <c r="G601" s="23"/>
      <c r="H601" s="24"/>
      <c r="I601" s="3"/>
      <c r="J601" s="3"/>
      <c r="K601" s="3"/>
      <c r="L601" s="3"/>
      <c r="M601" s="3"/>
      <c r="N601" s="3"/>
      <c r="O601" s="3"/>
      <c r="P601" s="3"/>
      <c r="Q601" s="3"/>
      <c r="R601" s="3"/>
      <c r="S601" s="3"/>
      <c r="T601" s="3"/>
      <c r="U601" s="3"/>
      <c r="V601" s="3"/>
      <c r="W601" s="3"/>
      <c r="X601" s="3"/>
      <c r="Y601" s="3"/>
    </row>
    <row r="602" ht="14.25" customHeight="1">
      <c r="A602" s="3"/>
      <c r="B602" s="3"/>
      <c r="C602" s="3"/>
      <c r="D602" s="3"/>
      <c r="E602" s="3"/>
      <c r="F602" s="3"/>
      <c r="G602" s="23"/>
      <c r="H602" s="24"/>
      <c r="I602" s="3"/>
      <c r="J602" s="3"/>
      <c r="K602" s="3"/>
      <c r="L602" s="3"/>
      <c r="M602" s="3"/>
      <c r="N602" s="3"/>
      <c r="O602" s="3"/>
      <c r="P602" s="3"/>
      <c r="Q602" s="3"/>
      <c r="R602" s="3"/>
      <c r="S602" s="3"/>
      <c r="T602" s="3"/>
      <c r="U602" s="3"/>
      <c r="V602" s="3"/>
      <c r="W602" s="3"/>
      <c r="X602" s="3"/>
      <c r="Y602" s="3"/>
    </row>
    <row r="603" ht="14.25" customHeight="1">
      <c r="A603" s="3"/>
      <c r="B603" s="3"/>
      <c r="C603" s="3"/>
      <c r="D603" s="3"/>
      <c r="E603" s="3"/>
      <c r="F603" s="3"/>
      <c r="G603" s="23"/>
      <c r="H603" s="24"/>
      <c r="I603" s="3"/>
      <c r="J603" s="3"/>
      <c r="K603" s="3"/>
      <c r="L603" s="3"/>
      <c r="M603" s="3"/>
      <c r="N603" s="3"/>
      <c r="O603" s="3"/>
      <c r="P603" s="3"/>
      <c r="Q603" s="3"/>
      <c r="R603" s="3"/>
      <c r="S603" s="3"/>
      <c r="T603" s="3"/>
      <c r="U603" s="3"/>
      <c r="V603" s="3"/>
      <c r="W603" s="3"/>
      <c r="X603" s="3"/>
      <c r="Y603" s="3"/>
    </row>
    <row r="604" ht="14.25" customHeight="1">
      <c r="A604" s="3"/>
      <c r="B604" s="3"/>
      <c r="C604" s="3"/>
      <c r="D604" s="3"/>
      <c r="E604" s="3"/>
      <c r="F604" s="3"/>
      <c r="G604" s="23"/>
      <c r="H604" s="24"/>
      <c r="I604" s="3"/>
      <c r="J604" s="3"/>
      <c r="K604" s="3"/>
      <c r="L604" s="3"/>
      <c r="M604" s="3"/>
      <c r="N604" s="3"/>
      <c r="O604" s="3"/>
      <c r="P604" s="3"/>
      <c r="Q604" s="3"/>
      <c r="R604" s="3"/>
      <c r="S604" s="3"/>
      <c r="T604" s="3"/>
      <c r="U604" s="3"/>
      <c r="V604" s="3"/>
      <c r="W604" s="3"/>
      <c r="X604" s="3"/>
      <c r="Y604" s="3"/>
    </row>
    <row r="605" ht="14.25" customHeight="1">
      <c r="A605" s="3"/>
      <c r="B605" s="3"/>
      <c r="C605" s="3"/>
      <c r="D605" s="3"/>
      <c r="E605" s="3"/>
      <c r="F605" s="3"/>
      <c r="G605" s="23"/>
      <c r="H605" s="24"/>
      <c r="I605" s="3"/>
      <c r="J605" s="3"/>
      <c r="K605" s="3"/>
      <c r="L605" s="3"/>
      <c r="M605" s="3"/>
      <c r="N605" s="3"/>
      <c r="O605" s="3"/>
      <c r="P605" s="3"/>
      <c r="Q605" s="3"/>
      <c r="R605" s="3"/>
      <c r="S605" s="3"/>
      <c r="T605" s="3"/>
      <c r="U605" s="3"/>
      <c r="V605" s="3"/>
      <c r="W605" s="3"/>
      <c r="X605" s="3"/>
      <c r="Y605" s="3"/>
    </row>
    <row r="606" ht="14.25" customHeight="1">
      <c r="A606" s="3"/>
      <c r="B606" s="3"/>
      <c r="C606" s="3"/>
      <c r="D606" s="3"/>
      <c r="E606" s="3"/>
      <c r="F606" s="3"/>
      <c r="G606" s="23"/>
      <c r="H606" s="24"/>
      <c r="I606" s="3"/>
      <c r="J606" s="3"/>
      <c r="K606" s="3"/>
      <c r="L606" s="3"/>
      <c r="M606" s="3"/>
      <c r="N606" s="3"/>
      <c r="O606" s="3"/>
      <c r="P606" s="3"/>
      <c r="Q606" s="3"/>
      <c r="R606" s="3"/>
      <c r="S606" s="3"/>
      <c r="T606" s="3"/>
      <c r="U606" s="3"/>
      <c r="V606" s="3"/>
      <c r="W606" s="3"/>
      <c r="X606" s="3"/>
      <c r="Y606" s="3"/>
    </row>
    <row r="607" ht="14.25" customHeight="1">
      <c r="A607" s="3"/>
      <c r="B607" s="3"/>
      <c r="C607" s="3"/>
      <c r="D607" s="3"/>
      <c r="E607" s="3"/>
      <c r="F607" s="3"/>
      <c r="G607" s="23"/>
      <c r="H607" s="24"/>
      <c r="I607" s="3"/>
      <c r="J607" s="3"/>
      <c r="K607" s="3"/>
      <c r="L607" s="3"/>
      <c r="M607" s="3"/>
      <c r="N607" s="3"/>
      <c r="O607" s="3"/>
      <c r="P607" s="3"/>
      <c r="Q607" s="3"/>
      <c r="R607" s="3"/>
      <c r="S607" s="3"/>
      <c r="T607" s="3"/>
      <c r="U607" s="3"/>
      <c r="V607" s="3"/>
      <c r="W607" s="3"/>
      <c r="X607" s="3"/>
      <c r="Y607" s="3"/>
    </row>
    <row r="608" ht="14.25" customHeight="1">
      <c r="A608" s="3"/>
      <c r="B608" s="3"/>
      <c r="C608" s="3"/>
      <c r="D608" s="3"/>
      <c r="E608" s="3"/>
      <c r="F608" s="3"/>
      <c r="G608" s="23"/>
      <c r="H608" s="24"/>
      <c r="I608" s="3"/>
      <c r="J608" s="3"/>
      <c r="K608" s="3"/>
      <c r="L608" s="3"/>
      <c r="M608" s="3"/>
      <c r="N608" s="3"/>
      <c r="O608" s="3"/>
      <c r="P608" s="3"/>
      <c r="Q608" s="3"/>
      <c r="R608" s="3"/>
      <c r="S608" s="3"/>
      <c r="T608" s="3"/>
      <c r="U608" s="3"/>
      <c r="V608" s="3"/>
      <c r="W608" s="3"/>
      <c r="X608" s="3"/>
      <c r="Y608" s="3"/>
    </row>
    <row r="609" ht="14.25" customHeight="1">
      <c r="A609" s="3"/>
      <c r="B609" s="3"/>
      <c r="C609" s="3"/>
      <c r="D609" s="3"/>
      <c r="E609" s="3"/>
      <c r="F609" s="3"/>
      <c r="G609" s="23"/>
      <c r="H609" s="24"/>
      <c r="I609" s="3"/>
      <c r="J609" s="3"/>
      <c r="K609" s="3"/>
      <c r="L609" s="3"/>
      <c r="M609" s="3"/>
      <c r="N609" s="3"/>
      <c r="O609" s="3"/>
      <c r="P609" s="3"/>
      <c r="Q609" s="3"/>
      <c r="R609" s="3"/>
      <c r="S609" s="3"/>
      <c r="T609" s="3"/>
      <c r="U609" s="3"/>
      <c r="V609" s="3"/>
      <c r="W609" s="3"/>
      <c r="X609" s="3"/>
      <c r="Y609" s="3"/>
    </row>
    <row r="610" ht="14.25" customHeight="1">
      <c r="A610" s="3"/>
      <c r="B610" s="3"/>
      <c r="C610" s="3"/>
      <c r="D610" s="3"/>
      <c r="E610" s="3"/>
      <c r="F610" s="3"/>
      <c r="G610" s="23"/>
      <c r="H610" s="24"/>
      <c r="I610" s="3"/>
      <c r="J610" s="3"/>
      <c r="K610" s="3"/>
      <c r="L610" s="3"/>
      <c r="M610" s="3"/>
      <c r="N610" s="3"/>
      <c r="O610" s="3"/>
      <c r="P610" s="3"/>
      <c r="Q610" s="3"/>
      <c r="R610" s="3"/>
      <c r="S610" s="3"/>
      <c r="T610" s="3"/>
      <c r="U610" s="3"/>
      <c r="V610" s="3"/>
      <c r="W610" s="3"/>
      <c r="X610" s="3"/>
      <c r="Y610" s="3"/>
    </row>
    <row r="611" ht="14.25" customHeight="1">
      <c r="A611" s="3"/>
      <c r="B611" s="3"/>
      <c r="C611" s="3"/>
      <c r="D611" s="3"/>
      <c r="E611" s="3"/>
      <c r="F611" s="3"/>
      <c r="G611" s="23"/>
      <c r="H611" s="24"/>
      <c r="I611" s="3"/>
      <c r="J611" s="3"/>
      <c r="K611" s="3"/>
      <c r="L611" s="3"/>
      <c r="M611" s="3"/>
      <c r="N611" s="3"/>
      <c r="O611" s="3"/>
      <c r="P611" s="3"/>
      <c r="Q611" s="3"/>
      <c r="R611" s="3"/>
      <c r="S611" s="3"/>
      <c r="T611" s="3"/>
      <c r="U611" s="3"/>
      <c r="V611" s="3"/>
      <c r="W611" s="3"/>
      <c r="X611" s="3"/>
      <c r="Y611" s="3"/>
    </row>
    <row r="612" ht="14.25" customHeight="1">
      <c r="A612" s="3"/>
      <c r="B612" s="3"/>
      <c r="C612" s="3"/>
      <c r="D612" s="3"/>
      <c r="E612" s="3"/>
      <c r="F612" s="3"/>
      <c r="G612" s="23"/>
      <c r="H612" s="24"/>
      <c r="I612" s="3"/>
      <c r="J612" s="3"/>
      <c r="K612" s="3"/>
      <c r="L612" s="3"/>
      <c r="M612" s="3"/>
      <c r="N612" s="3"/>
      <c r="O612" s="3"/>
      <c r="P612" s="3"/>
      <c r="Q612" s="3"/>
      <c r="R612" s="3"/>
      <c r="S612" s="3"/>
      <c r="T612" s="3"/>
      <c r="U612" s="3"/>
      <c r="V612" s="3"/>
      <c r="W612" s="3"/>
      <c r="X612" s="3"/>
      <c r="Y612" s="3"/>
    </row>
    <row r="613" ht="14.25" customHeight="1">
      <c r="A613" s="3"/>
      <c r="B613" s="3"/>
      <c r="C613" s="3"/>
      <c r="D613" s="3"/>
      <c r="E613" s="3"/>
      <c r="F613" s="3"/>
      <c r="G613" s="23"/>
      <c r="H613" s="24"/>
      <c r="I613" s="3"/>
      <c r="J613" s="3"/>
      <c r="K613" s="3"/>
      <c r="L613" s="3"/>
      <c r="M613" s="3"/>
      <c r="N613" s="3"/>
      <c r="O613" s="3"/>
      <c r="P613" s="3"/>
      <c r="Q613" s="3"/>
      <c r="R613" s="3"/>
      <c r="S613" s="3"/>
      <c r="T613" s="3"/>
      <c r="U613" s="3"/>
      <c r="V613" s="3"/>
      <c r="W613" s="3"/>
      <c r="X613" s="3"/>
      <c r="Y613" s="3"/>
    </row>
    <row r="614" ht="14.25" customHeight="1">
      <c r="A614" s="3"/>
      <c r="B614" s="3"/>
      <c r="C614" s="3"/>
      <c r="D614" s="3"/>
      <c r="E614" s="3"/>
      <c r="F614" s="3"/>
      <c r="G614" s="23"/>
      <c r="H614" s="24"/>
      <c r="I614" s="3"/>
      <c r="J614" s="3"/>
      <c r="K614" s="3"/>
      <c r="L614" s="3"/>
      <c r="M614" s="3"/>
      <c r="N614" s="3"/>
      <c r="O614" s="3"/>
      <c r="P614" s="3"/>
      <c r="Q614" s="3"/>
      <c r="R614" s="3"/>
      <c r="S614" s="3"/>
      <c r="T614" s="3"/>
      <c r="U614" s="3"/>
      <c r="V614" s="3"/>
      <c r="W614" s="3"/>
      <c r="X614" s="3"/>
      <c r="Y614" s="3"/>
    </row>
    <row r="615" ht="14.25" customHeight="1">
      <c r="A615" s="3"/>
      <c r="B615" s="3"/>
      <c r="C615" s="3"/>
      <c r="D615" s="3"/>
      <c r="E615" s="3"/>
      <c r="F615" s="3"/>
      <c r="G615" s="23"/>
      <c r="H615" s="24"/>
      <c r="I615" s="3"/>
      <c r="J615" s="3"/>
      <c r="K615" s="3"/>
      <c r="L615" s="3"/>
      <c r="M615" s="3"/>
      <c r="N615" s="3"/>
      <c r="O615" s="3"/>
      <c r="P615" s="3"/>
      <c r="Q615" s="3"/>
      <c r="R615" s="3"/>
      <c r="S615" s="3"/>
      <c r="T615" s="3"/>
      <c r="U615" s="3"/>
      <c r="V615" s="3"/>
      <c r="W615" s="3"/>
      <c r="X615" s="3"/>
      <c r="Y615" s="3"/>
    </row>
    <row r="616" ht="14.25" customHeight="1">
      <c r="A616" s="3"/>
      <c r="B616" s="3"/>
      <c r="C616" s="3"/>
      <c r="D616" s="3"/>
      <c r="E616" s="3"/>
      <c r="F616" s="3"/>
      <c r="G616" s="23"/>
      <c r="H616" s="24"/>
      <c r="I616" s="3"/>
      <c r="J616" s="3"/>
      <c r="K616" s="3"/>
      <c r="L616" s="3"/>
      <c r="M616" s="3"/>
      <c r="N616" s="3"/>
      <c r="O616" s="3"/>
      <c r="P616" s="3"/>
      <c r="Q616" s="3"/>
      <c r="R616" s="3"/>
      <c r="S616" s="3"/>
      <c r="T616" s="3"/>
      <c r="U616" s="3"/>
      <c r="V616" s="3"/>
      <c r="W616" s="3"/>
      <c r="X616" s="3"/>
      <c r="Y616" s="3"/>
    </row>
    <row r="617" ht="14.25" customHeight="1">
      <c r="A617" s="3"/>
      <c r="B617" s="3"/>
      <c r="C617" s="3"/>
      <c r="D617" s="3"/>
      <c r="E617" s="3"/>
      <c r="F617" s="3"/>
      <c r="G617" s="23"/>
      <c r="H617" s="24"/>
      <c r="I617" s="3"/>
      <c r="J617" s="3"/>
      <c r="K617" s="3"/>
      <c r="L617" s="3"/>
      <c r="M617" s="3"/>
      <c r="N617" s="3"/>
      <c r="O617" s="3"/>
      <c r="P617" s="3"/>
      <c r="Q617" s="3"/>
      <c r="R617" s="3"/>
      <c r="S617" s="3"/>
      <c r="T617" s="3"/>
      <c r="U617" s="3"/>
      <c r="V617" s="3"/>
      <c r="W617" s="3"/>
      <c r="X617" s="3"/>
      <c r="Y617" s="3"/>
    </row>
    <row r="618" ht="14.25" customHeight="1">
      <c r="A618" s="3"/>
      <c r="B618" s="3"/>
      <c r="C618" s="3"/>
      <c r="D618" s="3"/>
      <c r="E618" s="3"/>
      <c r="F618" s="3"/>
      <c r="G618" s="23"/>
      <c r="H618" s="24"/>
      <c r="I618" s="3"/>
      <c r="J618" s="3"/>
      <c r="K618" s="3"/>
      <c r="L618" s="3"/>
      <c r="M618" s="3"/>
      <c r="N618" s="3"/>
      <c r="O618" s="3"/>
      <c r="P618" s="3"/>
      <c r="Q618" s="3"/>
      <c r="R618" s="3"/>
      <c r="S618" s="3"/>
      <c r="T618" s="3"/>
      <c r="U618" s="3"/>
      <c r="V618" s="3"/>
      <c r="W618" s="3"/>
      <c r="X618" s="3"/>
      <c r="Y618" s="3"/>
    </row>
    <row r="619" ht="14.25" customHeight="1">
      <c r="A619" s="3"/>
      <c r="B619" s="3"/>
      <c r="C619" s="3"/>
      <c r="D619" s="3"/>
      <c r="E619" s="3"/>
      <c r="F619" s="3"/>
      <c r="G619" s="23"/>
      <c r="H619" s="24"/>
      <c r="I619" s="3"/>
      <c r="J619" s="3"/>
      <c r="K619" s="3"/>
      <c r="L619" s="3"/>
      <c r="M619" s="3"/>
      <c r="N619" s="3"/>
      <c r="O619" s="3"/>
      <c r="P619" s="3"/>
      <c r="Q619" s="3"/>
      <c r="R619" s="3"/>
      <c r="S619" s="3"/>
      <c r="T619" s="3"/>
      <c r="U619" s="3"/>
      <c r="V619" s="3"/>
      <c r="W619" s="3"/>
      <c r="X619" s="3"/>
      <c r="Y619" s="3"/>
    </row>
    <row r="620" ht="14.25" customHeight="1">
      <c r="A620" s="3"/>
      <c r="B620" s="3"/>
      <c r="C620" s="3"/>
      <c r="D620" s="3"/>
      <c r="E620" s="3"/>
      <c r="F620" s="3"/>
      <c r="G620" s="23"/>
      <c r="H620" s="24"/>
      <c r="I620" s="3"/>
      <c r="J620" s="3"/>
      <c r="K620" s="3"/>
      <c r="L620" s="3"/>
      <c r="M620" s="3"/>
      <c r="N620" s="3"/>
      <c r="O620" s="3"/>
      <c r="P620" s="3"/>
      <c r="Q620" s="3"/>
      <c r="R620" s="3"/>
      <c r="S620" s="3"/>
      <c r="T620" s="3"/>
      <c r="U620" s="3"/>
      <c r="V620" s="3"/>
      <c r="W620" s="3"/>
      <c r="X620" s="3"/>
      <c r="Y620" s="3"/>
    </row>
    <row r="621" ht="14.25" customHeight="1">
      <c r="A621" s="3"/>
      <c r="B621" s="3"/>
      <c r="C621" s="3"/>
      <c r="D621" s="3"/>
      <c r="E621" s="3"/>
      <c r="F621" s="3"/>
      <c r="G621" s="23"/>
      <c r="H621" s="24"/>
      <c r="I621" s="3"/>
      <c r="J621" s="3"/>
      <c r="K621" s="3"/>
      <c r="L621" s="3"/>
      <c r="M621" s="3"/>
      <c r="N621" s="3"/>
      <c r="O621" s="3"/>
      <c r="P621" s="3"/>
      <c r="Q621" s="3"/>
      <c r="R621" s="3"/>
      <c r="S621" s="3"/>
      <c r="T621" s="3"/>
      <c r="U621" s="3"/>
      <c r="V621" s="3"/>
      <c r="W621" s="3"/>
      <c r="X621" s="3"/>
      <c r="Y621" s="3"/>
    </row>
    <row r="622" ht="14.25" customHeight="1">
      <c r="A622" s="3"/>
      <c r="B622" s="3"/>
      <c r="C622" s="3"/>
      <c r="D622" s="3"/>
      <c r="E622" s="3"/>
      <c r="F622" s="3"/>
      <c r="G622" s="23"/>
      <c r="H622" s="24"/>
      <c r="I622" s="3"/>
      <c r="J622" s="3"/>
      <c r="K622" s="3"/>
      <c r="L622" s="3"/>
      <c r="M622" s="3"/>
      <c r="N622" s="3"/>
      <c r="O622" s="3"/>
      <c r="P622" s="3"/>
      <c r="Q622" s="3"/>
      <c r="R622" s="3"/>
      <c r="S622" s="3"/>
      <c r="T622" s="3"/>
      <c r="U622" s="3"/>
      <c r="V622" s="3"/>
      <c r="W622" s="3"/>
      <c r="X622" s="3"/>
      <c r="Y622" s="3"/>
    </row>
    <row r="623" ht="14.25" customHeight="1">
      <c r="A623" s="3"/>
      <c r="B623" s="3"/>
      <c r="C623" s="3"/>
      <c r="D623" s="3"/>
      <c r="E623" s="3"/>
      <c r="F623" s="3"/>
      <c r="G623" s="23"/>
      <c r="H623" s="24"/>
      <c r="I623" s="3"/>
      <c r="J623" s="3"/>
      <c r="K623" s="3"/>
      <c r="L623" s="3"/>
      <c r="M623" s="3"/>
      <c r="N623" s="3"/>
      <c r="O623" s="3"/>
      <c r="P623" s="3"/>
      <c r="Q623" s="3"/>
      <c r="R623" s="3"/>
      <c r="S623" s="3"/>
      <c r="T623" s="3"/>
      <c r="U623" s="3"/>
      <c r="V623" s="3"/>
      <c r="W623" s="3"/>
      <c r="X623" s="3"/>
      <c r="Y623" s="3"/>
    </row>
    <row r="624" ht="14.25" customHeight="1">
      <c r="A624" s="3"/>
      <c r="B624" s="3"/>
      <c r="C624" s="3"/>
      <c r="D624" s="3"/>
      <c r="E624" s="3"/>
      <c r="F624" s="3"/>
      <c r="G624" s="23"/>
      <c r="H624" s="24"/>
      <c r="I624" s="3"/>
      <c r="J624" s="3"/>
      <c r="K624" s="3"/>
      <c r="L624" s="3"/>
      <c r="M624" s="3"/>
      <c r="N624" s="3"/>
      <c r="O624" s="3"/>
      <c r="P624" s="3"/>
      <c r="Q624" s="3"/>
      <c r="R624" s="3"/>
      <c r="S624" s="3"/>
      <c r="T624" s="3"/>
      <c r="U624" s="3"/>
      <c r="V624" s="3"/>
      <c r="W624" s="3"/>
      <c r="X624" s="3"/>
      <c r="Y624" s="3"/>
    </row>
    <row r="625" ht="14.25" customHeight="1">
      <c r="A625" s="3"/>
      <c r="B625" s="3"/>
      <c r="C625" s="3"/>
      <c r="D625" s="3"/>
      <c r="E625" s="3"/>
      <c r="F625" s="3"/>
      <c r="G625" s="23"/>
      <c r="H625" s="24"/>
      <c r="I625" s="3"/>
      <c r="J625" s="3"/>
      <c r="K625" s="3"/>
      <c r="L625" s="3"/>
      <c r="M625" s="3"/>
      <c r="N625" s="3"/>
      <c r="O625" s="3"/>
      <c r="P625" s="3"/>
      <c r="Q625" s="3"/>
      <c r="R625" s="3"/>
      <c r="S625" s="3"/>
      <c r="T625" s="3"/>
      <c r="U625" s="3"/>
      <c r="V625" s="3"/>
      <c r="W625" s="3"/>
      <c r="X625" s="3"/>
      <c r="Y625" s="3"/>
    </row>
    <row r="626" ht="14.25" customHeight="1">
      <c r="A626" s="3"/>
      <c r="B626" s="3"/>
      <c r="C626" s="3"/>
      <c r="D626" s="3"/>
      <c r="E626" s="3"/>
      <c r="F626" s="3"/>
      <c r="G626" s="23"/>
      <c r="H626" s="24"/>
      <c r="I626" s="3"/>
      <c r="J626" s="3"/>
      <c r="K626" s="3"/>
      <c r="L626" s="3"/>
      <c r="M626" s="3"/>
      <c r="N626" s="3"/>
      <c r="O626" s="3"/>
      <c r="P626" s="3"/>
      <c r="Q626" s="3"/>
      <c r="R626" s="3"/>
      <c r="S626" s="3"/>
      <c r="T626" s="3"/>
      <c r="U626" s="3"/>
      <c r="V626" s="3"/>
      <c r="W626" s="3"/>
      <c r="X626" s="3"/>
      <c r="Y626" s="3"/>
    </row>
    <row r="627" ht="14.25" customHeight="1">
      <c r="A627" s="3"/>
      <c r="B627" s="3"/>
      <c r="C627" s="3"/>
      <c r="D627" s="3"/>
      <c r="E627" s="3"/>
      <c r="F627" s="3"/>
      <c r="G627" s="23"/>
      <c r="H627" s="24"/>
      <c r="I627" s="3"/>
      <c r="J627" s="3"/>
      <c r="K627" s="3"/>
      <c r="L627" s="3"/>
      <c r="M627" s="3"/>
      <c r="N627" s="3"/>
      <c r="O627" s="3"/>
      <c r="P627" s="3"/>
      <c r="Q627" s="3"/>
      <c r="R627" s="3"/>
      <c r="S627" s="3"/>
      <c r="T627" s="3"/>
      <c r="U627" s="3"/>
      <c r="V627" s="3"/>
      <c r="W627" s="3"/>
      <c r="X627" s="3"/>
      <c r="Y627" s="3"/>
    </row>
    <row r="628" ht="14.25" customHeight="1">
      <c r="A628" s="3"/>
      <c r="B628" s="3"/>
      <c r="C628" s="3"/>
      <c r="D628" s="3"/>
      <c r="E628" s="3"/>
      <c r="F628" s="3"/>
      <c r="G628" s="23"/>
      <c r="H628" s="24"/>
      <c r="I628" s="3"/>
      <c r="J628" s="3"/>
      <c r="K628" s="3"/>
      <c r="L628" s="3"/>
      <c r="M628" s="3"/>
      <c r="N628" s="3"/>
      <c r="O628" s="3"/>
      <c r="P628" s="3"/>
      <c r="Q628" s="3"/>
      <c r="R628" s="3"/>
      <c r="S628" s="3"/>
      <c r="T628" s="3"/>
      <c r="U628" s="3"/>
      <c r="V628" s="3"/>
      <c r="W628" s="3"/>
      <c r="X628" s="3"/>
      <c r="Y628" s="3"/>
    </row>
    <row r="629" ht="14.25" customHeight="1">
      <c r="A629" s="3"/>
      <c r="B629" s="3"/>
      <c r="C629" s="3"/>
      <c r="D629" s="3"/>
      <c r="E629" s="3"/>
      <c r="F629" s="3"/>
      <c r="G629" s="23"/>
      <c r="H629" s="24"/>
      <c r="I629" s="3"/>
      <c r="J629" s="3"/>
      <c r="K629" s="3"/>
      <c r="L629" s="3"/>
      <c r="M629" s="3"/>
      <c r="N629" s="3"/>
      <c r="O629" s="3"/>
      <c r="P629" s="3"/>
      <c r="Q629" s="3"/>
      <c r="R629" s="3"/>
      <c r="S629" s="3"/>
      <c r="T629" s="3"/>
      <c r="U629" s="3"/>
      <c r="V629" s="3"/>
      <c r="W629" s="3"/>
      <c r="X629" s="3"/>
      <c r="Y629" s="3"/>
    </row>
    <row r="630" ht="14.25" customHeight="1">
      <c r="A630" s="3"/>
      <c r="B630" s="3"/>
      <c r="C630" s="3"/>
      <c r="D630" s="3"/>
      <c r="E630" s="3"/>
      <c r="F630" s="3"/>
      <c r="G630" s="23"/>
      <c r="H630" s="24"/>
      <c r="I630" s="3"/>
      <c r="J630" s="3"/>
      <c r="K630" s="3"/>
      <c r="L630" s="3"/>
      <c r="M630" s="3"/>
      <c r="N630" s="3"/>
      <c r="O630" s="3"/>
      <c r="P630" s="3"/>
      <c r="Q630" s="3"/>
      <c r="R630" s="3"/>
      <c r="S630" s="3"/>
      <c r="T630" s="3"/>
      <c r="U630" s="3"/>
      <c r="V630" s="3"/>
      <c r="W630" s="3"/>
      <c r="X630" s="3"/>
      <c r="Y630" s="3"/>
    </row>
    <row r="631" ht="14.25" customHeight="1">
      <c r="A631" s="3"/>
      <c r="B631" s="3"/>
      <c r="C631" s="3"/>
      <c r="D631" s="3"/>
      <c r="E631" s="3"/>
      <c r="F631" s="3"/>
      <c r="G631" s="23"/>
      <c r="H631" s="24"/>
      <c r="I631" s="3"/>
      <c r="J631" s="3"/>
      <c r="K631" s="3"/>
      <c r="L631" s="3"/>
      <c r="M631" s="3"/>
      <c r="N631" s="3"/>
      <c r="O631" s="3"/>
      <c r="P631" s="3"/>
      <c r="Q631" s="3"/>
      <c r="R631" s="3"/>
      <c r="S631" s="3"/>
      <c r="T631" s="3"/>
      <c r="U631" s="3"/>
      <c r="V631" s="3"/>
      <c r="W631" s="3"/>
      <c r="X631" s="3"/>
      <c r="Y631" s="3"/>
    </row>
    <row r="632" ht="14.25" customHeight="1">
      <c r="A632" s="3"/>
      <c r="B632" s="3"/>
      <c r="C632" s="3"/>
      <c r="D632" s="3"/>
      <c r="E632" s="3"/>
      <c r="F632" s="3"/>
      <c r="G632" s="23"/>
      <c r="H632" s="24"/>
      <c r="I632" s="3"/>
      <c r="J632" s="3"/>
      <c r="K632" s="3"/>
      <c r="L632" s="3"/>
      <c r="M632" s="3"/>
      <c r="N632" s="3"/>
      <c r="O632" s="3"/>
      <c r="P632" s="3"/>
      <c r="Q632" s="3"/>
      <c r="R632" s="3"/>
      <c r="S632" s="3"/>
      <c r="T632" s="3"/>
      <c r="U632" s="3"/>
      <c r="V632" s="3"/>
      <c r="W632" s="3"/>
      <c r="X632" s="3"/>
      <c r="Y632" s="3"/>
    </row>
    <row r="633" ht="14.25" customHeight="1">
      <c r="A633" s="3"/>
      <c r="B633" s="3"/>
      <c r="C633" s="3"/>
      <c r="D633" s="3"/>
      <c r="E633" s="3"/>
      <c r="F633" s="3"/>
      <c r="G633" s="23"/>
      <c r="H633" s="24"/>
      <c r="I633" s="3"/>
      <c r="J633" s="3"/>
      <c r="K633" s="3"/>
      <c r="L633" s="3"/>
      <c r="M633" s="3"/>
      <c r="N633" s="3"/>
      <c r="O633" s="3"/>
      <c r="P633" s="3"/>
      <c r="Q633" s="3"/>
      <c r="R633" s="3"/>
      <c r="S633" s="3"/>
      <c r="T633" s="3"/>
      <c r="U633" s="3"/>
      <c r="V633" s="3"/>
      <c r="W633" s="3"/>
      <c r="X633" s="3"/>
      <c r="Y633" s="3"/>
    </row>
    <row r="634" ht="14.25" customHeight="1">
      <c r="A634" s="3"/>
      <c r="B634" s="3"/>
      <c r="C634" s="3"/>
      <c r="D634" s="3"/>
      <c r="E634" s="3"/>
      <c r="F634" s="3"/>
      <c r="G634" s="23"/>
      <c r="H634" s="24"/>
      <c r="I634" s="3"/>
      <c r="J634" s="3"/>
      <c r="K634" s="3"/>
      <c r="L634" s="3"/>
      <c r="M634" s="3"/>
      <c r="N634" s="3"/>
      <c r="O634" s="3"/>
      <c r="P634" s="3"/>
      <c r="Q634" s="3"/>
      <c r="R634" s="3"/>
      <c r="S634" s="3"/>
      <c r="T634" s="3"/>
      <c r="U634" s="3"/>
      <c r="V634" s="3"/>
      <c r="W634" s="3"/>
      <c r="X634" s="3"/>
      <c r="Y634" s="3"/>
    </row>
    <row r="635" ht="14.25" customHeight="1">
      <c r="A635" s="3"/>
      <c r="B635" s="3"/>
      <c r="C635" s="3"/>
      <c r="D635" s="3"/>
      <c r="E635" s="3"/>
      <c r="F635" s="3"/>
      <c r="G635" s="23"/>
      <c r="H635" s="24"/>
      <c r="I635" s="3"/>
      <c r="J635" s="3"/>
      <c r="K635" s="3"/>
      <c r="L635" s="3"/>
      <c r="M635" s="3"/>
      <c r="N635" s="3"/>
      <c r="O635" s="3"/>
      <c r="P635" s="3"/>
      <c r="Q635" s="3"/>
      <c r="R635" s="3"/>
      <c r="S635" s="3"/>
      <c r="T635" s="3"/>
      <c r="U635" s="3"/>
      <c r="V635" s="3"/>
      <c r="W635" s="3"/>
      <c r="X635" s="3"/>
      <c r="Y635" s="3"/>
    </row>
    <row r="636" ht="14.25" customHeight="1">
      <c r="A636" s="3"/>
      <c r="B636" s="3"/>
      <c r="C636" s="3"/>
      <c r="D636" s="3"/>
      <c r="E636" s="3"/>
      <c r="F636" s="3"/>
      <c r="G636" s="23"/>
      <c r="H636" s="24"/>
      <c r="I636" s="3"/>
      <c r="J636" s="3"/>
      <c r="K636" s="3"/>
      <c r="L636" s="3"/>
      <c r="M636" s="3"/>
      <c r="N636" s="3"/>
      <c r="O636" s="3"/>
      <c r="P636" s="3"/>
      <c r="Q636" s="3"/>
      <c r="R636" s="3"/>
      <c r="S636" s="3"/>
      <c r="T636" s="3"/>
      <c r="U636" s="3"/>
      <c r="V636" s="3"/>
      <c r="W636" s="3"/>
      <c r="X636" s="3"/>
      <c r="Y636" s="3"/>
    </row>
    <row r="637" ht="14.25" customHeight="1">
      <c r="A637" s="3"/>
      <c r="B637" s="3"/>
      <c r="C637" s="3"/>
      <c r="D637" s="3"/>
      <c r="E637" s="3"/>
      <c r="F637" s="3"/>
      <c r="G637" s="23"/>
      <c r="H637" s="24"/>
      <c r="I637" s="3"/>
      <c r="J637" s="3"/>
      <c r="K637" s="3"/>
      <c r="L637" s="3"/>
      <c r="M637" s="3"/>
      <c r="N637" s="3"/>
      <c r="O637" s="3"/>
      <c r="P637" s="3"/>
      <c r="Q637" s="3"/>
      <c r="R637" s="3"/>
      <c r="S637" s="3"/>
      <c r="T637" s="3"/>
      <c r="U637" s="3"/>
      <c r="V637" s="3"/>
      <c r="W637" s="3"/>
      <c r="X637" s="3"/>
      <c r="Y637" s="3"/>
    </row>
    <row r="638" ht="14.25" customHeight="1">
      <c r="A638" s="3"/>
      <c r="B638" s="3"/>
      <c r="C638" s="3"/>
      <c r="D638" s="3"/>
      <c r="E638" s="3"/>
      <c r="F638" s="3"/>
      <c r="G638" s="23"/>
      <c r="H638" s="24"/>
      <c r="I638" s="3"/>
      <c r="J638" s="3"/>
      <c r="K638" s="3"/>
      <c r="L638" s="3"/>
      <c r="M638" s="3"/>
      <c r="N638" s="3"/>
      <c r="O638" s="3"/>
      <c r="P638" s="3"/>
      <c r="Q638" s="3"/>
      <c r="R638" s="3"/>
      <c r="S638" s="3"/>
      <c r="T638" s="3"/>
      <c r="U638" s="3"/>
      <c r="V638" s="3"/>
      <c r="W638" s="3"/>
      <c r="X638" s="3"/>
      <c r="Y638" s="3"/>
    </row>
    <row r="639" ht="14.25" customHeight="1">
      <c r="A639" s="3"/>
      <c r="B639" s="3"/>
      <c r="C639" s="3"/>
      <c r="D639" s="3"/>
      <c r="E639" s="3"/>
      <c r="F639" s="3"/>
      <c r="G639" s="23"/>
      <c r="H639" s="24"/>
      <c r="I639" s="3"/>
      <c r="J639" s="3"/>
      <c r="K639" s="3"/>
      <c r="L639" s="3"/>
      <c r="M639" s="3"/>
      <c r="N639" s="3"/>
      <c r="O639" s="3"/>
      <c r="P639" s="3"/>
      <c r="Q639" s="3"/>
      <c r="R639" s="3"/>
      <c r="S639" s="3"/>
      <c r="T639" s="3"/>
      <c r="U639" s="3"/>
      <c r="V639" s="3"/>
      <c r="W639" s="3"/>
      <c r="X639" s="3"/>
      <c r="Y639" s="3"/>
    </row>
    <row r="640" ht="14.25" customHeight="1">
      <c r="A640" s="3"/>
      <c r="B640" s="3"/>
      <c r="C640" s="3"/>
      <c r="D640" s="3"/>
      <c r="E640" s="3"/>
      <c r="F640" s="3"/>
      <c r="G640" s="23"/>
      <c r="H640" s="24"/>
      <c r="I640" s="3"/>
      <c r="J640" s="3"/>
      <c r="K640" s="3"/>
      <c r="L640" s="3"/>
      <c r="M640" s="3"/>
      <c r="N640" s="3"/>
      <c r="O640" s="3"/>
      <c r="P640" s="3"/>
      <c r="Q640" s="3"/>
      <c r="R640" s="3"/>
      <c r="S640" s="3"/>
      <c r="T640" s="3"/>
      <c r="U640" s="3"/>
      <c r="V640" s="3"/>
      <c r="W640" s="3"/>
      <c r="X640" s="3"/>
      <c r="Y640" s="3"/>
    </row>
    <row r="641" ht="14.25" customHeight="1">
      <c r="A641" s="3"/>
      <c r="B641" s="3"/>
      <c r="C641" s="3"/>
      <c r="D641" s="3"/>
      <c r="E641" s="3"/>
      <c r="F641" s="3"/>
      <c r="G641" s="23"/>
      <c r="H641" s="24"/>
      <c r="I641" s="3"/>
      <c r="J641" s="3"/>
      <c r="K641" s="3"/>
      <c r="L641" s="3"/>
      <c r="M641" s="3"/>
      <c r="N641" s="3"/>
      <c r="O641" s="3"/>
      <c r="P641" s="3"/>
      <c r="Q641" s="3"/>
      <c r="R641" s="3"/>
      <c r="S641" s="3"/>
      <c r="T641" s="3"/>
      <c r="U641" s="3"/>
      <c r="V641" s="3"/>
      <c r="W641" s="3"/>
      <c r="X641" s="3"/>
      <c r="Y641" s="3"/>
    </row>
    <row r="642" ht="14.25" customHeight="1">
      <c r="A642" s="3"/>
      <c r="B642" s="3"/>
      <c r="C642" s="3"/>
      <c r="D642" s="3"/>
      <c r="E642" s="3"/>
      <c r="F642" s="3"/>
      <c r="G642" s="23"/>
      <c r="H642" s="24"/>
      <c r="I642" s="3"/>
      <c r="J642" s="3"/>
      <c r="K642" s="3"/>
      <c r="L642" s="3"/>
      <c r="M642" s="3"/>
      <c r="N642" s="3"/>
      <c r="O642" s="3"/>
      <c r="P642" s="3"/>
      <c r="Q642" s="3"/>
      <c r="R642" s="3"/>
      <c r="S642" s="3"/>
      <c r="T642" s="3"/>
      <c r="U642" s="3"/>
      <c r="V642" s="3"/>
      <c r="W642" s="3"/>
      <c r="X642" s="3"/>
      <c r="Y642" s="3"/>
    </row>
    <row r="643" ht="14.25" customHeight="1">
      <c r="A643" s="3"/>
      <c r="B643" s="3"/>
      <c r="C643" s="3"/>
      <c r="D643" s="3"/>
      <c r="E643" s="3"/>
      <c r="F643" s="3"/>
      <c r="G643" s="23"/>
      <c r="H643" s="24"/>
      <c r="I643" s="3"/>
      <c r="J643" s="3"/>
      <c r="K643" s="3"/>
      <c r="L643" s="3"/>
      <c r="M643" s="3"/>
      <c r="N643" s="3"/>
      <c r="O643" s="3"/>
      <c r="P643" s="3"/>
      <c r="Q643" s="3"/>
      <c r="R643" s="3"/>
      <c r="S643" s="3"/>
      <c r="T643" s="3"/>
      <c r="U643" s="3"/>
      <c r="V643" s="3"/>
      <c r="W643" s="3"/>
      <c r="X643" s="3"/>
      <c r="Y643" s="3"/>
    </row>
    <row r="644" ht="14.25" customHeight="1">
      <c r="A644" s="3"/>
      <c r="B644" s="3"/>
      <c r="C644" s="3"/>
      <c r="D644" s="3"/>
      <c r="E644" s="3"/>
      <c r="F644" s="3"/>
      <c r="G644" s="23"/>
      <c r="H644" s="24"/>
      <c r="I644" s="3"/>
      <c r="J644" s="3"/>
      <c r="K644" s="3"/>
      <c r="L644" s="3"/>
      <c r="M644" s="3"/>
      <c r="N644" s="3"/>
      <c r="O644" s="3"/>
      <c r="P644" s="3"/>
      <c r="Q644" s="3"/>
      <c r="R644" s="3"/>
      <c r="S644" s="3"/>
      <c r="T644" s="3"/>
      <c r="U644" s="3"/>
      <c r="V644" s="3"/>
      <c r="W644" s="3"/>
      <c r="X644" s="3"/>
      <c r="Y644" s="3"/>
    </row>
    <row r="645" ht="14.25" customHeight="1">
      <c r="A645" s="3"/>
      <c r="B645" s="3"/>
      <c r="C645" s="3"/>
      <c r="D645" s="3"/>
      <c r="E645" s="3"/>
      <c r="F645" s="3"/>
      <c r="G645" s="23"/>
      <c r="H645" s="24"/>
      <c r="I645" s="3"/>
      <c r="J645" s="3"/>
      <c r="K645" s="3"/>
      <c r="L645" s="3"/>
      <c r="M645" s="3"/>
      <c r="N645" s="3"/>
      <c r="O645" s="3"/>
      <c r="P645" s="3"/>
      <c r="Q645" s="3"/>
      <c r="R645" s="3"/>
      <c r="S645" s="3"/>
      <c r="T645" s="3"/>
      <c r="U645" s="3"/>
      <c r="V645" s="3"/>
      <c r="W645" s="3"/>
      <c r="X645" s="3"/>
      <c r="Y645" s="3"/>
    </row>
    <row r="646" ht="14.25" customHeight="1">
      <c r="A646" s="3"/>
      <c r="B646" s="3"/>
      <c r="C646" s="3"/>
      <c r="D646" s="3"/>
      <c r="E646" s="3"/>
      <c r="F646" s="3"/>
      <c r="G646" s="23"/>
      <c r="H646" s="24"/>
      <c r="I646" s="3"/>
      <c r="J646" s="3"/>
      <c r="K646" s="3"/>
      <c r="L646" s="3"/>
      <c r="M646" s="3"/>
      <c r="N646" s="3"/>
      <c r="O646" s="3"/>
      <c r="P646" s="3"/>
      <c r="Q646" s="3"/>
      <c r="R646" s="3"/>
      <c r="S646" s="3"/>
      <c r="T646" s="3"/>
      <c r="U646" s="3"/>
      <c r="V646" s="3"/>
      <c r="W646" s="3"/>
      <c r="X646" s="3"/>
      <c r="Y646" s="3"/>
    </row>
    <row r="647" ht="14.25" customHeight="1">
      <c r="A647" s="3"/>
      <c r="B647" s="3"/>
      <c r="C647" s="3"/>
      <c r="D647" s="3"/>
      <c r="E647" s="3"/>
      <c r="F647" s="3"/>
      <c r="G647" s="23"/>
      <c r="H647" s="24"/>
      <c r="I647" s="3"/>
      <c r="J647" s="3"/>
      <c r="K647" s="3"/>
      <c r="L647" s="3"/>
      <c r="M647" s="3"/>
      <c r="N647" s="3"/>
      <c r="O647" s="3"/>
      <c r="P647" s="3"/>
      <c r="Q647" s="3"/>
      <c r="R647" s="3"/>
      <c r="S647" s="3"/>
      <c r="T647" s="3"/>
      <c r="U647" s="3"/>
      <c r="V647" s="3"/>
      <c r="W647" s="3"/>
      <c r="X647" s="3"/>
      <c r="Y647" s="3"/>
    </row>
    <row r="648" ht="14.25" customHeight="1">
      <c r="A648" s="3"/>
      <c r="B648" s="3"/>
      <c r="C648" s="3"/>
      <c r="D648" s="3"/>
      <c r="E648" s="3"/>
      <c r="F648" s="3"/>
      <c r="G648" s="23"/>
      <c r="H648" s="24"/>
      <c r="I648" s="3"/>
      <c r="J648" s="3"/>
      <c r="K648" s="3"/>
      <c r="L648" s="3"/>
      <c r="M648" s="3"/>
      <c r="N648" s="3"/>
      <c r="O648" s="3"/>
      <c r="P648" s="3"/>
      <c r="Q648" s="3"/>
      <c r="R648" s="3"/>
      <c r="S648" s="3"/>
      <c r="T648" s="3"/>
      <c r="U648" s="3"/>
      <c r="V648" s="3"/>
      <c r="W648" s="3"/>
      <c r="X648" s="3"/>
      <c r="Y648" s="3"/>
    </row>
    <row r="649" ht="14.25" customHeight="1">
      <c r="A649" s="3"/>
      <c r="B649" s="3"/>
      <c r="C649" s="3"/>
      <c r="D649" s="3"/>
      <c r="E649" s="3"/>
      <c r="F649" s="3"/>
      <c r="G649" s="23"/>
      <c r="H649" s="24"/>
      <c r="I649" s="3"/>
      <c r="J649" s="3"/>
      <c r="K649" s="3"/>
      <c r="L649" s="3"/>
      <c r="M649" s="3"/>
      <c r="N649" s="3"/>
      <c r="O649" s="3"/>
      <c r="P649" s="3"/>
      <c r="Q649" s="3"/>
      <c r="R649" s="3"/>
      <c r="S649" s="3"/>
      <c r="T649" s="3"/>
      <c r="U649" s="3"/>
      <c r="V649" s="3"/>
      <c r="W649" s="3"/>
      <c r="X649" s="3"/>
      <c r="Y649" s="3"/>
    </row>
    <row r="650" ht="14.25" customHeight="1">
      <c r="A650" s="3"/>
      <c r="B650" s="3"/>
      <c r="C650" s="3"/>
      <c r="D650" s="3"/>
      <c r="E650" s="3"/>
      <c r="F650" s="3"/>
      <c r="G650" s="23"/>
      <c r="H650" s="24"/>
      <c r="I650" s="3"/>
      <c r="J650" s="3"/>
      <c r="K650" s="3"/>
      <c r="L650" s="3"/>
      <c r="M650" s="3"/>
      <c r="N650" s="3"/>
      <c r="O650" s="3"/>
      <c r="P650" s="3"/>
      <c r="Q650" s="3"/>
      <c r="R650" s="3"/>
      <c r="S650" s="3"/>
      <c r="T650" s="3"/>
      <c r="U650" s="3"/>
      <c r="V650" s="3"/>
      <c r="W650" s="3"/>
      <c r="X650" s="3"/>
      <c r="Y650" s="3"/>
    </row>
    <row r="651" ht="14.25" customHeight="1">
      <c r="A651" s="3"/>
      <c r="B651" s="3"/>
      <c r="C651" s="3"/>
      <c r="D651" s="3"/>
      <c r="E651" s="3"/>
      <c r="F651" s="3"/>
      <c r="G651" s="23"/>
      <c r="H651" s="24"/>
      <c r="I651" s="3"/>
      <c r="J651" s="3"/>
      <c r="K651" s="3"/>
      <c r="L651" s="3"/>
      <c r="M651" s="3"/>
      <c r="N651" s="3"/>
      <c r="O651" s="3"/>
      <c r="P651" s="3"/>
      <c r="Q651" s="3"/>
      <c r="R651" s="3"/>
      <c r="S651" s="3"/>
      <c r="T651" s="3"/>
      <c r="U651" s="3"/>
      <c r="V651" s="3"/>
      <c r="W651" s="3"/>
      <c r="X651" s="3"/>
      <c r="Y651" s="3"/>
    </row>
    <row r="652" ht="14.25" customHeight="1">
      <c r="A652" s="3"/>
      <c r="B652" s="3"/>
      <c r="C652" s="3"/>
      <c r="D652" s="3"/>
      <c r="E652" s="3"/>
      <c r="F652" s="3"/>
      <c r="G652" s="23"/>
      <c r="H652" s="24"/>
      <c r="I652" s="3"/>
      <c r="J652" s="3"/>
      <c r="K652" s="3"/>
      <c r="L652" s="3"/>
      <c r="M652" s="3"/>
      <c r="N652" s="3"/>
      <c r="O652" s="3"/>
      <c r="P652" s="3"/>
      <c r="Q652" s="3"/>
      <c r="R652" s="3"/>
      <c r="S652" s="3"/>
      <c r="T652" s="3"/>
      <c r="U652" s="3"/>
      <c r="V652" s="3"/>
      <c r="W652" s="3"/>
      <c r="X652" s="3"/>
      <c r="Y652" s="3"/>
    </row>
    <row r="653" ht="14.25" customHeight="1">
      <c r="A653" s="3"/>
      <c r="B653" s="3"/>
      <c r="C653" s="3"/>
      <c r="D653" s="3"/>
      <c r="E653" s="3"/>
      <c r="F653" s="3"/>
      <c r="G653" s="23"/>
      <c r="H653" s="24"/>
      <c r="I653" s="3"/>
      <c r="J653" s="3"/>
      <c r="K653" s="3"/>
      <c r="L653" s="3"/>
      <c r="M653" s="3"/>
      <c r="N653" s="3"/>
      <c r="O653" s="3"/>
      <c r="P653" s="3"/>
      <c r="Q653" s="3"/>
      <c r="R653" s="3"/>
      <c r="S653" s="3"/>
      <c r="T653" s="3"/>
      <c r="U653" s="3"/>
      <c r="V653" s="3"/>
      <c r="W653" s="3"/>
      <c r="X653" s="3"/>
      <c r="Y653" s="3"/>
    </row>
    <row r="654" ht="14.25" customHeight="1">
      <c r="A654" s="3"/>
      <c r="B654" s="3"/>
      <c r="C654" s="3"/>
      <c r="D654" s="3"/>
      <c r="E654" s="3"/>
      <c r="F654" s="3"/>
      <c r="G654" s="23"/>
      <c r="H654" s="24"/>
      <c r="I654" s="3"/>
      <c r="J654" s="3"/>
      <c r="K654" s="3"/>
      <c r="L654" s="3"/>
      <c r="M654" s="3"/>
      <c r="N654" s="3"/>
      <c r="O654" s="3"/>
      <c r="P654" s="3"/>
      <c r="Q654" s="3"/>
      <c r="R654" s="3"/>
      <c r="S654" s="3"/>
      <c r="T654" s="3"/>
      <c r="U654" s="3"/>
      <c r="V654" s="3"/>
      <c r="W654" s="3"/>
      <c r="X654" s="3"/>
      <c r="Y654" s="3"/>
    </row>
    <row r="655" ht="14.25" customHeight="1">
      <c r="A655" s="3"/>
      <c r="B655" s="3"/>
      <c r="C655" s="3"/>
      <c r="D655" s="3"/>
      <c r="E655" s="3"/>
      <c r="F655" s="3"/>
      <c r="G655" s="23"/>
      <c r="H655" s="24"/>
      <c r="I655" s="3"/>
      <c r="J655" s="3"/>
      <c r="K655" s="3"/>
      <c r="L655" s="3"/>
      <c r="M655" s="3"/>
      <c r="N655" s="3"/>
      <c r="O655" s="3"/>
      <c r="P655" s="3"/>
      <c r="Q655" s="3"/>
      <c r="R655" s="3"/>
      <c r="S655" s="3"/>
      <c r="T655" s="3"/>
      <c r="U655" s="3"/>
      <c r="V655" s="3"/>
      <c r="W655" s="3"/>
      <c r="X655" s="3"/>
      <c r="Y655" s="3"/>
    </row>
    <row r="656" ht="14.25" customHeight="1">
      <c r="A656" s="3"/>
      <c r="B656" s="3"/>
      <c r="C656" s="3"/>
      <c r="D656" s="3"/>
      <c r="E656" s="3"/>
      <c r="F656" s="3"/>
      <c r="G656" s="23"/>
      <c r="H656" s="24"/>
      <c r="I656" s="3"/>
      <c r="J656" s="3"/>
      <c r="K656" s="3"/>
      <c r="L656" s="3"/>
      <c r="M656" s="3"/>
      <c r="N656" s="3"/>
      <c r="O656" s="3"/>
      <c r="P656" s="3"/>
      <c r="Q656" s="3"/>
      <c r="R656" s="3"/>
      <c r="S656" s="3"/>
      <c r="T656" s="3"/>
      <c r="U656" s="3"/>
      <c r="V656" s="3"/>
      <c r="W656" s="3"/>
      <c r="X656" s="3"/>
      <c r="Y656" s="3"/>
    </row>
    <row r="657" ht="14.25" customHeight="1">
      <c r="A657" s="3"/>
      <c r="B657" s="3"/>
      <c r="C657" s="3"/>
      <c r="D657" s="3"/>
      <c r="E657" s="3"/>
      <c r="F657" s="3"/>
      <c r="G657" s="23"/>
      <c r="H657" s="24"/>
      <c r="I657" s="3"/>
      <c r="J657" s="3"/>
      <c r="K657" s="3"/>
      <c r="L657" s="3"/>
      <c r="M657" s="3"/>
      <c r="N657" s="3"/>
      <c r="O657" s="3"/>
      <c r="P657" s="3"/>
      <c r="Q657" s="3"/>
      <c r="R657" s="3"/>
      <c r="S657" s="3"/>
      <c r="T657" s="3"/>
      <c r="U657" s="3"/>
      <c r="V657" s="3"/>
      <c r="W657" s="3"/>
      <c r="X657" s="3"/>
      <c r="Y657" s="3"/>
    </row>
    <row r="658" ht="14.25" customHeight="1">
      <c r="A658" s="3"/>
      <c r="B658" s="3"/>
      <c r="C658" s="3"/>
      <c r="D658" s="3"/>
      <c r="E658" s="3"/>
      <c r="F658" s="3"/>
      <c r="G658" s="23"/>
      <c r="H658" s="24"/>
      <c r="I658" s="3"/>
      <c r="J658" s="3"/>
      <c r="K658" s="3"/>
      <c r="L658" s="3"/>
      <c r="M658" s="3"/>
      <c r="N658" s="3"/>
      <c r="O658" s="3"/>
      <c r="P658" s="3"/>
      <c r="Q658" s="3"/>
      <c r="R658" s="3"/>
      <c r="S658" s="3"/>
      <c r="T658" s="3"/>
      <c r="U658" s="3"/>
      <c r="V658" s="3"/>
      <c r="W658" s="3"/>
      <c r="X658" s="3"/>
      <c r="Y658" s="3"/>
    </row>
    <row r="659" ht="14.25" customHeight="1">
      <c r="A659" s="3"/>
      <c r="B659" s="3"/>
      <c r="C659" s="3"/>
      <c r="D659" s="3"/>
      <c r="E659" s="3"/>
      <c r="F659" s="3"/>
      <c r="G659" s="23"/>
      <c r="H659" s="24"/>
      <c r="I659" s="3"/>
      <c r="J659" s="3"/>
      <c r="K659" s="3"/>
      <c r="L659" s="3"/>
      <c r="M659" s="3"/>
      <c r="N659" s="3"/>
      <c r="O659" s="3"/>
      <c r="P659" s="3"/>
      <c r="Q659" s="3"/>
      <c r="R659" s="3"/>
      <c r="S659" s="3"/>
      <c r="T659" s="3"/>
      <c r="U659" s="3"/>
      <c r="V659" s="3"/>
      <c r="W659" s="3"/>
      <c r="X659" s="3"/>
      <c r="Y659" s="3"/>
    </row>
    <row r="660" ht="14.25" customHeight="1">
      <c r="A660" s="3"/>
      <c r="B660" s="3"/>
      <c r="C660" s="3"/>
      <c r="D660" s="3"/>
      <c r="E660" s="3"/>
      <c r="F660" s="3"/>
      <c r="G660" s="23"/>
      <c r="H660" s="24"/>
      <c r="I660" s="3"/>
      <c r="J660" s="3"/>
      <c r="K660" s="3"/>
      <c r="L660" s="3"/>
      <c r="M660" s="3"/>
      <c r="N660" s="3"/>
      <c r="O660" s="3"/>
      <c r="P660" s="3"/>
      <c r="Q660" s="3"/>
      <c r="R660" s="3"/>
      <c r="S660" s="3"/>
      <c r="T660" s="3"/>
      <c r="U660" s="3"/>
      <c r="V660" s="3"/>
      <c r="W660" s="3"/>
      <c r="X660" s="3"/>
      <c r="Y660" s="3"/>
    </row>
    <row r="661" ht="14.25" customHeight="1">
      <c r="A661" s="3"/>
      <c r="B661" s="3"/>
      <c r="C661" s="3"/>
      <c r="D661" s="3"/>
      <c r="E661" s="3"/>
      <c r="F661" s="3"/>
      <c r="G661" s="23"/>
      <c r="H661" s="24"/>
      <c r="I661" s="3"/>
      <c r="J661" s="3"/>
      <c r="K661" s="3"/>
      <c r="L661" s="3"/>
      <c r="M661" s="3"/>
      <c r="N661" s="3"/>
      <c r="O661" s="3"/>
      <c r="P661" s="3"/>
      <c r="Q661" s="3"/>
      <c r="R661" s="3"/>
      <c r="S661" s="3"/>
      <c r="T661" s="3"/>
      <c r="U661" s="3"/>
      <c r="V661" s="3"/>
      <c r="W661" s="3"/>
      <c r="X661" s="3"/>
      <c r="Y661" s="3"/>
    </row>
    <row r="662" ht="14.25" customHeight="1">
      <c r="A662" s="3"/>
      <c r="B662" s="3"/>
      <c r="C662" s="3"/>
      <c r="D662" s="3"/>
      <c r="E662" s="3"/>
      <c r="F662" s="3"/>
      <c r="G662" s="23"/>
      <c r="H662" s="24"/>
      <c r="I662" s="3"/>
      <c r="J662" s="3"/>
      <c r="K662" s="3"/>
      <c r="L662" s="3"/>
      <c r="M662" s="3"/>
      <c r="N662" s="3"/>
      <c r="O662" s="3"/>
      <c r="P662" s="3"/>
      <c r="Q662" s="3"/>
      <c r="R662" s="3"/>
      <c r="S662" s="3"/>
      <c r="T662" s="3"/>
      <c r="U662" s="3"/>
      <c r="V662" s="3"/>
      <c r="W662" s="3"/>
      <c r="X662" s="3"/>
      <c r="Y662" s="3"/>
    </row>
    <row r="663" ht="14.25" customHeight="1">
      <c r="A663" s="3"/>
      <c r="B663" s="3"/>
      <c r="C663" s="3"/>
      <c r="D663" s="3"/>
      <c r="E663" s="3"/>
      <c r="F663" s="3"/>
      <c r="G663" s="23"/>
      <c r="H663" s="24"/>
      <c r="I663" s="3"/>
      <c r="J663" s="3"/>
      <c r="K663" s="3"/>
      <c r="L663" s="3"/>
      <c r="M663" s="3"/>
      <c r="N663" s="3"/>
      <c r="O663" s="3"/>
      <c r="P663" s="3"/>
      <c r="Q663" s="3"/>
      <c r="R663" s="3"/>
      <c r="S663" s="3"/>
      <c r="T663" s="3"/>
      <c r="U663" s="3"/>
      <c r="V663" s="3"/>
      <c r="W663" s="3"/>
      <c r="X663" s="3"/>
      <c r="Y663" s="3"/>
    </row>
    <row r="664" ht="14.25" customHeight="1">
      <c r="A664" s="3"/>
      <c r="B664" s="3"/>
      <c r="C664" s="3"/>
      <c r="D664" s="3"/>
      <c r="E664" s="3"/>
      <c r="F664" s="3"/>
      <c r="G664" s="23"/>
      <c r="H664" s="24"/>
      <c r="I664" s="3"/>
      <c r="J664" s="3"/>
      <c r="K664" s="3"/>
      <c r="L664" s="3"/>
      <c r="M664" s="3"/>
      <c r="N664" s="3"/>
      <c r="O664" s="3"/>
      <c r="P664" s="3"/>
      <c r="Q664" s="3"/>
      <c r="R664" s="3"/>
      <c r="S664" s="3"/>
      <c r="T664" s="3"/>
      <c r="U664" s="3"/>
      <c r="V664" s="3"/>
      <c r="W664" s="3"/>
      <c r="X664" s="3"/>
      <c r="Y664" s="3"/>
    </row>
    <row r="665" ht="14.25" customHeight="1">
      <c r="A665" s="3"/>
      <c r="B665" s="3"/>
      <c r="C665" s="3"/>
      <c r="D665" s="3"/>
      <c r="E665" s="3"/>
      <c r="F665" s="3"/>
      <c r="G665" s="23"/>
      <c r="H665" s="24"/>
      <c r="I665" s="3"/>
      <c r="J665" s="3"/>
      <c r="K665" s="3"/>
      <c r="L665" s="3"/>
      <c r="M665" s="3"/>
      <c r="N665" s="3"/>
      <c r="O665" s="3"/>
      <c r="P665" s="3"/>
      <c r="Q665" s="3"/>
      <c r="R665" s="3"/>
      <c r="S665" s="3"/>
      <c r="T665" s="3"/>
      <c r="U665" s="3"/>
      <c r="V665" s="3"/>
      <c r="W665" s="3"/>
      <c r="X665" s="3"/>
      <c r="Y665" s="3"/>
    </row>
    <row r="666" ht="14.25" customHeight="1">
      <c r="A666" s="3"/>
      <c r="B666" s="3"/>
      <c r="C666" s="3"/>
      <c r="D666" s="3"/>
      <c r="E666" s="3"/>
      <c r="F666" s="3"/>
      <c r="G666" s="23"/>
      <c r="H666" s="24"/>
      <c r="I666" s="3"/>
      <c r="J666" s="3"/>
      <c r="K666" s="3"/>
      <c r="L666" s="3"/>
      <c r="M666" s="3"/>
      <c r="N666" s="3"/>
      <c r="O666" s="3"/>
      <c r="P666" s="3"/>
      <c r="Q666" s="3"/>
      <c r="R666" s="3"/>
      <c r="S666" s="3"/>
      <c r="T666" s="3"/>
      <c r="U666" s="3"/>
      <c r="V666" s="3"/>
      <c r="W666" s="3"/>
      <c r="X666" s="3"/>
      <c r="Y666" s="3"/>
    </row>
    <row r="667" ht="14.25" customHeight="1">
      <c r="A667" s="3"/>
      <c r="B667" s="3"/>
      <c r="C667" s="3"/>
      <c r="D667" s="3"/>
      <c r="E667" s="3"/>
      <c r="F667" s="3"/>
      <c r="G667" s="23"/>
      <c r="H667" s="24"/>
      <c r="I667" s="3"/>
      <c r="J667" s="3"/>
      <c r="K667" s="3"/>
      <c r="L667" s="3"/>
      <c r="M667" s="3"/>
      <c r="N667" s="3"/>
      <c r="O667" s="3"/>
      <c r="P667" s="3"/>
      <c r="Q667" s="3"/>
      <c r="R667" s="3"/>
      <c r="S667" s="3"/>
      <c r="T667" s="3"/>
      <c r="U667" s="3"/>
      <c r="V667" s="3"/>
      <c r="W667" s="3"/>
      <c r="X667" s="3"/>
      <c r="Y667" s="3"/>
    </row>
    <row r="668" ht="14.25" customHeight="1">
      <c r="A668" s="3"/>
      <c r="B668" s="3"/>
      <c r="C668" s="3"/>
      <c r="D668" s="3"/>
      <c r="E668" s="3"/>
      <c r="F668" s="3"/>
      <c r="G668" s="23"/>
      <c r="H668" s="24"/>
      <c r="I668" s="3"/>
      <c r="J668" s="3"/>
      <c r="K668" s="3"/>
      <c r="L668" s="3"/>
      <c r="M668" s="3"/>
      <c r="N668" s="3"/>
      <c r="O668" s="3"/>
      <c r="P668" s="3"/>
      <c r="Q668" s="3"/>
      <c r="R668" s="3"/>
      <c r="S668" s="3"/>
      <c r="T668" s="3"/>
      <c r="U668" s="3"/>
      <c r="V668" s="3"/>
      <c r="W668" s="3"/>
      <c r="X668" s="3"/>
      <c r="Y668" s="3"/>
    </row>
    <row r="669" ht="14.25" customHeight="1">
      <c r="A669" s="3"/>
      <c r="B669" s="3"/>
      <c r="C669" s="3"/>
      <c r="D669" s="3"/>
      <c r="E669" s="3"/>
      <c r="F669" s="3"/>
      <c r="G669" s="23"/>
      <c r="H669" s="24"/>
      <c r="I669" s="3"/>
      <c r="J669" s="3"/>
      <c r="K669" s="3"/>
      <c r="L669" s="3"/>
      <c r="M669" s="3"/>
      <c r="N669" s="3"/>
      <c r="O669" s="3"/>
      <c r="P669" s="3"/>
      <c r="Q669" s="3"/>
      <c r="R669" s="3"/>
      <c r="S669" s="3"/>
      <c r="T669" s="3"/>
      <c r="U669" s="3"/>
      <c r="V669" s="3"/>
      <c r="W669" s="3"/>
      <c r="X669" s="3"/>
      <c r="Y669" s="3"/>
    </row>
    <row r="670" ht="14.25" customHeight="1">
      <c r="A670" s="3"/>
      <c r="B670" s="3"/>
      <c r="C670" s="3"/>
      <c r="D670" s="3"/>
      <c r="E670" s="3"/>
      <c r="F670" s="3"/>
      <c r="G670" s="23"/>
      <c r="H670" s="24"/>
      <c r="I670" s="3"/>
      <c r="J670" s="3"/>
      <c r="K670" s="3"/>
      <c r="L670" s="3"/>
      <c r="M670" s="3"/>
      <c r="N670" s="3"/>
      <c r="O670" s="3"/>
      <c r="P670" s="3"/>
      <c r="Q670" s="3"/>
      <c r="R670" s="3"/>
      <c r="S670" s="3"/>
      <c r="T670" s="3"/>
      <c r="U670" s="3"/>
      <c r="V670" s="3"/>
      <c r="W670" s="3"/>
      <c r="X670" s="3"/>
      <c r="Y670" s="3"/>
    </row>
    <row r="671" ht="14.25" customHeight="1">
      <c r="A671" s="3"/>
      <c r="B671" s="3"/>
      <c r="C671" s="3"/>
      <c r="D671" s="3"/>
      <c r="E671" s="3"/>
      <c r="F671" s="3"/>
      <c r="G671" s="23"/>
      <c r="H671" s="24"/>
      <c r="I671" s="3"/>
      <c r="J671" s="3"/>
      <c r="K671" s="3"/>
      <c r="L671" s="3"/>
      <c r="M671" s="3"/>
      <c r="N671" s="3"/>
      <c r="O671" s="3"/>
      <c r="P671" s="3"/>
      <c r="Q671" s="3"/>
      <c r="R671" s="3"/>
      <c r="S671" s="3"/>
      <c r="T671" s="3"/>
      <c r="U671" s="3"/>
      <c r="V671" s="3"/>
      <c r="W671" s="3"/>
      <c r="X671" s="3"/>
      <c r="Y671" s="3"/>
    </row>
    <row r="672" ht="14.25" customHeight="1">
      <c r="A672" s="3"/>
      <c r="B672" s="3"/>
      <c r="C672" s="3"/>
      <c r="D672" s="3"/>
      <c r="E672" s="3"/>
      <c r="F672" s="3"/>
      <c r="G672" s="23"/>
      <c r="H672" s="24"/>
      <c r="I672" s="3"/>
      <c r="J672" s="3"/>
      <c r="K672" s="3"/>
      <c r="L672" s="3"/>
      <c r="M672" s="3"/>
      <c r="N672" s="3"/>
      <c r="O672" s="3"/>
      <c r="P672" s="3"/>
      <c r="Q672" s="3"/>
      <c r="R672" s="3"/>
      <c r="S672" s="3"/>
      <c r="T672" s="3"/>
      <c r="U672" s="3"/>
      <c r="V672" s="3"/>
      <c r="W672" s="3"/>
      <c r="X672" s="3"/>
      <c r="Y672" s="3"/>
    </row>
    <row r="673" ht="14.25" customHeight="1">
      <c r="A673" s="3"/>
      <c r="B673" s="3"/>
      <c r="C673" s="3"/>
      <c r="D673" s="3"/>
      <c r="E673" s="3"/>
      <c r="F673" s="3"/>
      <c r="G673" s="23"/>
      <c r="H673" s="24"/>
      <c r="I673" s="3"/>
      <c r="J673" s="3"/>
      <c r="K673" s="3"/>
      <c r="L673" s="3"/>
      <c r="M673" s="3"/>
      <c r="N673" s="3"/>
      <c r="O673" s="3"/>
      <c r="P673" s="3"/>
      <c r="Q673" s="3"/>
      <c r="R673" s="3"/>
      <c r="S673" s="3"/>
      <c r="T673" s="3"/>
      <c r="U673" s="3"/>
      <c r="V673" s="3"/>
      <c r="W673" s="3"/>
      <c r="X673" s="3"/>
      <c r="Y673" s="3"/>
    </row>
    <row r="674" ht="14.25" customHeight="1">
      <c r="A674" s="3"/>
      <c r="B674" s="3"/>
      <c r="C674" s="3"/>
      <c r="D674" s="3"/>
      <c r="E674" s="3"/>
      <c r="F674" s="3"/>
      <c r="G674" s="23"/>
      <c r="H674" s="24"/>
      <c r="I674" s="3"/>
      <c r="J674" s="3"/>
      <c r="K674" s="3"/>
      <c r="L674" s="3"/>
      <c r="M674" s="3"/>
      <c r="N674" s="3"/>
      <c r="O674" s="3"/>
      <c r="P674" s="3"/>
      <c r="Q674" s="3"/>
      <c r="R674" s="3"/>
      <c r="S674" s="3"/>
      <c r="T674" s="3"/>
      <c r="U674" s="3"/>
      <c r="V674" s="3"/>
      <c r="W674" s="3"/>
      <c r="X674" s="3"/>
      <c r="Y674" s="3"/>
    </row>
    <row r="675" ht="14.25" customHeight="1">
      <c r="A675" s="3"/>
      <c r="B675" s="3"/>
      <c r="C675" s="3"/>
      <c r="D675" s="3"/>
      <c r="E675" s="3"/>
      <c r="F675" s="3"/>
      <c r="G675" s="23"/>
      <c r="H675" s="24"/>
      <c r="I675" s="3"/>
      <c r="J675" s="3"/>
      <c r="K675" s="3"/>
      <c r="L675" s="3"/>
      <c r="M675" s="3"/>
      <c r="N675" s="3"/>
      <c r="O675" s="3"/>
      <c r="P675" s="3"/>
      <c r="Q675" s="3"/>
      <c r="R675" s="3"/>
      <c r="S675" s="3"/>
      <c r="T675" s="3"/>
      <c r="U675" s="3"/>
      <c r="V675" s="3"/>
      <c r="W675" s="3"/>
      <c r="X675" s="3"/>
      <c r="Y675" s="3"/>
    </row>
    <row r="676" ht="14.25" customHeight="1">
      <c r="A676" s="3"/>
      <c r="B676" s="3"/>
      <c r="C676" s="3"/>
      <c r="D676" s="3"/>
      <c r="E676" s="3"/>
      <c r="F676" s="3"/>
      <c r="G676" s="23"/>
      <c r="H676" s="24"/>
      <c r="I676" s="3"/>
      <c r="J676" s="3"/>
      <c r="K676" s="3"/>
      <c r="L676" s="3"/>
      <c r="M676" s="3"/>
      <c r="N676" s="3"/>
      <c r="O676" s="3"/>
      <c r="P676" s="3"/>
      <c r="Q676" s="3"/>
      <c r="R676" s="3"/>
      <c r="S676" s="3"/>
      <c r="T676" s="3"/>
      <c r="U676" s="3"/>
      <c r="V676" s="3"/>
      <c r="W676" s="3"/>
      <c r="X676" s="3"/>
      <c r="Y676" s="3"/>
    </row>
    <row r="677" ht="14.25" customHeight="1">
      <c r="A677" s="3"/>
      <c r="B677" s="3"/>
      <c r="C677" s="3"/>
      <c r="D677" s="3"/>
      <c r="E677" s="3"/>
      <c r="F677" s="3"/>
      <c r="G677" s="23"/>
      <c r="H677" s="24"/>
      <c r="I677" s="3"/>
      <c r="J677" s="3"/>
      <c r="K677" s="3"/>
      <c r="L677" s="3"/>
      <c r="M677" s="3"/>
      <c r="N677" s="3"/>
      <c r="O677" s="3"/>
      <c r="P677" s="3"/>
      <c r="Q677" s="3"/>
      <c r="R677" s="3"/>
      <c r="S677" s="3"/>
      <c r="T677" s="3"/>
      <c r="U677" s="3"/>
      <c r="V677" s="3"/>
      <c r="W677" s="3"/>
      <c r="X677" s="3"/>
      <c r="Y677" s="3"/>
    </row>
    <row r="678" ht="14.25" customHeight="1">
      <c r="A678" s="3"/>
      <c r="B678" s="3"/>
      <c r="C678" s="3"/>
      <c r="D678" s="3"/>
      <c r="E678" s="3"/>
      <c r="F678" s="3"/>
      <c r="G678" s="23"/>
      <c r="H678" s="24"/>
      <c r="I678" s="3"/>
      <c r="J678" s="3"/>
      <c r="K678" s="3"/>
      <c r="L678" s="3"/>
      <c r="M678" s="3"/>
      <c r="N678" s="3"/>
      <c r="O678" s="3"/>
      <c r="P678" s="3"/>
      <c r="Q678" s="3"/>
      <c r="R678" s="3"/>
      <c r="S678" s="3"/>
      <c r="T678" s="3"/>
      <c r="U678" s="3"/>
      <c r="V678" s="3"/>
      <c r="W678" s="3"/>
      <c r="X678" s="3"/>
      <c r="Y678" s="3"/>
    </row>
    <row r="679" ht="14.25" customHeight="1">
      <c r="A679" s="3"/>
      <c r="B679" s="3"/>
      <c r="C679" s="3"/>
      <c r="D679" s="3"/>
      <c r="E679" s="3"/>
      <c r="F679" s="3"/>
      <c r="G679" s="23"/>
      <c r="H679" s="24"/>
      <c r="I679" s="3"/>
      <c r="J679" s="3"/>
      <c r="K679" s="3"/>
      <c r="L679" s="3"/>
      <c r="M679" s="3"/>
      <c r="N679" s="3"/>
      <c r="O679" s="3"/>
      <c r="P679" s="3"/>
      <c r="Q679" s="3"/>
      <c r="R679" s="3"/>
      <c r="S679" s="3"/>
      <c r="T679" s="3"/>
      <c r="U679" s="3"/>
      <c r="V679" s="3"/>
      <c r="W679" s="3"/>
      <c r="X679" s="3"/>
      <c r="Y679" s="3"/>
    </row>
    <row r="680" ht="14.25" customHeight="1">
      <c r="A680" s="3"/>
      <c r="B680" s="3"/>
      <c r="C680" s="3"/>
      <c r="D680" s="3"/>
      <c r="E680" s="3"/>
      <c r="F680" s="3"/>
      <c r="G680" s="23"/>
      <c r="H680" s="24"/>
      <c r="I680" s="3"/>
      <c r="J680" s="3"/>
      <c r="K680" s="3"/>
      <c r="L680" s="3"/>
      <c r="M680" s="3"/>
      <c r="N680" s="3"/>
      <c r="O680" s="3"/>
      <c r="P680" s="3"/>
      <c r="Q680" s="3"/>
      <c r="R680" s="3"/>
      <c r="S680" s="3"/>
      <c r="T680" s="3"/>
      <c r="U680" s="3"/>
      <c r="V680" s="3"/>
      <c r="W680" s="3"/>
      <c r="X680" s="3"/>
      <c r="Y680" s="3"/>
    </row>
    <row r="681" ht="14.25" customHeight="1">
      <c r="A681" s="3"/>
      <c r="B681" s="3"/>
      <c r="C681" s="3"/>
      <c r="D681" s="3"/>
      <c r="E681" s="3"/>
      <c r="F681" s="3"/>
      <c r="G681" s="23"/>
      <c r="H681" s="24"/>
      <c r="I681" s="3"/>
      <c r="J681" s="3"/>
      <c r="K681" s="3"/>
      <c r="L681" s="3"/>
      <c r="M681" s="3"/>
      <c r="N681" s="3"/>
      <c r="O681" s="3"/>
      <c r="P681" s="3"/>
      <c r="Q681" s="3"/>
      <c r="R681" s="3"/>
      <c r="S681" s="3"/>
      <c r="T681" s="3"/>
      <c r="U681" s="3"/>
      <c r="V681" s="3"/>
      <c r="W681" s="3"/>
      <c r="X681" s="3"/>
      <c r="Y681" s="3"/>
    </row>
    <row r="682" ht="14.25" customHeight="1">
      <c r="A682" s="3"/>
      <c r="B682" s="3"/>
      <c r="C682" s="3"/>
      <c r="D682" s="3"/>
      <c r="E682" s="3"/>
      <c r="F682" s="3"/>
      <c r="G682" s="23"/>
      <c r="H682" s="24"/>
      <c r="I682" s="3"/>
      <c r="J682" s="3"/>
      <c r="K682" s="3"/>
      <c r="L682" s="3"/>
      <c r="M682" s="3"/>
      <c r="N682" s="3"/>
      <c r="O682" s="3"/>
      <c r="P682" s="3"/>
      <c r="Q682" s="3"/>
      <c r="R682" s="3"/>
      <c r="S682" s="3"/>
      <c r="T682" s="3"/>
      <c r="U682" s="3"/>
      <c r="V682" s="3"/>
      <c r="W682" s="3"/>
      <c r="X682" s="3"/>
      <c r="Y682" s="3"/>
    </row>
    <row r="683" ht="14.25" customHeight="1">
      <c r="A683" s="3"/>
      <c r="B683" s="3"/>
      <c r="C683" s="3"/>
      <c r="D683" s="3"/>
      <c r="E683" s="3"/>
      <c r="F683" s="3"/>
      <c r="G683" s="23"/>
      <c r="H683" s="24"/>
      <c r="I683" s="3"/>
      <c r="J683" s="3"/>
      <c r="K683" s="3"/>
      <c r="L683" s="3"/>
      <c r="M683" s="3"/>
      <c r="N683" s="3"/>
      <c r="O683" s="3"/>
      <c r="P683" s="3"/>
      <c r="Q683" s="3"/>
      <c r="R683" s="3"/>
      <c r="S683" s="3"/>
      <c r="T683" s="3"/>
      <c r="U683" s="3"/>
      <c r="V683" s="3"/>
      <c r="W683" s="3"/>
      <c r="X683" s="3"/>
      <c r="Y683" s="3"/>
    </row>
    <row r="684" ht="14.25" customHeight="1">
      <c r="A684" s="3"/>
      <c r="B684" s="3"/>
      <c r="C684" s="3"/>
      <c r="D684" s="3"/>
      <c r="E684" s="3"/>
      <c r="F684" s="3"/>
      <c r="G684" s="23"/>
      <c r="H684" s="24"/>
      <c r="I684" s="3"/>
      <c r="J684" s="3"/>
      <c r="K684" s="3"/>
      <c r="L684" s="3"/>
      <c r="M684" s="3"/>
      <c r="N684" s="3"/>
      <c r="O684" s="3"/>
      <c r="P684" s="3"/>
      <c r="Q684" s="3"/>
      <c r="R684" s="3"/>
      <c r="S684" s="3"/>
      <c r="T684" s="3"/>
      <c r="U684" s="3"/>
      <c r="V684" s="3"/>
      <c r="W684" s="3"/>
      <c r="X684" s="3"/>
      <c r="Y684" s="3"/>
    </row>
    <row r="685" ht="14.25" customHeight="1">
      <c r="A685" s="3"/>
      <c r="B685" s="3"/>
      <c r="C685" s="3"/>
      <c r="D685" s="3"/>
      <c r="E685" s="3"/>
      <c r="F685" s="3"/>
      <c r="G685" s="23"/>
      <c r="H685" s="24"/>
      <c r="I685" s="3"/>
      <c r="J685" s="3"/>
      <c r="K685" s="3"/>
      <c r="L685" s="3"/>
      <c r="M685" s="3"/>
      <c r="N685" s="3"/>
      <c r="O685" s="3"/>
      <c r="P685" s="3"/>
      <c r="Q685" s="3"/>
      <c r="R685" s="3"/>
      <c r="S685" s="3"/>
      <c r="T685" s="3"/>
      <c r="U685" s="3"/>
      <c r="V685" s="3"/>
      <c r="W685" s="3"/>
      <c r="X685" s="3"/>
      <c r="Y685" s="3"/>
    </row>
    <row r="686" ht="14.25" customHeight="1">
      <c r="A686" s="3"/>
      <c r="B686" s="3"/>
      <c r="C686" s="3"/>
      <c r="D686" s="3"/>
      <c r="E686" s="3"/>
      <c r="F686" s="3"/>
      <c r="G686" s="23"/>
      <c r="H686" s="24"/>
      <c r="I686" s="3"/>
      <c r="J686" s="3"/>
      <c r="K686" s="3"/>
      <c r="L686" s="3"/>
      <c r="M686" s="3"/>
      <c r="N686" s="3"/>
      <c r="O686" s="3"/>
      <c r="P686" s="3"/>
      <c r="Q686" s="3"/>
      <c r="R686" s="3"/>
      <c r="S686" s="3"/>
      <c r="T686" s="3"/>
      <c r="U686" s="3"/>
      <c r="V686" s="3"/>
      <c r="W686" s="3"/>
      <c r="X686" s="3"/>
      <c r="Y686" s="3"/>
    </row>
    <row r="687" ht="14.25" customHeight="1">
      <c r="A687" s="3"/>
      <c r="B687" s="3"/>
      <c r="C687" s="3"/>
      <c r="D687" s="3"/>
      <c r="E687" s="3"/>
      <c r="F687" s="3"/>
      <c r="G687" s="23"/>
      <c r="H687" s="24"/>
      <c r="I687" s="3"/>
      <c r="J687" s="3"/>
      <c r="K687" s="3"/>
      <c r="L687" s="3"/>
      <c r="M687" s="3"/>
      <c r="N687" s="3"/>
      <c r="O687" s="3"/>
      <c r="P687" s="3"/>
      <c r="Q687" s="3"/>
      <c r="R687" s="3"/>
      <c r="S687" s="3"/>
      <c r="T687" s="3"/>
      <c r="U687" s="3"/>
      <c r="V687" s="3"/>
      <c r="W687" s="3"/>
      <c r="X687" s="3"/>
      <c r="Y687" s="3"/>
    </row>
    <row r="688" ht="14.25" customHeight="1">
      <c r="A688" s="3"/>
      <c r="B688" s="3"/>
      <c r="C688" s="3"/>
      <c r="D688" s="3"/>
      <c r="E688" s="3"/>
      <c r="F688" s="3"/>
      <c r="G688" s="23"/>
      <c r="H688" s="24"/>
      <c r="I688" s="3"/>
      <c r="J688" s="3"/>
      <c r="K688" s="3"/>
      <c r="L688" s="3"/>
      <c r="M688" s="3"/>
      <c r="N688" s="3"/>
      <c r="O688" s="3"/>
      <c r="P688" s="3"/>
      <c r="Q688" s="3"/>
      <c r="R688" s="3"/>
      <c r="S688" s="3"/>
      <c r="T688" s="3"/>
      <c r="U688" s="3"/>
      <c r="V688" s="3"/>
      <c r="W688" s="3"/>
      <c r="X688" s="3"/>
      <c r="Y688" s="3"/>
    </row>
    <row r="689" ht="14.25" customHeight="1">
      <c r="A689" s="3"/>
      <c r="B689" s="3"/>
      <c r="C689" s="3"/>
      <c r="D689" s="3"/>
      <c r="E689" s="3"/>
      <c r="F689" s="3"/>
      <c r="G689" s="23"/>
      <c r="H689" s="24"/>
      <c r="I689" s="3"/>
      <c r="J689" s="3"/>
      <c r="K689" s="3"/>
      <c r="L689" s="3"/>
      <c r="M689" s="3"/>
      <c r="N689" s="3"/>
      <c r="O689" s="3"/>
      <c r="P689" s="3"/>
      <c r="Q689" s="3"/>
      <c r="R689" s="3"/>
      <c r="S689" s="3"/>
      <c r="T689" s="3"/>
      <c r="U689" s="3"/>
      <c r="V689" s="3"/>
      <c r="W689" s="3"/>
      <c r="X689" s="3"/>
      <c r="Y689" s="3"/>
    </row>
    <row r="690" ht="14.25" customHeight="1">
      <c r="A690" s="3"/>
      <c r="B690" s="3"/>
      <c r="C690" s="3"/>
      <c r="D690" s="3"/>
      <c r="E690" s="3"/>
      <c r="F690" s="3"/>
      <c r="G690" s="23"/>
      <c r="H690" s="24"/>
      <c r="I690" s="3"/>
      <c r="J690" s="3"/>
      <c r="K690" s="3"/>
      <c r="L690" s="3"/>
      <c r="M690" s="3"/>
      <c r="N690" s="3"/>
      <c r="O690" s="3"/>
      <c r="P690" s="3"/>
      <c r="Q690" s="3"/>
      <c r="R690" s="3"/>
      <c r="S690" s="3"/>
      <c r="T690" s="3"/>
      <c r="U690" s="3"/>
      <c r="V690" s="3"/>
      <c r="W690" s="3"/>
      <c r="X690" s="3"/>
      <c r="Y690" s="3"/>
    </row>
    <row r="691" ht="14.25" customHeight="1">
      <c r="A691" s="3"/>
      <c r="B691" s="3"/>
      <c r="C691" s="3"/>
      <c r="D691" s="3"/>
      <c r="E691" s="3"/>
      <c r="F691" s="3"/>
      <c r="G691" s="23"/>
      <c r="H691" s="24"/>
      <c r="I691" s="3"/>
      <c r="J691" s="3"/>
      <c r="K691" s="3"/>
      <c r="L691" s="3"/>
      <c r="M691" s="3"/>
      <c r="N691" s="3"/>
      <c r="O691" s="3"/>
      <c r="P691" s="3"/>
      <c r="Q691" s="3"/>
      <c r="R691" s="3"/>
      <c r="S691" s="3"/>
      <c r="T691" s="3"/>
      <c r="U691" s="3"/>
      <c r="V691" s="3"/>
      <c r="W691" s="3"/>
      <c r="X691" s="3"/>
      <c r="Y691" s="3"/>
    </row>
    <row r="692" ht="14.25" customHeight="1">
      <c r="A692" s="3"/>
      <c r="B692" s="3"/>
      <c r="C692" s="3"/>
      <c r="D692" s="3"/>
      <c r="E692" s="3"/>
      <c r="F692" s="3"/>
      <c r="G692" s="23"/>
      <c r="H692" s="24"/>
      <c r="I692" s="3"/>
      <c r="J692" s="3"/>
      <c r="K692" s="3"/>
      <c r="L692" s="3"/>
      <c r="M692" s="3"/>
      <c r="N692" s="3"/>
      <c r="O692" s="3"/>
      <c r="P692" s="3"/>
      <c r="Q692" s="3"/>
      <c r="R692" s="3"/>
      <c r="S692" s="3"/>
      <c r="T692" s="3"/>
      <c r="U692" s="3"/>
      <c r="V692" s="3"/>
      <c r="W692" s="3"/>
      <c r="X692" s="3"/>
      <c r="Y692" s="3"/>
    </row>
    <row r="693" ht="14.25" customHeight="1">
      <c r="A693" s="3"/>
      <c r="B693" s="3"/>
      <c r="C693" s="3"/>
      <c r="D693" s="3"/>
      <c r="E693" s="3"/>
      <c r="F693" s="3"/>
      <c r="G693" s="23"/>
      <c r="H693" s="24"/>
      <c r="I693" s="3"/>
      <c r="J693" s="3"/>
      <c r="K693" s="3"/>
      <c r="L693" s="3"/>
      <c r="M693" s="3"/>
      <c r="N693" s="3"/>
      <c r="O693" s="3"/>
      <c r="P693" s="3"/>
      <c r="Q693" s="3"/>
      <c r="R693" s="3"/>
      <c r="S693" s="3"/>
      <c r="T693" s="3"/>
      <c r="U693" s="3"/>
      <c r="V693" s="3"/>
      <c r="W693" s="3"/>
      <c r="X693" s="3"/>
      <c r="Y693" s="3"/>
    </row>
    <row r="694" ht="14.25" customHeight="1">
      <c r="A694" s="3"/>
      <c r="B694" s="3"/>
      <c r="C694" s="3"/>
      <c r="D694" s="3"/>
      <c r="E694" s="3"/>
      <c r="F694" s="3"/>
      <c r="G694" s="23"/>
      <c r="H694" s="24"/>
      <c r="I694" s="3"/>
      <c r="J694" s="3"/>
      <c r="K694" s="3"/>
      <c r="L694" s="3"/>
      <c r="M694" s="3"/>
      <c r="N694" s="3"/>
      <c r="O694" s="3"/>
      <c r="P694" s="3"/>
      <c r="Q694" s="3"/>
      <c r="R694" s="3"/>
      <c r="S694" s="3"/>
      <c r="T694" s="3"/>
      <c r="U694" s="3"/>
      <c r="V694" s="3"/>
      <c r="W694" s="3"/>
      <c r="X694" s="3"/>
      <c r="Y694" s="3"/>
    </row>
    <row r="695" ht="14.25" customHeight="1">
      <c r="A695" s="3"/>
      <c r="B695" s="3"/>
      <c r="C695" s="3"/>
      <c r="D695" s="3"/>
      <c r="E695" s="3"/>
      <c r="F695" s="3"/>
      <c r="G695" s="23"/>
      <c r="H695" s="24"/>
      <c r="I695" s="3"/>
      <c r="J695" s="3"/>
      <c r="K695" s="3"/>
      <c r="L695" s="3"/>
      <c r="M695" s="3"/>
      <c r="N695" s="3"/>
      <c r="O695" s="3"/>
      <c r="P695" s="3"/>
      <c r="Q695" s="3"/>
      <c r="R695" s="3"/>
      <c r="S695" s="3"/>
      <c r="T695" s="3"/>
      <c r="U695" s="3"/>
      <c r="V695" s="3"/>
      <c r="W695" s="3"/>
      <c r="X695" s="3"/>
      <c r="Y695" s="3"/>
    </row>
    <row r="696" ht="14.25" customHeight="1">
      <c r="A696" s="3"/>
      <c r="B696" s="3"/>
      <c r="C696" s="3"/>
      <c r="D696" s="3"/>
      <c r="E696" s="3"/>
      <c r="F696" s="3"/>
      <c r="G696" s="23"/>
      <c r="H696" s="24"/>
      <c r="I696" s="3"/>
      <c r="J696" s="3"/>
      <c r="K696" s="3"/>
      <c r="L696" s="3"/>
      <c r="M696" s="3"/>
      <c r="N696" s="3"/>
      <c r="O696" s="3"/>
      <c r="P696" s="3"/>
      <c r="Q696" s="3"/>
      <c r="R696" s="3"/>
      <c r="S696" s="3"/>
      <c r="T696" s="3"/>
      <c r="U696" s="3"/>
      <c r="V696" s="3"/>
      <c r="W696" s="3"/>
      <c r="X696" s="3"/>
      <c r="Y696" s="3"/>
    </row>
    <row r="697" ht="14.25" customHeight="1">
      <c r="A697" s="3"/>
      <c r="B697" s="3"/>
      <c r="C697" s="3"/>
      <c r="D697" s="3"/>
      <c r="E697" s="3"/>
      <c r="F697" s="3"/>
      <c r="G697" s="23"/>
      <c r="H697" s="24"/>
      <c r="I697" s="3"/>
      <c r="J697" s="3"/>
      <c r="K697" s="3"/>
      <c r="L697" s="3"/>
      <c r="M697" s="3"/>
      <c r="N697" s="3"/>
      <c r="O697" s="3"/>
      <c r="P697" s="3"/>
      <c r="Q697" s="3"/>
      <c r="R697" s="3"/>
      <c r="S697" s="3"/>
      <c r="T697" s="3"/>
      <c r="U697" s="3"/>
      <c r="V697" s="3"/>
      <c r="W697" s="3"/>
      <c r="X697" s="3"/>
      <c r="Y697" s="3"/>
    </row>
    <row r="698" ht="14.25" customHeight="1">
      <c r="A698" s="3"/>
      <c r="B698" s="3"/>
      <c r="C698" s="3"/>
      <c r="D698" s="3"/>
      <c r="E698" s="3"/>
      <c r="F698" s="3"/>
      <c r="G698" s="23"/>
      <c r="H698" s="24"/>
      <c r="I698" s="3"/>
      <c r="J698" s="3"/>
      <c r="K698" s="3"/>
      <c r="L698" s="3"/>
      <c r="M698" s="3"/>
      <c r="N698" s="3"/>
      <c r="O698" s="3"/>
      <c r="P698" s="3"/>
      <c r="Q698" s="3"/>
      <c r="R698" s="3"/>
      <c r="S698" s="3"/>
      <c r="T698" s="3"/>
      <c r="U698" s="3"/>
      <c r="V698" s="3"/>
      <c r="W698" s="3"/>
      <c r="X698" s="3"/>
      <c r="Y698" s="3"/>
    </row>
    <row r="699" ht="14.25" customHeight="1">
      <c r="A699" s="3"/>
      <c r="B699" s="3"/>
      <c r="C699" s="3"/>
      <c r="D699" s="3"/>
      <c r="E699" s="3"/>
      <c r="F699" s="3"/>
      <c r="G699" s="23"/>
      <c r="H699" s="24"/>
      <c r="I699" s="3"/>
      <c r="J699" s="3"/>
      <c r="K699" s="3"/>
      <c r="L699" s="3"/>
      <c r="M699" s="3"/>
      <c r="N699" s="3"/>
      <c r="O699" s="3"/>
      <c r="P699" s="3"/>
      <c r="Q699" s="3"/>
      <c r="R699" s="3"/>
      <c r="S699" s="3"/>
      <c r="T699" s="3"/>
      <c r="U699" s="3"/>
      <c r="V699" s="3"/>
      <c r="W699" s="3"/>
      <c r="X699" s="3"/>
      <c r="Y699" s="3"/>
    </row>
    <row r="700" ht="14.25" customHeight="1">
      <c r="A700" s="3"/>
      <c r="B700" s="3"/>
      <c r="C700" s="3"/>
      <c r="D700" s="3"/>
      <c r="E700" s="3"/>
      <c r="F700" s="3"/>
      <c r="G700" s="23"/>
      <c r="H700" s="24"/>
      <c r="I700" s="3"/>
      <c r="J700" s="3"/>
      <c r="K700" s="3"/>
      <c r="L700" s="3"/>
      <c r="M700" s="3"/>
      <c r="N700" s="3"/>
      <c r="O700" s="3"/>
      <c r="P700" s="3"/>
      <c r="Q700" s="3"/>
      <c r="R700" s="3"/>
      <c r="S700" s="3"/>
      <c r="T700" s="3"/>
      <c r="U700" s="3"/>
      <c r="V700" s="3"/>
      <c r="W700" s="3"/>
      <c r="X700" s="3"/>
      <c r="Y700" s="3"/>
    </row>
    <row r="701" ht="14.25" customHeight="1">
      <c r="A701" s="3"/>
      <c r="B701" s="3"/>
      <c r="C701" s="3"/>
      <c r="D701" s="3"/>
      <c r="E701" s="3"/>
      <c r="F701" s="3"/>
      <c r="G701" s="23"/>
      <c r="H701" s="24"/>
      <c r="I701" s="3"/>
      <c r="J701" s="3"/>
      <c r="K701" s="3"/>
      <c r="L701" s="3"/>
      <c r="M701" s="3"/>
      <c r="N701" s="3"/>
      <c r="O701" s="3"/>
      <c r="P701" s="3"/>
      <c r="Q701" s="3"/>
      <c r="R701" s="3"/>
      <c r="S701" s="3"/>
      <c r="T701" s="3"/>
      <c r="U701" s="3"/>
      <c r="V701" s="3"/>
      <c r="W701" s="3"/>
      <c r="X701" s="3"/>
      <c r="Y701" s="3"/>
    </row>
    <row r="702" ht="14.25" customHeight="1">
      <c r="A702" s="3"/>
      <c r="B702" s="3"/>
      <c r="C702" s="3"/>
      <c r="D702" s="3"/>
      <c r="E702" s="3"/>
      <c r="F702" s="3"/>
      <c r="G702" s="23"/>
      <c r="H702" s="24"/>
      <c r="I702" s="3"/>
      <c r="J702" s="3"/>
      <c r="K702" s="3"/>
      <c r="L702" s="3"/>
      <c r="M702" s="3"/>
      <c r="N702" s="3"/>
      <c r="O702" s="3"/>
      <c r="P702" s="3"/>
      <c r="Q702" s="3"/>
      <c r="R702" s="3"/>
      <c r="S702" s="3"/>
      <c r="T702" s="3"/>
      <c r="U702" s="3"/>
      <c r="V702" s="3"/>
      <c r="W702" s="3"/>
      <c r="X702" s="3"/>
      <c r="Y702" s="3"/>
    </row>
    <row r="703" ht="14.25" customHeight="1">
      <c r="A703" s="3"/>
      <c r="B703" s="3"/>
      <c r="C703" s="3"/>
      <c r="D703" s="3"/>
      <c r="E703" s="3"/>
      <c r="F703" s="3"/>
      <c r="G703" s="23"/>
      <c r="H703" s="24"/>
      <c r="I703" s="3"/>
      <c r="J703" s="3"/>
      <c r="K703" s="3"/>
      <c r="L703" s="3"/>
      <c r="M703" s="3"/>
      <c r="N703" s="3"/>
      <c r="O703" s="3"/>
      <c r="P703" s="3"/>
      <c r="Q703" s="3"/>
      <c r="R703" s="3"/>
      <c r="S703" s="3"/>
      <c r="T703" s="3"/>
      <c r="U703" s="3"/>
      <c r="V703" s="3"/>
      <c r="W703" s="3"/>
      <c r="X703" s="3"/>
      <c r="Y703" s="3"/>
    </row>
    <row r="704" ht="14.25" customHeight="1">
      <c r="A704" s="3"/>
      <c r="B704" s="3"/>
      <c r="C704" s="3"/>
      <c r="D704" s="3"/>
      <c r="E704" s="3"/>
      <c r="F704" s="3"/>
      <c r="G704" s="23"/>
      <c r="H704" s="24"/>
      <c r="I704" s="3"/>
      <c r="J704" s="3"/>
      <c r="K704" s="3"/>
      <c r="L704" s="3"/>
      <c r="M704" s="3"/>
      <c r="N704" s="3"/>
      <c r="O704" s="3"/>
      <c r="P704" s="3"/>
      <c r="Q704" s="3"/>
      <c r="R704" s="3"/>
      <c r="S704" s="3"/>
      <c r="T704" s="3"/>
      <c r="U704" s="3"/>
      <c r="V704" s="3"/>
      <c r="W704" s="3"/>
      <c r="X704" s="3"/>
      <c r="Y704" s="3"/>
    </row>
    <row r="705" ht="14.25" customHeight="1">
      <c r="A705" s="3"/>
      <c r="B705" s="3"/>
      <c r="C705" s="3"/>
      <c r="D705" s="3"/>
      <c r="E705" s="3"/>
      <c r="F705" s="3"/>
      <c r="G705" s="23"/>
      <c r="H705" s="24"/>
      <c r="I705" s="3"/>
      <c r="J705" s="3"/>
      <c r="K705" s="3"/>
      <c r="L705" s="3"/>
      <c r="M705" s="3"/>
      <c r="N705" s="3"/>
      <c r="O705" s="3"/>
      <c r="P705" s="3"/>
      <c r="Q705" s="3"/>
      <c r="R705" s="3"/>
      <c r="S705" s="3"/>
      <c r="T705" s="3"/>
      <c r="U705" s="3"/>
      <c r="V705" s="3"/>
      <c r="W705" s="3"/>
      <c r="X705" s="3"/>
      <c r="Y705" s="3"/>
    </row>
    <row r="706" ht="14.25" customHeight="1">
      <c r="A706" s="3"/>
      <c r="B706" s="3"/>
      <c r="C706" s="3"/>
      <c r="D706" s="3"/>
      <c r="E706" s="3"/>
      <c r="F706" s="3"/>
      <c r="G706" s="23"/>
      <c r="H706" s="24"/>
      <c r="I706" s="3"/>
      <c r="J706" s="3"/>
      <c r="K706" s="3"/>
      <c r="L706" s="3"/>
      <c r="M706" s="3"/>
      <c r="N706" s="3"/>
      <c r="O706" s="3"/>
      <c r="P706" s="3"/>
      <c r="Q706" s="3"/>
      <c r="R706" s="3"/>
      <c r="S706" s="3"/>
      <c r="T706" s="3"/>
      <c r="U706" s="3"/>
      <c r="V706" s="3"/>
      <c r="W706" s="3"/>
      <c r="X706" s="3"/>
      <c r="Y706" s="3"/>
    </row>
    <row r="707" ht="14.25" customHeight="1">
      <c r="A707" s="3"/>
      <c r="B707" s="3"/>
      <c r="C707" s="3"/>
      <c r="D707" s="3"/>
      <c r="E707" s="3"/>
      <c r="F707" s="3"/>
      <c r="G707" s="23"/>
      <c r="H707" s="24"/>
      <c r="I707" s="3"/>
      <c r="J707" s="3"/>
      <c r="K707" s="3"/>
      <c r="L707" s="3"/>
      <c r="M707" s="3"/>
      <c r="N707" s="3"/>
      <c r="O707" s="3"/>
      <c r="P707" s="3"/>
      <c r="Q707" s="3"/>
      <c r="R707" s="3"/>
      <c r="S707" s="3"/>
      <c r="T707" s="3"/>
      <c r="U707" s="3"/>
      <c r="V707" s="3"/>
      <c r="W707" s="3"/>
      <c r="X707" s="3"/>
      <c r="Y707" s="3"/>
    </row>
    <row r="708" ht="14.25" customHeight="1">
      <c r="A708" s="3"/>
      <c r="B708" s="3"/>
      <c r="C708" s="3"/>
      <c r="D708" s="3"/>
      <c r="E708" s="3"/>
      <c r="F708" s="3"/>
      <c r="G708" s="23"/>
      <c r="H708" s="24"/>
      <c r="I708" s="3"/>
      <c r="J708" s="3"/>
      <c r="K708" s="3"/>
      <c r="L708" s="3"/>
      <c r="M708" s="3"/>
      <c r="N708" s="3"/>
      <c r="O708" s="3"/>
      <c r="P708" s="3"/>
      <c r="Q708" s="3"/>
      <c r="R708" s="3"/>
      <c r="S708" s="3"/>
      <c r="T708" s="3"/>
      <c r="U708" s="3"/>
      <c r="V708" s="3"/>
      <c r="W708" s="3"/>
      <c r="X708" s="3"/>
      <c r="Y708" s="3"/>
    </row>
    <row r="709" ht="14.25" customHeight="1">
      <c r="A709" s="3"/>
      <c r="B709" s="3"/>
      <c r="C709" s="3"/>
      <c r="D709" s="3"/>
      <c r="E709" s="3"/>
      <c r="F709" s="3"/>
      <c r="G709" s="23"/>
      <c r="H709" s="24"/>
      <c r="I709" s="3"/>
      <c r="J709" s="3"/>
      <c r="K709" s="3"/>
      <c r="L709" s="3"/>
      <c r="M709" s="3"/>
      <c r="N709" s="3"/>
      <c r="O709" s="3"/>
      <c r="P709" s="3"/>
      <c r="Q709" s="3"/>
      <c r="R709" s="3"/>
      <c r="S709" s="3"/>
      <c r="T709" s="3"/>
      <c r="U709" s="3"/>
      <c r="V709" s="3"/>
      <c r="W709" s="3"/>
      <c r="X709" s="3"/>
      <c r="Y709" s="3"/>
    </row>
    <row r="710" ht="14.25" customHeight="1">
      <c r="A710" s="3"/>
      <c r="B710" s="3"/>
      <c r="C710" s="3"/>
      <c r="D710" s="3"/>
      <c r="E710" s="3"/>
      <c r="F710" s="3"/>
      <c r="G710" s="23"/>
      <c r="H710" s="24"/>
      <c r="I710" s="3"/>
      <c r="J710" s="3"/>
      <c r="K710" s="3"/>
      <c r="L710" s="3"/>
      <c r="M710" s="3"/>
      <c r="N710" s="3"/>
      <c r="O710" s="3"/>
      <c r="P710" s="3"/>
      <c r="Q710" s="3"/>
      <c r="R710" s="3"/>
      <c r="S710" s="3"/>
      <c r="T710" s="3"/>
      <c r="U710" s="3"/>
      <c r="V710" s="3"/>
      <c r="W710" s="3"/>
      <c r="X710" s="3"/>
      <c r="Y710" s="3"/>
    </row>
    <row r="711" ht="14.25" customHeight="1">
      <c r="A711" s="3"/>
      <c r="B711" s="3"/>
      <c r="C711" s="3"/>
      <c r="D711" s="3"/>
      <c r="E711" s="3"/>
      <c r="F711" s="3"/>
      <c r="G711" s="23"/>
      <c r="H711" s="24"/>
      <c r="I711" s="3"/>
      <c r="J711" s="3"/>
      <c r="K711" s="3"/>
      <c r="L711" s="3"/>
      <c r="M711" s="3"/>
      <c r="N711" s="3"/>
      <c r="O711" s="3"/>
      <c r="P711" s="3"/>
      <c r="Q711" s="3"/>
      <c r="R711" s="3"/>
      <c r="S711" s="3"/>
      <c r="T711" s="3"/>
      <c r="U711" s="3"/>
      <c r="V711" s="3"/>
      <c r="W711" s="3"/>
      <c r="X711" s="3"/>
      <c r="Y711" s="3"/>
    </row>
    <row r="712" ht="14.25" customHeight="1">
      <c r="A712" s="3"/>
      <c r="B712" s="3"/>
      <c r="C712" s="3"/>
      <c r="D712" s="3"/>
      <c r="E712" s="3"/>
      <c r="F712" s="3"/>
      <c r="G712" s="23"/>
      <c r="H712" s="24"/>
      <c r="I712" s="3"/>
      <c r="J712" s="3"/>
      <c r="K712" s="3"/>
      <c r="L712" s="3"/>
      <c r="M712" s="3"/>
      <c r="N712" s="3"/>
      <c r="O712" s="3"/>
      <c r="P712" s="3"/>
      <c r="Q712" s="3"/>
      <c r="R712" s="3"/>
      <c r="S712" s="3"/>
      <c r="T712" s="3"/>
      <c r="U712" s="3"/>
      <c r="V712" s="3"/>
      <c r="W712" s="3"/>
      <c r="X712" s="3"/>
      <c r="Y712" s="3"/>
    </row>
    <row r="713" ht="14.25" customHeight="1">
      <c r="A713" s="3"/>
      <c r="B713" s="3"/>
      <c r="C713" s="3"/>
      <c r="D713" s="3"/>
      <c r="E713" s="3"/>
      <c r="F713" s="3"/>
      <c r="G713" s="23"/>
      <c r="H713" s="24"/>
      <c r="I713" s="3"/>
      <c r="J713" s="3"/>
      <c r="K713" s="3"/>
      <c r="L713" s="3"/>
      <c r="M713" s="3"/>
      <c r="N713" s="3"/>
      <c r="O713" s="3"/>
      <c r="P713" s="3"/>
      <c r="Q713" s="3"/>
      <c r="R713" s="3"/>
      <c r="S713" s="3"/>
      <c r="T713" s="3"/>
      <c r="U713" s="3"/>
      <c r="V713" s="3"/>
      <c r="W713" s="3"/>
      <c r="X713" s="3"/>
      <c r="Y713" s="3"/>
    </row>
    <row r="714" ht="14.25" customHeight="1">
      <c r="A714" s="3"/>
      <c r="B714" s="3"/>
      <c r="C714" s="3"/>
      <c r="D714" s="3"/>
      <c r="E714" s="3"/>
      <c r="F714" s="3"/>
      <c r="G714" s="23"/>
      <c r="H714" s="24"/>
      <c r="I714" s="3"/>
      <c r="J714" s="3"/>
      <c r="K714" s="3"/>
      <c r="L714" s="3"/>
      <c r="M714" s="3"/>
      <c r="N714" s="3"/>
      <c r="O714" s="3"/>
      <c r="P714" s="3"/>
      <c r="Q714" s="3"/>
      <c r="R714" s="3"/>
      <c r="S714" s="3"/>
      <c r="T714" s="3"/>
      <c r="U714" s="3"/>
      <c r="V714" s="3"/>
      <c r="W714" s="3"/>
      <c r="X714" s="3"/>
      <c r="Y714" s="3"/>
    </row>
    <row r="715" ht="14.25" customHeight="1">
      <c r="A715" s="3"/>
      <c r="B715" s="3"/>
      <c r="C715" s="3"/>
      <c r="D715" s="3"/>
      <c r="E715" s="3"/>
      <c r="F715" s="3"/>
      <c r="G715" s="23"/>
      <c r="H715" s="24"/>
      <c r="I715" s="3"/>
      <c r="J715" s="3"/>
      <c r="K715" s="3"/>
      <c r="L715" s="3"/>
      <c r="M715" s="3"/>
      <c r="N715" s="3"/>
      <c r="O715" s="3"/>
      <c r="P715" s="3"/>
      <c r="Q715" s="3"/>
      <c r="R715" s="3"/>
      <c r="S715" s="3"/>
      <c r="T715" s="3"/>
      <c r="U715" s="3"/>
      <c r="V715" s="3"/>
      <c r="W715" s="3"/>
      <c r="X715" s="3"/>
      <c r="Y715" s="3"/>
    </row>
    <row r="716" ht="14.25" customHeight="1">
      <c r="A716" s="3"/>
      <c r="B716" s="3"/>
      <c r="C716" s="3"/>
      <c r="D716" s="3"/>
      <c r="E716" s="3"/>
      <c r="F716" s="3"/>
      <c r="G716" s="23"/>
      <c r="H716" s="24"/>
      <c r="I716" s="3"/>
      <c r="J716" s="3"/>
      <c r="K716" s="3"/>
      <c r="L716" s="3"/>
      <c r="M716" s="3"/>
      <c r="N716" s="3"/>
      <c r="O716" s="3"/>
      <c r="P716" s="3"/>
      <c r="Q716" s="3"/>
      <c r="R716" s="3"/>
      <c r="S716" s="3"/>
      <c r="T716" s="3"/>
      <c r="U716" s="3"/>
      <c r="V716" s="3"/>
      <c r="W716" s="3"/>
      <c r="X716" s="3"/>
      <c r="Y716" s="3"/>
    </row>
    <row r="717" ht="14.25" customHeight="1">
      <c r="A717" s="3"/>
      <c r="B717" s="3"/>
      <c r="C717" s="3"/>
      <c r="D717" s="3"/>
      <c r="E717" s="3"/>
      <c r="F717" s="3"/>
      <c r="G717" s="23"/>
      <c r="H717" s="24"/>
      <c r="I717" s="3"/>
      <c r="J717" s="3"/>
      <c r="K717" s="3"/>
      <c r="L717" s="3"/>
      <c r="M717" s="3"/>
      <c r="N717" s="3"/>
      <c r="O717" s="3"/>
      <c r="P717" s="3"/>
      <c r="Q717" s="3"/>
      <c r="R717" s="3"/>
      <c r="S717" s="3"/>
      <c r="T717" s="3"/>
      <c r="U717" s="3"/>
      <c r="V717" s="3"/>
      <c r="W717" s="3"/>
      <c r="X717" s="3"/>
      <c r="Y717" s="3"/>
    </row>
    <row r="718" ht="14.25" customHeight="1">
      <c r="A718" s="3"/>
      <c r="B718" s="3"/>
      <c r="C718" s="3"/>
      <c r="D718" s="3"/>
      <c r="E718" s="3"/>
      <c r="F718" s="3"/>
      <c r="G718" s="23"/>
      <c r="H718" s="24"/>
      <c r="I718" s="3"/>
      <c r="J718" s="3"/>
      <c r="K718" s="3"/>
      <c r="L718" s="3"/>
      <c r="M718" s="3"/>
      <c r="N718" s="3"/>
      <c r="O718" s="3"/>
      <c r="P718" s="3"/>
      <c r="Q718" s="3"/>
      <c r="R718" s="3"/>
      <c r="S718" s="3"/>
      <c r="T718" s="3"/>
      <c r="U718" s="3"/>
      <c r="V718" s="3"/>
      <c r="W718" s="3"/>
      <c r="X718" s="3"/>
      <c r="Y718" s="3"/>
    </row>
    <row r="719" ht="14.25" customHeight="1">
      <c r="A719" s="3"/>
      <c r="B719" s="3"/>
      <c r="C719" s="3"/>
      <c r="D719" s="3"/>
      <c r="E719" s="3"/>
      <c r="F719" s="3"/>
      <c r="G719" s="23"/>
      <c r="H719" s="24"/>
      <c r="I719" s="3"/>
      <c r="J719" s="3"/>
      <c r="K719" s="3"/>
      <c r="L719" s="3"/>
      <c r="M719" s="3"/>
      <c r="N719" s="3"/>
      <c r="O719" s="3"/>
      <c r="P719" s="3"/>
      <c r="Q719" s="3"/>
      <c r="R719" s="3"/>
      <c r="S719" s="3"/>
      <c r="T719" s="3"/>
      <c r="U719" s="3"/>
      <c r="V719" s="3"/>
      <c r="W719" s="3"/>
      <c r="X719" s="3"/>
      <c r="Y719" s="3"/>
    </row>
    <row r="720" ht="14.25" customHeight="1">
      <c r="A720" s="3"/>
      <c r="B720" s="3"/>
      <c r="C720" s="3"/>
      <c r="D720" s="3"/>
      <c r="E720" s="3"/>
      <c r="F720" s="3"/>
      <c r="G720" s="23"/>
      <c r="H720" s="24"/>
      <c r="I720" s="3"/>
      <c r="J720" s="3"/>
      <c r="K720" s="3"/>
      <c r="L720" s="3"/>
      <c r="M720" s="3"/>
      <c r="N720" s="3"/>
      <c r="O720" s="3"/>
      <c r="P720" s="3"/>
      <c r="Q720" s="3"/>
      <c r="R720" s="3"/>
      <c r="S720" s="3"/>
      <c r="T720" s="3"/>
      <c r="U720" s="3"/>
      <c r="V720" s="3"/>
      <c r="W720" s="3"/>
      <c r="X720" s="3"/>
      <c r="Y720" s="3"/>
    </row>
    <row r="721" ht="14.25" customHeight="1">
      <c r="A721" s="3"/>
      <c r="B721" s="3"/>
      <c r="C721" s="3"/>
      <c r="D721" s="3"/>
      <c r="E721" s="3"/>
      <c r="F721" s="3"/>
      <c r="G721" s="23"/>
      <c r="H721" s="24"/>
      <c r="I721" s="3"/>
      <c r="J721" s="3"/>
      <c r="K721" s="3"/>
      <c r="L721" s="3"/>
      <c r="M721" s="3"/>
      <c r="N721" s="3"/>
      <c r="O721" s="3"/>
      <c r="P721" s="3"/>
      <c r="Q721" s="3"/>
      <c r="R721" s="3"/>
      <c r="S721" s="3"/>
      <c r="T721" s="3"/>
      <c r="U721" s="3"/>
      <c r="V721" s="3"/>
      <c r="W721" s="3"/>
      <c r="X721" s="3"/>
      <c r="Y721" s="3"/>
    </row>
    <row r="722" ht="14.25" customHeight="1">
      <c r="A722" s="3"/>
      <c r="B722" s="3"/>
      <c r="C722" s="3"/>
      <c r="D722" s="3"/>
      <c r="E722" s="3"/>
      <c r="F722" s="3"/>
      <c r="G722" s="23"/>
      <c r="H722" s="24"/>
      <c r="I722" s="3"/>
      <c r="J722" s="3"/>
      <c r="K722" s="3"/>
      <c r="L722" s="3"/>
      <c r="M722" s="3"/>
      <c r="N722" s="3"/>
      <c r="O722" s="3"/>
      <c r="P722" s="3"/>
      <c r="Q722" s="3"/>
      <c r="R722" s="3"/>
      <c r="S722" s="3"/>
      <c r="T722" s="3"/>
      <c r="U722" s="3"/>
      <c r="V722" s="3"/>
      <c r="W722" s="3"/>
      <c r="X722" s="3"/>
      <c r="Y722" s="3"/>
    </row>
    <row r="723" ht="14.25" customHeight="1">
      <c r="A723" s="3"/>
      <c r="B723" s="3"/>
      <c r="C723" s="3"/>
      <c r="D723" s="3"/>
      <c r="E723" s="3"/>
      <c r="F723" s="3"/>
      <c r="G723" s="23"/>
      <c r="H723" s="24"/>
      <c r="I723" s="3"/>
      <c r="J723" s="3"/>
      <c r="K723" s="3"/>
      <c r="L723" s="3"/>
      <c r="M723" s="3"/>
      <c r="N723" s="3"/>
      <c r="O723" s="3"/>
      <c r="P723" s="3"/>
      <c r="Q723" s="3"/>
      <c r="R723" s="3"/>
      <c r="S723" s="3"/>
      <c r="T723" s="3"/>
      <c r="U723" s="3"/>
      <c r="V723" s="3"/>
      <c r="W723" s="3"/>
      <c r="X723" s="3"/>
      <c r="Y723" s="3"/>
    </row>
    <row r="724" ht="14.25" customHeight="1">
      <c r="A724" s="3"/>
      <c r="B724" s="3"/>
      <c r="C724" s="3"/>
      <c r="D724" s="3"/>
      <c r="E724" s="3"/>
      <c r="F724" s="3"/>
      <c r="G724" s="23"/>
      <c r="H724" s="24"/>
      <c r="I724" s="3"/>
      <c r="J724" s="3"/>
      <c r="K724" s="3"/>
      <c r="L724" s="3"/>
      <c r="M724" s="3"/>
      <c r="N724" s="3"/>
      <c r="O724" s="3"/>
      <c r="P724" s="3"/>
      <c r="Q724" s="3"/>
      <c r="R724" s="3"/>
      <c r="S724" s="3"/>
      <c r="T724" s="3"/>
      <c r="U724" s="3"/>
      <c r="V724" s="3"/>
      <c r="W724" s="3"/>
      <c r="X724" s="3"/>
      <c r="Y724" s="3"/>
    </row>
    <row r="725" ht="14.25" customHeight="1">
      <c r="A725" s="3"/>
      <c r="B725" s="3"/>
      <c r="C725" s="3"/>
      <c r="D725" s="3"/>
      <c r="E725" s="3"/>
      <c r="F725" s="3"/>
      <c r="G725" s="23"/>
      <c r="H725" s="24"/>
      <c r="I725" s="3"/>
      <c r="J725" s="3"/>
      <c r="K725" s="3"/>
      <c r="L725" s="3"/>
      <c r="M725" s="3"/>
      <c r="N725" s="3"/>
      <c r="O725" s="3"/>
      <c r="P725" s="3"/>
      <c r="Q725" s="3"/>
      <c r="R725" s="3"/>
      <c r="S725" s="3"/>
      <c r="T725" s="3"/>
      <c r="U725" s="3"/>
      <c r="V725" s="3"/>
      <c r="W725" s="3"/>
      <c r="X725" s="3"/>
      <c r="Y725" s="3"/>
    </row>
    <row r="726" ht="14.25" customHeight="1">
      <c r="A726" s="3"/>
      <c r="B726" s="3"/>
      <c r="C726" s="3"/>
      <c r="D726" s="3"/>
      <c r="E726" s="3"/>
      <c r="F726" s="3"/>
      <c r="G726" s="23"/>
      <c r="H726" s="24"/>
      <c r="I726" s="3"/>
      <c r="J726" s="3"/>
      <c r="K726" s="3"/>
      <c r="L726" s="3"/>
      <c r="M726" s="3"/>
      <c r="N726" s="3"/>
      <c r="O726" s="3"/>
      <c r="P726" s="3"/>
      <c r="Q726" s="3"/>
      <c r="R726" s="3"/>
      <c r="S726" s="3"/>
      <c r="T726" s="3"/>
      <c r="U726" s="3"/>
      <c r="V726" s="3"/>
      <c r="W726" s="3"/>
      <c r="X726" s="3"/>
      <c r="Y726" s="3"/>
    </row>
    <row r="727" ht="14.25" customHeight="1">
      <c r="A727" s="3"/>
      <c r="B727" s="3"/>
      <c r="C727" s="3"/>
      <c r="D727" s="3"/>
      <c r="E727" s="3"/>
      <c r="F727" s="3"/>
      <c r="G727" s="23"/>
      <c r="H727" s="24"/>
      <c r="I727" s="3"/>
      <c r="J727" s="3"/>
      <c r="K727" s="3"/>
      <c r="L727" s="3"/>
      <c r="M727" s="3"/>
      <c r="N727" s="3"/>
      <c r="O727" s="3"/>
      <c r="P727" s="3"/>
      <c r="Q727" s="3"/>
      <c r="R727" s="3"/>
      <c r="S727" s="3"/>
      <c r="T727" s="3"/>
      <c r="U727" s="3"/>
      <c r="V727" s="3"/>
      <c r="W727" s="3"/>
      <c r="X727" s="3"/>
      <c r="Y727" s="3"/>
    </row>
    <row r="728" ht="14.25" customHeight="1">
      <c r="A728" s="3"/>
      <c r="B728" s="3"/>
      <c r="C728" s="3"/>
      <c r="D728" s="3"/>
      <c r="E728" s="3"/>
      <c r="F728" s="3"/>
      <c r="G728" s="23"/>
      <c r="H728" s="24"/>
      <c r="I728" s="3"/>
      <c r="J728" s="3"/>
      <c r="K728" s="3"/>
      <c r="L728" s="3"/>
      <c r="M728" s="3"/>
      <c r="N728" s="3"/>
      <c r="O728" s="3"/>
      <c r="P728" s="3"/>
      <c r="Q728" s="3"/>
      <c r="R728" s="3"/>
      <c r="S728" s="3"/>
      <c r="T728" s="3"/>
      <c r="U728" s="3"/>
      <c r="V728" s="3"/>
      <c r="W728" s="3"/>
      <c r="X728" s="3"/>
      <c r="Y728" s="3"/>
    </row>
    <row r="729" ht="14.25" customHeight="1">
      <c r="A729" s="3"/>
      <c r="B729" s="3"/>
      <c r="C729" s="3"/>
      <c r="D729" s="3"/>
      <c r="E729" s="3"/>
      <c r="F729" s="3"/>
      <c r="G729" s="23"/>
      <c r="H729" s="24"/>
      <c r="I729" s="3"/>
      <c r="J729" s="3"/>
      <c r="K729" s="3"/>
      <c r="L729" s="3"/>
      <c r="M729" s="3"/>
      <c r="N729" s="3"/>
      <c r="O729" s="3"/>
      <c r="P729" s="3"/>
      <c r="Q729" s="3"/>
      <c r="R729" s="3"/>
      <c r="S729" s="3"/>
      <c r="T729" s="3"/>
      <c r="U729" s="3"/>
      <c r="V729" s="3"/>
      <c r="W729" s="3"/>
      <c r="X729" s="3"/>
      <c r="Y729" s="3"/>
    </row>
    <row r="730" ht="14.25" customHeight="1">
      <c r="A730" s="3"/>
      <c r="B730" s="3"/>
      <c r="C730" s="3"/>
      <c r="D730" s="3"/>
      <c r="E730" s="3"/>
      <c r="F730" s="3"/>
      <c r="G730" s="23"/>
      <c r="H730" s="24"/>
      <c r="I730" s="3"/>
      <c r="J730" s="3"/>
      <c r="K730" s="3"/>
      <c r="L730" s="3"/>
      <c r="M730" s="3"/>
      <c r="N730" s="3"/>
      <c r="O730" s="3"/>
      <c r="P730" s="3"/>
      <c r="Q730" s="3"/>
      <c r="R730" s="3"/>
      <c r="S730" s="3"/>
      <c r="T730" s="3"/>
      <c r="U730" s="3"/>
      <c r="V730" s="3"/>
      <c r="W730" s="3"/>
      <c r="X730" s="3"/>
      <c r="Y730" s="3"/>
    </row>
    <row r="731" ht="14.25" customHeight="1">
      <c r="A731" s="3"/>
      <c r="B731" s="3"/>
      <c r="C731" s="3"/>
      <c r="D731" s="3"/>
      <c r="E731" s="3"/>
      <c r="F731" s="3"/>
      <c r="G731" s="23"/>
      <c r="H731" s="24"/>
      <c r="I731" s="3"/>
      <c r="J731" s="3"/>
      <c r="K731" s="3"/>
      <c r="L731" s="3"/>
      <c r="M731" s="3"/>
      <c r="N731" s="3"/>
      <c r="O731" s="3"/>
      <c r="P731" s="3"/>
      <c r="Q731" s="3"/>
      <c r="R731" s="3"/>
      <c r="S731" s="3"/>
      <c r="T731" s="3"/>
      <c r="U731" s="3"/>
      <c r="V731" s="3"/>
      <c r="W731" s="3"/>
      <c r="X731" s="3"/>
      <c r="Y731" s="3"/>
    </row>
    <row r="732" ht="14.25" customHeight="1">
      <c r="A732" s="3"/>
      <c r="B732" s="3"/>
      <c r="C732" s="3"/>
      <c r="D732" s="3"/>
      <c r="E732" s="3"/>
      <c r="F732" s="3"/>
      <c r="G732" s="23"/>
      <c r="H732" s="24"/>
      <c r="I732" s="3"/>
      <c r="J732" s="3"/>
      <c r="K732" s="3"/>
      <c r="L732" s="3"/>
      <c r="M732" s="3"/>
      <c r="N732" s="3"/>
      <c r="O732" s="3"/>
      <c r="P732" s="3"/>
      <c r="Q732" s="3"/>
      <c r="R732" s="3"/>
      <c r="S732" s="3"/>
      <c r="T732" s="3"/>
      <c r="U732" s="3"/>
      <c r="V732" s="3"/>
      <c r="W732" s="3"/>
      <c r="X732" s="3"/>
      <c r="Y732" s="3"/>
    </row>
    <row r="733" ht="14.25" customHeight="1">
      <c r="A733" s="3"/>
      <c r="B733" s="3"/>
      <c r="C733" s="3"/>
      <c r="D733" s="3"/>
      <c r="E733" s="3"/>
      <c r="F733" s="3"/>
      <c r="G733" s="23"/>
      <c r="H733" s="24"/>
      <c r="I733" s="3"/>
      <c r="J733" s="3"/>
      <c r="K733" s="3"/>
      <c r="L733" s="3"/>
      <c r="M733" s="3"/>
      <c r="N733" s="3"/>
      <c r="O733" s="3"/>
      <c r="P733" s="3"/>
      <c r="Q733" s="3"/>
      <c r="R733" s="3"/>
      <c r="S733" s="3"/>
      <c r="T733" s="3"/>
      <c r="U733" s="3"/>
      <c r="V733" s="3"/>
      <c r="W733" s="3"/>
      <c r="X733" s="3"/>
      <c r="Y733" s="3"/>
    </row>
    <row r="734" ht="14.25" customHeight="1">
      <c r="A734" s="3"/>
      <c r="B734" s="3"/>
      <c r="C734" s="3"/>
      <c r="D734" s="3"/>
      <c r="E734" s="3"/>
      <c r="F734" s="3"/>
      <c r="G734" s="23"/>
      <c r="H734" s="24"/>
      <c r="I734" s="3"/>
      <c r="J734" s="3"/>
      <c r="K734" s="3"/>
      <c r="L734" s="3"/>
      <c r="M734" s="3"/>
      <c r="N734" s="3"/>
      <c r="O734" s="3"/>
      <c r="P734" s="3"/>
      <c r="Q734" s="3"/>
      <c r="R734" s="3"/>
      <c r="S734" s="3"/>
      <c r="T734" s="3"/>
      <c r="U734" s="3"/>
      <c r="V734" s="3"/>
      <c r="W734" s="3"/>
      <c r="X734" s="3"/>
      <c r="Y734" s="3"/>
    </row>
    <row r="735" ht="14.25" customHeight="1">
      <c r="A735" s="3"/>
      <c r="B735" s="3"/>
      <c r="C735" s="3"/>
      <c r="D735" s="3"/>
      <c r="E735" s="3"/>
      <c r="F735" s="3"/>
      <c r="G735" s="23"/>
      <c r="H735" s="24"/>
      <c r="I735" s="3"/>
      <c r="J735" s="3"/>
      <c r="K735" s="3"/>
      <c r="L735" s="3"/>
      <c r="M735" s="3"/>
      <c r="N735" s="3"/>
      <c r="O735" s="3"/>
      <c r="P735" s="3"/>
      <c r="Q735" s="3"/>
      <c r="R735" s="3"/>
      <c r="S735" s="3"/>
      <c r="T735" s="3"/>
      <c r="U735" s="3"/>
      <c r="V735" s="3"/>
      <c r="W735" s="3"/>
      <c r="X735" s="3"/>
      <c r="Y735" s="3"/>
    </row>
    <row r="736" ht="14.25" customHeight="1">
      <c r="A736" s="3"/>
      <c r="B736" s="3"/>
      <c r="C736" s="3"/>
      <c r="D736" s="3"/>
      <c r="E736" s="3"/>
      <c r="F736" s="3"/>
      <c r="G736" s="23"/>
      <c r="H736" s="24"/>
      <c r="I736" s="3"/>
      <c r="J736" s="3"/>
      <c r="K736" s="3"/>
      <c r="L736" s="3"/>
      <c r="M736" s="3"/>
      <c r="N736" s="3"/>
      <c r="O736" s="3"/>
      <c r="P736" s="3"/>
      <c r="Q736" s="3"/>
      <c r="R736" s="3"/>
      <c r="S736" s="3"/>
      <c r="T736" s="3"/>
      <c r="U736" s="3"/>
      <c r="V736" s="3"/>
      <c r="W736" s="3"/>
      <c r="X736" s="3"/>
      <c r="Y736" s="3"/>
    </row>
    <row r="737" ht="14.25" customHeight="1">
      <c r="A737" s="3"/>
      <c r="B737" s="3"/>
      <c r="C737" s="3"/>
      <c r="D737" s="3"/>
      <c r="E737" s="3"/>
      <c r="F737" s="3"/>
      <c r="G737" s="23"/>
      <c r="H737" s="24"/>
      <c r="I737" s="3"/>
      <c r="J737" s="3"/>
      <c r="K737" s="3"/>
      <c r="L737" s="3"/>
      <c r="M737" s="3"/>
      <c r="N737" s="3"/>
      <c r="O737" s="3"/>
      <c r="P737" s="3"/>
      <c r="Q737" s="3"/>
      <c r="R737" s="3"/>
      <c r="S737" s="3"/>
      <c r="T737" s="3"/>
      <c r="U737" s="3"/>
      <c r="V737" s="3"/>
      <c r="W737" s="3"/>
      <c r="X737" s="3"/>
      <c r="Y737" s="3"/>
    </row>
    <row r="738" ht="14.25" customHeight="1">
      <c r="A738" s="3"/>
      <c r="B738" s="3"/>
      <c r="C738" s="3"/>
      <c r="D738" s="3"/>
      <c r="E738" s="3"/>
      <c r="F738" s="3"/>
      <c r="G738" s="23"/>
      <c r="H738" s="24"/>
      <c r="I738" s="3"/>
      <c r="J738" s="3"/>
      <c r="K738" s="3"/>
      <c r="L738" s="3"/>
      <c r="M738" s="3"/>
      <c r="N738" s="3"/>
      <c r="O738" s="3"/>
      <c r="P738" s="3"/>
      <c r="Q738" s="3"/>
      <c r="R738" s="3"/>
      <c r="S738" s="3"/>
      <c r="T738" s="3"/>
      <c r="U738" s="3"/>
      <c r="V738" s="3"/>
      <c r="W738" s="3"/>
      <c r="X738" s="3"/>
      <c r="Y738" s="3"/>
    </row>
    <row r="739" ht="14.25" customHeight="1">
      <c r="A739" s="3"/>
      <c r="B739" s="3"/>
      <c r="C739" s="3"/>
      <c r="D739" s="3"/>
      <c r="E739" s="3"/>
      <c r="F739" s="3"/>
      <c r="G739" s="23"/>
      <c r="H739" s="24"/>
      <c r="I739" s="3"/>
      <c r="J739" s="3"/>
      <c r="K739" s="3"/>
      <c r="L739" s="3"/>
      <c r="M739" s="3"/>
      <c r="N739" s="3"/>
      <c r="O739" s="3"/>
      <c r="P739" s="3"/>
      <c r="Q739" s="3"/>
      <c r="R739" s="3"/>
      <c r="S739" s="3"/>
      <c r="T739" s="3"/>
      <c r="U739" s="3"/>
      <c r="V739" s="3"/>
      <c r="W739" s="3"/>
      <c r="X739" s="3"/>
      <c r="Y739" s="3"/>
    </row>
    <row r="740" ht="14.25" customHeight="1">
      <c r="A740" s="3"/>
      <c r="B740" s="3"/>
      <c r="C740" s="3"/>
      <c r="D740" s="3"/>
      <c r="E740" s="3"/>
      <c r="F740" s="3"/>
      <c r="G740" s="23"/>
      <c r="H740" s="24"/>
      <c r="I740" s="3"/>
      <c r="J740" s="3"/>
      <c r="K740" s="3"/>
      <c r="L740" s="3"/>
      <c r="M740" s="3"/>
      <c r="N740" s="3"/>
      <c r="O740" s="3"/>
      <c r="P740" s="3"/>
      <c r="Q740" s="3"/>
      <c r="R740" s="3"/>
      <c r="S740" s="3"/>
      <c r="T740" s="3"/>
      <c r="U740" s="3"/>
      <c r="V740" s="3"/>
      <c r="W740" s="3"/>
      <c r="X740" s="3"/>
      <c r="Y740" s="3"/>
    </row>
    <row r="741" ht="14.25" customHeight="1">
      <c r="A741" s="3"/>
      <c r="B741" s="3"/>
      <c r="C741" s="3"/>
      <c r="D741" s="3"/>
      <c r="E741" s="3"/>
      <c r="F741" s="3"/>
      <c r="G741" s="23"/>
      <c r="H741" s="24"/>
      <c r="I741" s="3"/>
      <c r="J741" s="3"/>
      <c r="K741" s="3"/>
      <c r="L741" s="3"/>
      <c r="M741" s="3"/>
      <c r="N741" s="3"/>
      <c r="O741" s="3"/>
      <c r="P741" s="3"/>
      <c r="Q741" s="3"/>
      <c r="R741" s="3"/>
      <c r="S741" s="3"/>
      <c r="T741" s="3"/>
      <c r="U741" s="3"/>
      <c r="V741" s="3"/>
      <c r="W741" s="3"/>
      <c r="X741" s="3"/>
      <c r="Y741" s="3"/>
    </row>
    <row r="742" ht="14.25" customHeight="1">
      <c r="A742" s="3"/>
      <c r="B742" s="3"/>
      <c r="C742" s="3"/>
      <c r="D742" s="3"/>
      <c r="E742" s="3"/>
      <c r="F742" s="3"/>
      <c r="G742" s="23"/>
      <c r="H742" s="24"/>
      <c r="I742" s="3"/>
      <c r="J742" s="3"/>
      <c r="K742" s="3"/>
      <c r="L742" s="3"/>
      <c r="M742" s="3"/>
      <c r="N742" s="3"/>
      <c r="O742" s="3"/>
      <c r="P742" s="3"/>
      <c r="Q742" s="3"/>
      <c r="R742" s="3"/>
      <c r="S742" s="3"/>
      <c r="T742" s="3"/>
      <c r="U742" s="3"/>
      <c r="V742" s="3"/>
      <c r="W742" s="3"/>
      <c r="X742" s="3"/>
      <c r="Y742" s="3"/>
    </row>
    <row r="743" ht="14.25" customHeight="1">
      <c r="A743" s="3"/>
      <c r="B743" s="3"/>
      <c r="C743" s="3"/>
      <c r="D743" s="3"/>
      <c r="E743" s="3"/>
      <c r="F743" s="3"/>
      <c r="G743" s="23"/>
      <c r="H743" s="24"/>
      <c r="I743" s="3"/>
      <c r="J743" s="3"/>
      <c r="K743" s="3"/>
      <c r="L743" s="3"/>
      <c r="M743" s="3"/>
      <c r="N743" s="3"/>
      <c r="O743" s="3"/>
      <c r="P743" s="3"/>
      <c r="Q743" s="3"/>
      <c r="R743" s="3"/>
      <c r="S743" s="3"/>
      <c r="T743" s="3"/>
      <c r="U743" s="3"/>
      <c r="V743" s="3"/>
      <c r="W743" s="3"/>
      <c r="X743" s="3"/>
      <c r="Y743" s="3"/>
    </row>
    <row r="744" ht="14.25" customHeight="1">
      <c r="A744" s="3"/>
      <c r="B744" s="3"/>
      <c r="C744" s="3"/>
      <c r="D744" s="3"/>
      <c r="E744" s="3"/>
      <c r="F744" s="3"/>
      <c r="G744" s="23"/>
      <c r="H744" s="24"/>
      <c r="I744" s="3"/>
      <c r="J744" s="3"/>
      <c r="K744" s="3"/>
      <c r="L744" s="3"/>
      <c r="M744" s="3"/>
      <c r="N744" s="3"/>
      <c r="O744" s="3"/>
      <c r="P744" s="3"/>
      <c r="Q744" s="3"/>
      <c r="R744" s="3"/>
      <c r="S744" s="3"/>
      <c r="T744" s="3"/>
      <c r="U744" s="3"/>
      <c r="V744" s="3"/>
      <c r="W744" s="3"/>
      <c r="X744" s="3"/>
      <c r="Y744" s="3"/>
    </row>
    <row r="745" ht="14.25" customHeight="1">
      <c r="A745" s="3"/>
      <c r="B745" s="3"/>
      <c r="C745" s="3"/>
      <c r="D745" s="3"/>
      <c r="E745" s="3"/>
      <c r="F745" s="3"/>
      <c r="G745" s="23"/>
      <c r="H745" s="24"/>
      <c r="I745" s="3"/>
      <c r="J745" s="3"/>
      <c r="K745" s="3"/>
      <c r="L745" s="3"/>
      <c r="M745" s="3"/>
      <c r="N745" s="3"/>
      <c r="O745" s="3"/>
      <c r="P745" s="3"/>
      <c r="Q745" s="3"/>
      <c r="R745" s="3"/>
      <c r="S745" s="3"/>
      <c r="T745" s="3"/>
      <c r="U745" s="3"/>
      <c r="V745" s="3"/>
      <c r="W745" s="3"/>
      <c r="X745" s="3"/>
      <c r="Y745" s="3"/>
    </row>
    <row r="746" ht="14.25" customHeight="1">
      <c r="A746" s="3"/>
      <c r="B746" s="3"/>
      <c r="C746" s="3"/>
      <c r="D746" s="3"/>
      <c r="E746" s="3"/>
      <c r="F746" s="3"/>
      <c r="G746" s="23"/>
      <c r="H746" s="24"/>
      <c r="I746" s="3"/>
      <c r="J746" s="3"/>
      <c r="K746" s="3"/>
      <c r="L746" s="3"/>
      <c r="M746" s="3"/>
      <c r="N746" s="3"/>
      <c r="O746" s="3"/>
      <c r="P746" s="3"/>
      <c r="Q746" s="3"/>
      <c r="R746" s="3"/>
      <c r="S746" s="3"/>
      <c r="T746" s="3"/>
      <c r="U746" s="3"/>
      <c r="V746" s="3"/>
      <c r="W746" s="3"/>
      <c r="X746" s="3"/>
      <c r="Y746" s="3"/>
    </row>
    <row r="747" ht="14.25" customHeight="1">
      <c r="A747" s="3"/>
      <c r="B747" s="3"/>
      <c r="C747" s="3"/>
      <c r="D747" s="3"/>
      <c r="E747" s="3"/>
      <c r="F747" s="3"/>
      <c r="G747" s="23"/>
      <c r="H747" s="24"/>
      <c r="I747" s="3"/>
      <c r="J747" s="3"/>
      <c r="K747" s="3"/>
      <c r="L747" s="3"/>
      <c r="M747" s="3"/>
      <c r="N747" s="3"/>
      <c r="O747" s="3"/>
      <c r="P747" s="3"/>
      <c r="Q747" s="3"/>
      <c r="R747" s="3"/>
      <c r="S747" s="3"/>
      <c r="T747" s="3"/>
      <c r="U747" s="3"/>
      <c r="V747" s="3"/>
      <c r="W747" s="3"/>
      <c r="X747" s="3"/>
      <c r="Y747" s="3"/>
    </row>
    <row r="748" ht="14.25" customHeight="1">
      <c r="A748" s="3"/>
      <c r="B748" s="3"/>
      <c r="C748" s="3"/>
      <c r="D748" s="3"/>
      <c r="E748" s="3"/>
      <c r="F748" s="3"/>
      <c r="G748" s="23"/>
      <c r="H748" s="24"/>
      <c r="I748" s="3"/>
      <c r="J748" s="3"/>
      <c r="K748" s="3"/>
      <c r="L748" s="3"/>
      <c r="M748" s="3"/>
      <c r="N748" s="3"/>
      <c r="O748" s="3"/>
      <c r="P748" s="3"/>
      <c r="Q748" s="3"/>
      <c r="R748" s="3"/>
      <c r="S748" s="3"/>
      <c r="T748" s="3"/>
      <c r="U748" s="3"/>
      <c r="V748" s="3"/>
      <c r="W748" s="3"/>
      <c r="X748" s="3"/>
      <c r="Y748" s="3"/>
    </row>
    <row r="749" ht="14.25" customHeight="1">
      <c r="A749" s="3"/>
      <c r="B749" s="3"/>
      <c r="C749" s="3"/>
      <c r="D749" s="3"/>
      <c r="E749" s="3"/>
      <c r="F749" s="3"/>
      <c r="G749" s="23"/>
      <c r="H749" s="24"/>
      <c r="I749" s="3"/>
      <c r="J749" s="3"/>
      <c r="K749" s="3"/>
      <c r="L749" s="3"/>
      <c r="M749" s="3"/>
      <c r="N749" s="3"/>
      <c r="O749" s="3"/>
      <c r="P749" s="3"/>
      <c r="Q749" s="3"/>
      <c r="R749" s="3"/>
      <c r="S749" s="3"/>
      <c r="T749" s="3"/>
      <c r="U749" s="3"/>
      <c r="V749" s="3"/>
      <c r="W749" s="3"/>
      <c r="X749" s="3"/>
      <c r="Y749" s="3"/>
    </row>
    <row r="750" ht="14.25" customHeight="1">
      <c r="A750" s="3"/>
      <c r="B750" s="3"/>
      <c r="C750" s="3"/>
      <c r="D750" s="3"/>
      <c r="E750" s="3"/>
      <c r="F750" s="3"/>
      <c r="G750" s="23"/>
      <c r="H750" s="24"/>
      <c r="I750" s="3"/>
      <c r="J750" s="3"/>
      <c r="K750" s="3"/>
      <c r="L750" s="3"/>
      <c r="M750" s="3"/>
      <c r="N750" s="3"/>
      <c r="O750" s="3"/>
      <c r="P750" s="3"/>
      <c r="Q750" s="3"/>
      <c r="R750" s="3"/>
      <c r="S750" s="3"/>
      <c r="T750" s="3"/>
      <c r="U750" s="3"/>
      <c r="V750" s="3"/>
      <c r="W750" s="3"/>
      <c r="X750" s="3"/>
      <c r="Y750" s="3"/>
    </row>
    <row r="751" ht="14.25" customHeight="1">
      <c r="A751" s="3"/>
      <c r="B751" s="3"/>
      <c r="C751" s="3"/>
      <c r="D751" s="3"/>
      <c r="E751" s="3"/>
      <c r="F751" s="3"/>
      <c r="G751" s="23"/>
      <c r="H751" s="24"/>
      <c r="I751" s="3"/>
      <c r="J751" s="3"/>
      <c r="K751" s="3"/>
      <c r="L751" s="3"/>
      <c r="M751" s="3"/>
      <c r="N751" s="3"/>
      <c r="O751" s="3"/>
      <c r="P751" s="3"/>
      <c r="Q751" s="3"/>
      <c r="R751" s="3"/>
      <c r="S751" s="3"/>
      <c r="T751" s="3"/>
      <c r="U751" s="3"/>
      <c r="V751" s="3"/>
      <c r="W751" s="3"/>
      <c r="X751" s="3"/>
      <c r="Y751" s="3"/>
    </row>
    <row r="752" ht="14.25" customHeight="1">
      <c r="A752" s="3"/>
      <c r="B752" s="3"/>
      <c r="C752" s="3"/>
      <c r="D752" s="3"/>
      <c r="E752" s="3"/>
      <c r="F752" s="3"/>
      <c r="G752" s="23"/>
      <c r="H752" s="24"/>
      <c r="I752" s="3"/>
      <c r="J752" s="3"/>
      <c r="K752" s="3"/>
      <c r="L752" s="3"/>
      <c r="M752" s="3"/>
      <c r="N752" s="3"/>
      <c r="O752" s="3"/>
      <c r="P752" s="3"/>
      <c r="Q752" s="3"/>
      <c r="R752" s="3"/>
      <c r="S752" s="3"/>
      <c r="T752" s="3"/>
      <c r="U752" s="3"/>
      <c r="V752" s="3"/>
      <c r="W752" s="3"/>
      <c r="X752" s="3"/>
      <c r="Y752" s="3"/>
    </row>
    <row r="753" ht="14.25" customHeight="1">
      <c r="A753" s="3"/>
      <c r="B753" s="3"/>
      <c r="C753" s="3"/>
      <c r="D753" s="3"/>
      <c r="E753" s="3"/>
      <c r="F753" s="3"/>
      <c r="G753" s="23"/>
      <c r="H753" s="24"/>
      <c r="I753" s="3"/>
      <c r="J753" s="3"/>
      <c r="K753" s="3"/>
      <c r="L753" s="3"/>
      <c r="M753" s="3"/>
      <c r="N753" s="3"/>
      <c r="O753" s="3"/>
      <c r="P753" s="3"/>
      <c r="Q753" s="3"/>
      <c r="R753" s="3"/>
      <c r="S753" s="3"/>
      <c r="T753" s="3"/>
      <c r="U753" s="3"/>
      <c r="V753" s="3"/>
      <c r="W753" s="3"/>
      <c r="X753" s="3"/>
      <c r="Y753" s="3"/>
    </row>
    <row r="754" ht="14.25" customHeight="1">
      <c r="A754" s="3"/>
      <c r="B754" s="3"/>
      <c r="C754" s="3"/>
      <c r="D754" s="3"/>
      <c r="E754" s="3"/>
      <c r="F754" s="3"/>
      <c r="G754" s="23"/>
      <c r="H754" s="24"/>
      <c r="I754" s="3"/>
      <c r="J754" s="3"/>
      <c r="K754" s="3"/>
      <c r="L754" s="3"/>
      <c r="M754" s="3"/>
      <c r="N754" s="3"/>
      <c r="O754" s="3"/>
      <c r="P754" s="3"/>
      <c r="Q754" s="3"/>
      <c r="R754" s="3"/>
      <c r="S754" s="3"/>
      <c r="T754" s="3"/>
      <c r="U754" s="3"/>
      <c r="V754" s="3"/>
      <c r="W754" s="3"/>
      <c r="X754" s="3"/>
      <c r="Y754" s="3"/>
    </row>
    <row r="755" ht="14.25" customHeight="1">
      <c r="A755" s="3"/>
      <c r="B755" s="3"/>
      <c r="C755" s="3"/>
      <c r="D755" s="3"/>
      <c r="E755" s="3"/>
      <c r="F755" s="3"/>
      <c r="G755" s="23"/>
      <c r="H755" s="24"/>
      <c r="I755" s="3"/>
      <c r="J755" s="3"/>
      <c r="K755" s="3"/>
      <c r="L755" s="3"/>
      <c r="M755" s="3"/>
      <c r="N755" s="3"/>
      <c r="O755" s="3"/>
      <c r="P755" s="3"/>
      <c r="Q755" s="3"/>
      <c r="R755" s="3"/>
      <c r="S755" s="3"/>
      <c r="T755" s="3"/>
      <c r="U755" s="3"/>
      <c r="V755" s="3"/>
      <c r="W755" s="3"/>
      <c r="X755" s="3"/>
      <c r="Y755" s="3"/>
    </row>
    <row r="756" ht="14.25" customHeight="1">
      <c r="A756" s="3"/>
      <c r="B756" s="3"/>
      <c r="C756" s="3"/>
      <c r="D756" s="3"/>
      <c r="E756" s="3"/>
      <c r="F756" s="3"/>
      <c r="G756" s="23"/>
      <c r="H756" s="24"/>
      <c r="I756" s="3"/>
      <c r="J756" s="3"/>
      <c r="K756" s="3"/>
      <c r="L756" s="3"/>
      <c r="M756" s="3"/>
      <c r="N756" s="3"/>
      <c r="O756" s="3"/>
      <c r="P756" s="3"/>
      <c r="Q756" s="3"/>
      <c r="R756" s="3"/>
      <c r="S756" s="3"/>
      <c r="T756" s="3"/>
      <c r="U756" s="3"/>
      <c r="V756" s="3"/>
      <c r="W756" s="3"/>
      <c r="X756" s="3"/>
      <c r="Y756" s="3"/>
    </row>
    <row r="757" ht="14.25" customHeight="1">
      <c r="A757" s="3"/>
      <c r="B757" s="3"/>
      <c r="C757" s="3"/>
      <c r="D757" s="3"/>
      <c r="E757" s="3"/>
      <c r="F757" s="3"/>
      <c r="G757" s="23"/>
      <c r="H757" s="24"/>
      <c r="I757" s="3"/>
      <c r="J757" s="3"/>
      <c r="K757" s="3"/>
      <c r="L757" s="3"/>
      <c r="M757" s="3"/>
      <c r="N757" s="3"/>
      <c r="O757" s="3"/>
      <c r="P757" s="3"/>
      <c r="Q757" s="3"/>
      <c r="R757" s="3"/>
      <c r="S757" s="3"/>
      <c r="T757" s="3"/>
      <c r="U757" s="3"/>
      <c r="V757" s="3"/>
      <c r="W757" s="3"/>
      <c r="X757" s="3"/>
      <c r="Y757" s="3"/>
    </row>
    <row r="758" ht="14.25" customHeight="1">
      <c r="A758" s="3"/>
      <c r="B758" s="3"/>
      <c r="C758" s="3"/>
      <c r="D758" s="3"/>
      <c r="E758" s="3"/>
      <c r="F758" s="3"/>
      <c r="G758" s="23"/>
      <c r="H758" s="24"/>
      <c r="I758" s="3"/>
      <c r="J758" s="3"/>
      <c r="K758" s="3"/>
      <c r="L758" s="3"/>
      <c r="M758" s="3"/>
      <c r="N758" s="3"/>
      <c r="O758" s="3"/>
      <c r="P758" s="3"/>
      <c r="Q758" s="3"/>
      <c r="R758" s="3"/>
      <c r="S758" s="3"/>
      <c r="T758" s="3"/>
      <c r="U758" s="3"/>
      <c r="V758" s="3"/>
      <c r="W758" s="3"/>
      <c r="X758" s="3"/>
      <c r="Y758" s="3"/>
    </row>
    <row r="759" ht="14.25" customHeight="1">
      <c r="A759" s="3"/>
      <c r="B759" s="3"/>
      <c r="C759" s="3"/>
      <c r="D759" s="3"/>
      <c r="E759" s="3"/>
      <c r="F759" s="3"/>
      <c r="G759" s="23"/>
      <c r="H759" s="24"/>
      <c r="I759" s="3"/>
      <c r="J759" s="3"/>
      <c r="K759" s="3"/>
      <c r="L759" s="3"/>
      <c r="M759" s="3"/>
      <c r="N759" s="3"/>
      <c r="O759" s="3"/>
      <c r="P759" s="3"/>
      <c r="Q759" s="3"/>
      <c r="R759" s="3"/>
      <c r="S759" s="3"/>
      <c r="T759" s="3"/>
      <c r="U759" s="3"/>
      <c r="V759" s="3"/>
      <c r="W759" s="3"/>
      <c r="X759" s="3"/>
      <c r="Y759" s="3"/>
    </row>
    <row r="760" ht="14.25" customHeight="1">
      <c r="A760" s="3"/>
      <c r="B760" s="3"/>
      <c r="C760" s="3"/>
      <c r="D760" s="3"/>
      <c r="E760" s="3"/>
      <c r="F760" s="3"/>
      <c r="G760" s="23"/>
      <c r="H760" s="24"/>
      <c r="I760" s="3"/>
      <c r="J760" s="3"/>
      <c r="K760" s="3"/>
      <c r="L760" s="3"/>
      <c r="M760" s="3"/>
      <c r="N760" s="3"/>
      <c r="O760" s="3"/>
      <c r="P760" s="3"/>
      <c r="Q760" s="3"/>
      <c r="R760" s="3"/>
      <c r="S760" s="3"/>
      <c r="T760" s="3"/>
      <c r="U760" s="3"/>
      <c r="V760" s="3"/>
      <c r="W760" s="3"/>
      <c r="X760" s="3"/>
      <c r="Y760" s="3"/>
    </row>
    <row r="761" ht="14.25" customHeight="1">
      <c r="A761" s="3"/>
      <c r="B761" s="3"/>
      <c r="C761" s="3"/>
      <c r="D761" s="3"/>
      <c r="E761" s="3"/>
      <c r="F761" s="3"/>
      <c r="G761" s="23"/>
      <c r="H761" s="24"/>
      <c r="I761" s="3"/>
      <c r="J761" s="3"/>
      <c r="K761" s="3"/>
      <c r="L761" s="3"/>
      <c r="M761" s="3"/>
      <c r="N761" s="3"/>
      <c r="O761" s="3"/>
      <c r="P761" s="3"/>
      <c r="Q761" s="3"/>
      <c r="R761" s="3"/>
      <c r="S761" s="3"/>
      <c r="T761" s="3"/>
      <c r="U761" s="3"/>
      <c r="V761" s="3"/>
      <c r="W761" s="3"/>
      <c r="X761" s="3"/>
      <c r="Y761" s="3"/>
    </row>
    <row r="762" ht="14.25" customHeight="1">
      <c r="A762" s="3"/>
      <c r="B762" s="3"/>
      <c r="C762" s="3"/>
      <c r="D762" s="3"/>
      <c r="E762" s="3"/>
      <c r="F762" s="3"/>
      <c r="G762" s="23"/>
      <c r="H762" s="24"/>
      <c r="I762" s="3"/>
      <c r="J762" s="3"/>
      <c r="K762" s="3"/>
      <c r="L762" s="3"/>
      <c r="M762" s="3"/>
      <c r="N762" s="3"/>
      <c r="O762" s="3"/>
      <c r="P762" s="3"/>
      <c r="Q762" s="3"/>
      <c r="R762" s="3"/>
      <c r="S762" s="3"/>
      <c r="T762" s="3"/>
      <c r="U762" s="3"/>
      <c r="V762" s="3"/>
      <c r="W762" s="3"/>
      <c r="X762" s="3"/>
      <c r="Y762" s="3"/>
    </row>
    <row r="763" ht="14.25" customHeight="1">
      <c r="A763" s="3"/>
      <c r="B763" s="3"/>
      <c r="C763" s="3"/>
      <c r="D763" s="3"/>
      <c r="E763" s="3"/>
      <c r="F763" s="3"/>
      <c r="G763" s="23"/>
      <c r="H763" s="24"/>
      <c r="I763" s="3"/>
      <c r="J763" s="3"/>
      <c r="K763" s="3"/>
      <c r="L763" s="3"/>
      <c r="M763" s="3"/>
      <c r="N763" s="3"/>
      <c r="O763" s="3"/>
      <c r="P763" s="3"/>
      <c r="Q763" s="3"/>
      <c r="R763" s="3"/>
      <c r="S763" s="3"/>
      <c r="T763" s="3"/>
      <c r="U763" s="3"/>
      <c r="V763" s="3"/>
      <c r="W763" s="3"/>
      <c r="X763" s="3"/>
      <c r="Y763" s="3"/>
    </row>
    <row r="764" ht="14.25" customHeight="1">
      <c r="A764" s="3"/>
      <c r="B764" s="3"/>
      <c r="C764" s="3"/>
      <c r="D764" s="3"/>
      <c r="E764" s="3"/>
      <c r="F764" s="3"/>
      <c r="G764" s="23"/>
      <c r="H764" s="24"/>
      <c r="I764" s="3"/>
      <c r="J764" s="3"/>
      <c r="K764" s="3"/>
      <c r="L764" s="3"/>
      <c r="M764" s="3"/>
      <c r="N764" s="3"/>
      <c r="O764" s="3"/>
      <c r="P764" s="3"/>
      <c r="Q764" s="3"/>
      <c r="R764" s="3"/>
      <c r="S764" s="3"/>
      <c r="T764" s="3"/>
      <c r="U764" s="3"/>
      <c r="V764" s="3"/>
      <c r="W764" s="3"/>
      <c r="X764" s="3"/>
      <c r="Y764" s="3"/>
    </row>
    <row r="765" ht="14.25" customHeight="1">
      <c r="A765" s="3"/>
      <c r="B765" s="3"/>
      <c r="C765" s="3"/>
      <c r="D765" s="3"/>
      <c r="E765" s="3"/>
      <c r="F765" s="3"/>
      <c r="G765" s="23"/>
      <c r="H765" s="24"/>
      <c r="I765" s="3"/>
      <c r="J765" s="3"/>
      <c r="K765" s="3"/>
      <c r="L765" s="3"/>
      <c r="M765" s="3"/>
      <c r="N765" s="3"/>
      <c r="O765" s="3"/>
      <c r="P765" s="3"/>
      <c r="Q765" s="3"/>
      <c r="R765" s="3"/>
      <c r="S765" s="3"/>
      <c r="T765" s="3"/>
      <c r="U765" s="3"/>
      <c r="V765" s="3"/>
      <c r="W765" s="3"/>
      <c r="X765" s="3"/>
      <c r="Y765" s="3"/>
    </row>
    <row r="766" ht="14.25" customHeight="1">
      <c r="A766" s="3"/>
      <c r="B766" s="3"/>
      <c r="C766" s="3"/>
      <c r="D766" s="3"/>
      <c r="E766" s="3"/>
      <c r="F766" s="3"/>
      <c r="G766" s="23"/>
      <c r="H766" s="24"/>
      <c r="I766" s="3"/>
      <c r="J766" s="3"/>
      <c r="K766" s="3"/>
      <c r="L766" s="3"/>
      <c r="M766" s="3"/>
      <c r="N766" s="3"/>
      <c r="O766" s="3"/>
      <c r="P766" s="3"/>
      <c r="Q766" s="3"/>
      <c r="R766" s="3"/>
      <c r="S766" s="3"/>
      <c r="T766" s="3"/>
      <c r="U766" s="3"/>
      <c r="V766" s="3"/>
      <c r="W766" s="3"/>
      <c r="X766" s="3"/>
      <c r="Y766" s="3"/>
    </row>
    <row r="767" ht="14.25" customHeight="1">
      <c r="A767" s="3"/>
      <c r="B767" s="3"/>
      <c r="C767" s="3"/>
      <c r="D767" s="3"/>
      <c r="E767" s="3"/>
      <c r="F767" s="3"/>
      <c r="G767" s="23"/>
      <c r="H767" s="24"/>
      <c r="I767" s="3"/>
      <c r="J767" s="3"/>
      <c r="K767" s="3"/>
      <c r="L767" s="3"/>
      <c r="M767" s="3"/>
      <c r="N767" s="3"/>
      <c r="O767" s="3"/>
      <c r="P767" s="3"/>
      <c r="Q767" s="3"/>
      <c r="R767" s="3"/>
      <c r="S767" s="3"/>
      <c r="T767" s="3"/>
      <c r="U767" s="3"/>
      <c r="V767" s="3"/>
      <c r="W767" s="3"/>
      <c r="X767" s="3"/>
      <c r="Y767" s="3"/>
    </row>
    <row r="768" ht="14.25" customHeight="1">
      <c r="A768" s="3"/>
      <c r="B768" s="3"/>
      <c r="C768" s="3"/>
      <c r="D768" s="3"/>
      <c r="E768" s="3"/>
      <c r="F768" s="3"/>
      <c r="G768" s="23"/>
      <c r="H768" s="24"/>
      <c r="I768" s="3"/>
      <c r="J768" s="3"/>
      <c r="K768" s="3"/>
      <c r="L768" s="3"/>
      <c r="M768" s="3"/>
      <c r="N768" s="3"/>
      <c r="O768" s="3"/>
      <c r="P768" s="3"/>
      <c r="Q768" s="3"/>
      <c r="R768" s="3"/>
      <c r="S768" s="3"/>
      <c r="T768" s="3"/>
      <c r="U768" s="3"/>
      <c r="V768" s="3"/>
      <c r="W768" s="3"/>
      <c r="X768" s="3"/>
      <c r="Y768" s="3"/>
    </row>
    <row r="769" ht="14.25" customHeight="1">
      <c r="A769" s="3"/>
      <c r="B769" s="3"/>
      <c r="C769" s="3"/>
      <c r="D769" s="3"/>
      <c r="E769" s="3"/>
      <c r="F769" s="3"/>
      <c r="G769" s="23"/>
      <c r="H769" s="24"/>
      <c r="I769" s="3"/>
      <c r="J769" s="3"/>
      <c r="K769" s="3"/>
      <c r="L769" s="3"/>
      <c r="M769" s="3"/>
      <c r="N769" s="3"/>
      <c r="O769" s="3"/>
      <c r="P769" s="3"/>
      <c r="Q769" s="3"/>
      <c r="R769" s="3"/>
      <c r="S769" s="3"/>
      <c r="T769" s="3"/>
      <c r="U769" s="3"/>
      <c r="V769" s="3"/>
      <c r="W769" s="3"/>
      <c r="X769" s="3"/>
      <c r="Y769" s="3"/>
    </row>
    <row r="770" ht="14.25" customHeight="1">
      <c r="A770" s="3"/>
      <c r="B770" s="3"/>
      <c r="C770" s="3"/>
      <c r="D770" s="3"/>
      <c r="E770" s="3"/>
      <c r="F770" s="3"/>
      <c r="G770" s="23"/>
      <c r="H770" s="24"/>
      <c r="I770" s="3"/>
      <c r="J770" s="3"/>
      <c r="K770" s="3"/>
      <c r="L770" s="3"/>
      <c r="M770" s="3"/>
      <c r="N770" s="3"/>
      <c r="O770" s="3"/>
      <c r="P770" s="3"/>
      <c r="Q770" s="3"/>
      <c r="R770" s="3"/>
      <c r="S770" s="3"/>
      <c r="T770" s="3"/>
      <c r="U770" s="3"/>
      <c r="V770" s="3"/>
      <c r="W770" s="3"/>
      <c r="X770" s="3"/>
      <c r="Y770" s="3"/>
    </row>
    <row r="771" ht="14.25" customHeight="1">
      <c r="A771" s="3"/>
      <c r="B771" s="3"/>
      <c r="C771" s="3"/>
      <c r="D771" s="3"/>
      <c r="E771" s="3"/>
      <c r="F771" s="3"/>
      <c r="G771" s="23"/>
      <c r="H771" s="24"/>
      <c r="I771" s="3"/>
      <c r="J771" s="3"/>
      <c r="K771" s="3"/>
      <c r="L771" s="3"/>
      <c r="M771" s="3"/>
      <c r="N771" s="3"/>
      <c r="O771" s="3"/>
      <c r="P771" s="3"/>
      <c r="Q771" s="3"/>
      <c r="R771" s="3"/>
      <c r="S771" s="3"/>
      <c r="T771" s="3"/>
      <c r="U771" s="3"/>
      <c r="V771" s="3"/>
      <c r="W771" s="3"/>
      <c r="X771" s="3"/>
      <c r="Y771" s="3"/>
    </row>
    <row r="772" ht="14.25" customHeight="1">
      <c r="A772" s="3"/>
      <c r="B772" s="3"/>
      <c r="C772" s="3"/>
      <c r="D772" s="3"/>
      <c r="E772" s="3"/>
      <c r="F772" s="3"/>
      <c r="G772" s="23"/>
      <c r="H772" s="24"/>
      <c r="I772" s="3"/>
      <c r="J772" s="3"/>
      <c r="K772" s="3"/>
      <c r="L772" s="3"/>
      <c r="M772" s="3"/>
      <c r="N772" s="3"/>
      <c r="O772" s="3"/>
      <c r="P772" s="3"/>
      <c r="Q772" s="3"/>
      <c r="R772" s="3"/>
      <c r="S772" s="3"/>
      <c r="T772" s="3"/>
      <c r="U772" s="3"/>
      <c r="V772" s="3"/>
      <c r="W772" s="3"/>
      <c r="X772" s="3"/>
      <c r="Y772" s="3"/>
    </row>
    <row r="773" ht="14.25" customHeight="1">
      <c r="A773" s="3"/>
      <c r="B773" s="3"/>
      <c r="C773" s="3"/>
      <c r="D773" s="3"/>
      <c r="E773" s="3"/>
      <c r="F773" s="3"/>
      <c r="G773" s="23"/>
      <c r="H773" s="24"/>
      <c r="I773" s="3"/>
      <c r="J773" s="3"/>
      <c r="K773" s="3"/>
      <c r="L773" s="3"/>
      <c r="M773" s="3"/>
      <c r="N773" s="3"/>
      <c r="O773" s="3"/>
      <c r="P773" s="3"/>
      <c r="Q773" s="3"/>
      <c r="R773" s="3"/>
      <c r="S773" s="3"/>
      <c r="T773" s="3"/>
      <c r="U773" s="3"/>
      <c r="V773" s="3"/>
      <c r="W773" s="3"/>
      <c r="X773" s="3"/>
      <c r="Y773" s="3"/>
    </row>
    <row r="774" ht="14.25" customHeight="1">
      <c r="A774" s="3"/>
      <c r="B774" s="3"/>
      <c r="C774" s="3"/>
      <c r="D774" s="3"/>
      <c r="E774" s="3"/>
      <c r="F774" s="3"/>
      <c r="G774" s="23"/>
      <c r="H774" s="24"/>
      <c r="I774" s="3"/>
      <c r="J774" s="3"/>
      <c r="K774" s="3"/>
      <c r="L774" s="3"/>
      <c r="M774" s="3"/>
      <c r="N774" s="3"/>
      <c r="O774" s="3"/>
      <c r="P774" s="3"/>
      <c r="Q774" s="3"/>
      <c r="R774" s="3"/>
      <c r="S774" s="3"/>
      <c r="T774" s="3"/>
      <c r="U774" s="3"/>
      <c r="V774" s="3"/>
      <c r="W774" s="3"/>
      <c r="X774" s="3"/>
      <c r="Y774" s="3"/>
    </row>
    <row r="775" ht="14.25" customHeight="1">
      <c r="A775" s="3"/>
      <c r="B775" s="3"/>
      <c r="C775" s="3"/>
      <c r="D775" s="3"/>
      <c r="E775" s="3"/>
      <c r="F775" s="3"/>
      <c r="G775" s="23"/>
      <c r="H775" s="24"/>
      <c r="I775" s="3"/>
      <c r="J775" s="3"/>
      <c r="K775" s="3"/>
      <c r="L775" s="3"/>
      <c r="M775" s="3"/>
      <c r="N775" s="3"/>
      <c r="O775" s="3"/>
      <c r="P775" s="3"/>
      <c r="Q775" s="3"/>
      <c r="R775" s="3"/>
      <c r="S775" s="3"/>
      <c r="T775" s="3"/>
      <c r="U775" s="3"/>
      <c r="V775" s="3"/>
      <c r="W775" s="3"/>
      <c r="X775" s="3"/>
      <c r="Y775" s="3"/>
    </row>
    <row r="776" ht="14.25" customHeight="1">
      <c r="A776" s="3"/>
      <c r="B776" s="3"/>
      <c r="C776" s="3"/>
      <c r="D776" s="3"/>
      <c r="E776" s="3"/>
      <c r="F776" s="3"/>
      <c r="G776" s="23"/>
      <c r="H776" s="24"/>
      <c r="I776" s="3"/>
      <c r="J776" s="3"/>
      <c r="K776" s="3"/>
      <c r="L776" s="3"/>
      <c r="M776" s="3"/>
      <c r="N776" s="3"/>
      <c r="O776" s="3"/>
      <c r="P776" s="3"/>
      <c r="Q776" s="3"/>
      <c r="R776" s="3"/>
      <c r="S776" s="3"/>
      <c r="T776" s="3"/>
      <c r="U776" s="3"/>
      <c r="V776" s="3"/>
      <c r="W776" s="3"/>
      <c r="X776" s="3"/>
      <c r="Y776" s="3"/>
    </row>
    <row r="777" ht="14.25" customHeight="1">
      <c r="A777" s="3"/>
      <c r="B777" s="3"/>
      <c r="C777" s="3"/>
      <c r="D777" s="3"/>
      <c r="E777" s="3"/>
      <c r="F777" s="3"/>
      <c r="G777" s="23"/>
      <c r="H777" s="24"/>
      <c r="I777" s="3"/>
      <c r="J777" s="3"/>
      <c r="K777" s="3"/>
      <c r="L777" s="3"/>
      <c r="M777" s="3"/>
      <c r="N777" s="3"/>
      <c r="O777" s="3"/>
      <c r="P777" s="3"/>
      <c r="Q777" s="3"/>
      <c r="R777" s="3"/>
      <c r="S777" s="3"/>
      <c r="T777" s="3"/>
      <c r="U777" s="3"/>
      <c r="V777" s="3"/>
      <c r="W777" s="3"/>
      <c r="X777" s="3"/>
      <c r="Y777" s="3"/>
    </row>
    <row r="778" ht="14.25" customHeight="1">
      <c r="A778" s="3"/>
      <c r="B778" s="3"/>
      <c r="C778" s="3"/>
      <c r="D778" s="3"/>
      <c r="E778" s="3"/>
      <c r="F778" s="3"/>
      <c r="G778" s="23"/>
      <c r="H778" s="24"/>
      <c r="I778" s="3"/>
      <c r="J778" s="3"/>
      <c r="K778" s="3"/>
      <c r="L778" s="3"/>
      <c r="M778" s="3"/>
      <c r="N778" s="3"/>
      <c r="O778" s="3"/>
      <c r="P778" s="3"/>
      <c r="Q778" s="3"/>
      <c r="R778" s="3"/>
      <c r="S778" s="3"/>
      <c r="T778" s="3"/>
      <c r="U778" s="3"/>
      <c r="V778" s="3"/>
      <c r="W778" s="3"/>
      <c r="X778" s="3"/>
      <c r="Y778" s="3"/>
    </row>
    <row r="779" ht="14.25" customHeight="1">
      <c r="A779" s="3"/>
      <c r="B779" s="3"/>
      <c r="C779" s="3"/>
      <c r="D779" s="3"/>
      <c r="E779" s="3"/>
      <c r="F779" s="3"/>
      <c r="G779" s="23"/>
      <c r="H779" s="24"/>
      <c r="I779" s="3"/>
      <c r="J779" s="3"/>
      <c r="K779" s="3"/>
      <c r="L779" s="3"/>
      <c r="M779" s="3"/>
      <c r="N779" s="3"/>
      <c r="O779" s="3"/>
      <c r="P779" s="3"/>
      <c r="Q779" s="3"/>
      <c r="R779" s="3"/>
      <c r="S779" s="3"/>
      <c r="T779" s="3"/>
      <c r="U779" s="3"/>
      <c r="V779" s="3"/>
      <c r="W779" s="3"/>
      <c r="X779" s="3"/>
      <c r="Y779" s="3"/>
    </row>
    <row r="780" ht="14.25" customHeight="1">
      <c r="A780" s="3"/>
      <c r="B780" s="3"/>
      <c r="C780" s="3"/>
      <c r="D780" s="3"/>
      <c r="E780" s="3"/>
      <c r="F780" s="3"/>
      <c r="G780" s="23"/>
      <c r="H780" s="24"/>
      <c r="I780" s="3"/>
      <c r="J780" s="3"/>
      <c r="K780" s="3"/>
      <c r="L780" s="3"/>
      <c r="M780" s="3"/>
      <c r="N780" s="3"/>
      <c r="O780" s="3"/>
      <c r="P780" s="3"/>
      <c r="Q780" s="3"/>
      <c r="R780" s="3"/>
      <c r="S780" s="3"/>
      <c r="T780" s="3"/>
      <c r="U780" s="3"/>
      <c r="V780" s="3"/>
      <c r="W780" s="3"/>
      <c r="X780" s="3"/>
      <c r="Y780" s="3"/>
    </row>
    <row r="781" ht="14.25" customHeight="1">
      <c r="A781" s="3"/>
      <c r="B781" s="3"/>
      <c r="C781" s="3"/>
      <c r="D781" s="3"/>
      <c r="E781" s="3"/>
      <c r="F781" s="3"/>
      <c r="G781" s="23"/>
      <c r="H781" s="24"/>
      <c r="I781" s="3"/>
      <c r="J781" s="3"/>
      <c r="K781" s="3"/>
      <c r="L781" s="3"/>
      <c r="M781" s="3"/>
      <c r="N781" s="3"/>
      <c r="O781" s="3"/>
      <c r="P781" s="3"/>
      <c r="Q781" s="3"/>
      <c r="R781" s="3"/>
      <c r="S781" s="3"/>
      <c r="T781" s="3"/>
      <c r="U781" s="3"/>
      <c r="V781" s="3"/>
      <c r="W781" s="3"/>
      <c r="X781" s="3"/>
      <c r="Y781" s="3"/>
    </row>
    <row r="782" ht="14.25" customHeight="1">
      <c r="A782" s="3"/>
      <c r="B782" s="3"/>
      <c r="C782" s="3"/>
      <c r="D782" s="3"/>
      <c r="E782" s="3"/>
      <c r="F782" s="3"/>
      <c r="G782" s="23"/>
      <c r="H782" s="24"/>
      <c r="I782" s="3"/>
      <c r="J782" s="3"/>
      <c r="K782" s="3"/>
      <c r="L782" s="3"/>
      <c r="M782" s="3"/>
      <c r="N782" s="3"/>
      <c r="O782" s="3"/>
      <c r="P782" s="3"/>
      <c r="Q782" s="3"/>
      <c r="R782" s="3"/>
      <c r="S782" s="3"/>
      <c r="T782" s="3"/>
      <c r="U782" s="3"/>
      <c r="V782" s="3"/>
      <c r="W782" s="3"/>
      <c r="X782" s="3"/>
      <c r="Y782" s="3"/>
    </row>
    <row r="783" ht="14.25" customHeight="1">
      <c r="A783" s="3"/>
      <c r="B783" s="3"/>
      <c r="C783" s="3"/>
      <c r="D783" s="3"/>
      <c r="E783" s="3"/>
      <c r="F783" s="3"/>
      <c r="G783" s="23"/>
      <c r="H783" s="24"/>
      <c r="I783" s="3"/>
      <c r="J783" s="3"/>
      <c r="K783" s="3"/>
      <c r="L783" s="3"/>
      <c r="M783" s="3"/>
      <c r="N783" s="3"/>
      <c r="O783" s="3"/>
      <c r="P783" s="3"/>
      <c r="Q783" s="3"/>
      <c r="R783" s="3"/>
      <c r="S783" s="3"/>
      <c r="T783" s="3"/>
      <c r="U783" s="3"/>
      <c r="V783" s="3"/>
      <c r="W783" s="3"/>
      <c r="X783" s="3"/>
      <c r="Y783" s="3"/>
    </row>
    <row r="784" ht="14.25" customHeight="1">
      <c r="A784" s="3"/>
      <c r="B784" s="3"/>
      <c r="C784" s="3"/>
      <c r="D784" s="3"/>
      <c r="E784" s="3"/>
      <c r="F784" s="3"/>
      <c r="G784" s="23"/>
      <c r="H784" s="24"/>
      <c r="I784" s="3"/>
      <c r="J784" s="3"/>
      <c r="K784" s="3"/>
      <c r="L784" s="3"/>
      <c r="M784" s="3"/>
      <c r="N784" s="3"/>
      <c r="O784" s="3"/>
      <c r="P784" s="3"/>
      <c r="Q784" s="3"/>
      <c r="R784" s="3"/>
      <c r="S784" s="3"/>
      <c r="T784" s="3"/>
      <c r="U784" s="3"/>
      <c r="V784" s="3"/>
      <c r="W784" s="3"/>
      <c r="X784" s="3"/>
      <c r="Y784" s="3"/>
    </row>
    <row r="785" ht="14.25" customHeight="1">
      <c r="A785" s="3"/>
      <c r="B785" s="3"/>
      <c r="C785" s="3"/>
      <c r="D785" s="3"/>
      <c r="E785" s="3"/>
      <c r="F785" s="3"/>
      <c r="G785" s="23"/>
      <c r="H785" s="24"/>
      <c r="I785" s="3"/>
      <c r="J785" s="3"/>
      <c r="K785" s="3"/>
      <c r="L785" s="3"/>
      <c r="M785" s="3"/>
      <c r="N785" s="3"/>
      <c r="O785" s="3"/>
      <c r="P785" s="3"/>
      <c r="Q785" s="3"/>
      <c r="R785" s="3"/>
      <c r="S785" s="3"/>
      <c r="T785" s="3"/>
      <c r="U785" s="3"/>
      <c r="V785" s="3"/>
      <c r="W785" s="3"/>
      <c r="X785" s="3"/>
      <c r="Y785" s="3"/>
    </row>
    <row r="786" ht="14.25" customHeight="1">
      <c r="A786" s="3"/>
      <c r="B786" s="3"/>
      <c r="C786" s="3"/>
      <c r="D786" s="3"/>
      <c r="E786" s="3"/>
      <c r="F786" s="3"/>
      <c r="G786" s="23"/>
      <c r="H786" s="24"/>
      <c r="I786" s="3"/>
      <c r="J786" s="3"/>
      <c r="K786" s="3"/>
      <c r="L786" s="3"/>
      <c r="M786" s="3"/>
      <c r="N786" s="3"/>
      <c r="O786" s="3"/>
      <c r="P786" s="3"/>
      <c r="Q786" s="3"/>
      <c r="R786" s="3"/>
      <c r="S786" s="3"/>
      <c r="T786" s="3"/>
      <c r="U786" s="3"/>
      <c r="V786" s="3"/>
      <c r="W786" s="3"/>
      <c r="X786" s="3"/>
      <c r="Y786" s="3"/>
    </row>
    <row r="787" ht="14.25" customHeight="1">
      <c r="A787" s="3"/>
      <c r="B787" s="3"/>
      <c r="C787" s="3"/>
      <c r="D787" s="3"/>
      <c r="E787" s="3"/>
      <c r="F787" s="3"/>
      <c r="G787" s="23"/>
      <c r="H787" s="24"/>
      <c r="I787" s="3"/>
      <c r="J787" s="3"/>
      <c r="K787" s="3"/>
      <c r="L787" s="3"/>
      <c r="M787" s="3"/>
      <c r="N787" s="3"/>
      <c r="O787" s="3"/>
      <c r="P787" s="3"/>
      <c r="Q787" s="3"/>
      <c r="R787" s="3"/>
      <c r="S787" s="3"/>
      <c r="T787" s="3"/>
      <c r="U787" s="3"/>
      <c r="V787" s="3"/>
      <c r="W787" s="3"/>
      <c r="X787" s="3"/>
      <c r="Y787" s="3"/>
    </row>
    <row r="788" ht="14.25" customHeight="1">
      <c r="A788" s="3"/>
      <c r="B788" s="3"/>
      <c r="C788" s="3"/>
      <c r="D788" s="3"/>
      <c r="E788" s="3"/>
      <c r="F788" s="3"/>
      <c r="G788" s="23"/>
      <c r="H788" s="24"/>
      <c r="I788" s="3"/>
      <c r="J788" s="3"/>
      <c r="K788" s="3"/>
      <c r="L788" s="3"/>
      <c r="M788" s="3"/>
      <c r="N788" s="3"/>
      <c r="O788" s="3"/>
      <c r="P788" s="3"/>
      <c r="Q788" s="3"/>
      <c r="R788" s="3"/>
      <c r="S788" s="3"/>
      <c r="T788" s="3"/>
      <c r="U788" s="3"/>
      <c r="V788" s="3"/>
      <c r="W788" s="3"/>
      <c r="X788" s="3"/>
      <c r="Y788" s="3"/>
    </row>
    <row r="789" ht="14.25" customHeight="1">
      <c r="A789" s="3"/>
      <c r="B789" s="3"/>
      <c r="C789" s="3"/>
      <c r="D789" s="3"/>
      <c r="E789" s="3"/>
      <c r="F789" s="3"/>
      <c r="G789" s="23"/>
      <c r="H789" s="24"/>
      <c r="I789" s="3"/>
      <c r="J789" s="3"/>
      <c r="K789" s="3"/>
      <c r="L789" s="3"/>
      <c r="M789" s="3"/>
      <c r="N789" s="3"/>
      <c r="O789" s="3"/>
      <c r="P789" s="3"/>
      <c r="Q789" s="3"/>
      <c r="R789" s="3"/>
      <c r="S789" s="3"/>
      <c r="T789" s="3"/>
      <c r="U789" s="3"/>
      <c r="V789" s="3"/>
      <c r="W789" s="3"/>
      <c r="X789" s="3"/>
      <c r="Y789" s="3"/>
    </row>
    <row r="790" ht="14.25" customHeight="1">
      <c r="A790" s="3"/>
      <c r="B790" s="3"/>
      <c r="C790" s="3"/>
      <c r="D790" s="3"/>
      <c r="E790" s="3"/>
      <c r="F790" s="3"/>
      <c r="G790" s="23"/>
      <c r="H790" s="24"/>
      <c r="I790" s="3"/>
      <c r="J790" s="3"/>
      <c r="K790" s="3"/>
      <c r="L790" s="3"/>
      <c r="M790" s="3"/>
      <c r="N790" s="3"/>
      <c r="O790" s="3"/>
      <c r="P790" s="3"/>
      <c r="Q790" s="3"/>
      <c r="R790" s="3"/>
      <c r="S790" s="3"/>
      <c r="T790" s="3"/>
      <c r="U790" s="3"/>
      <c r="V790" s="3"/>
      <c r="W790" s="3"/>
      <c r="X790" s="3"/>
      <c r="Y790" s="3"/>
    </row>
    <row r="791" ht="14.25" customHeight="1">
      <c r="A791" s="3"/>
      <c r="B791" s="3"/>
      <c r="C791" s="3"/>
      <c r="D791" s="3"/>
      <c r="E791" s="3"/>
      <c r="F791" s="3"/>
      <c r="G791" s="23"/>
      <c r="H791" s="24"/>
      <c r="I791" s="3"/>
      <c r="J791" s="3"/>
      <c r="K791" s="3"/>
      <c r="L791" s="3"/>
      <c r="M791" s="3"/>
      <c r="N791" s="3"/>
      <c r="O791" s="3"/>
      <c r="P791" s="3"/>
      <c r="Q791" s="3"/>
      <c r="R791" s="3"/>
      <c r="S791" s="3"/>
      <c r="T791" s="3"/>
      <c r="U791" s="3"/>
      <c r="V791" s="3"/>
      <c r="W791" s="3"/>
      <c r="X791" s="3"/>
      <c r="Y791" s="3"/>
    </row>
    <row r="792" ht="14.25" customHeight="1">
      <c r="A792" s="3"/>
      <c r="B792" s="3"/>
      <c r="C792" s="3"/>
      <c r="D792" s="3"/>
      <c r="E792" s="3"/>
      <c r="F792" s="3"/>
      <c r="G792" s="23"/>
      <c r="H792" s="24"/>
      <c r="I792" s="3"/>
      <c r="J792" s="3"/>
      <c r="K792" s="3"/>
      <c r="L792" s="3"/>
      <c r="M792" s="3"/>
      <c r="N792" s="3"/>
      <c r="O792" s="3"/>
      <c r="P792" s="3"/>
      <c r="Q792" s="3"/>
      <c r="R792" s="3"/>
      <c r="S792" s="3"/>
      <c r="T792" s="3"/>
      <c r="U792" s="3"/>
      <c r="V792" s="3"/>
      <c r="W792" s="3"/>
      <c r="X792" s="3"/>
      <c r="Y792" s="3"/>
    </row>
    <row r="793" ht="14.25" customHeight="1">
      <c r="A793" s="3"/>
      <c r="B793" s="3"/>
      <c r="C793" s="3"/>
      <c r="D793" s="3"/>
      <c r="E793" s="3"/>
      <c r="F793" s="3"/>
      <c r="G793" s="23"/>
      <c r="H793" s="24"/>
      <c r="I793" s="3"/>
      <c r="J793" s="3"/>
      <c r="K793" s="3"/>
      <c r="L793" s="3"/>
      <c r="M793" s="3"/>
      <c r="N793" s="3"/>
      <c r="O793" s="3"/>
      <c r="P793" s="3"/>
      <c r="Q793" s="3"/>
      <c r="R793" s="3"/>
      <c r="S793" s="3"/>
      <c r="T793" s="3"/>
      <c r="U793" s="3"/>
      <c r="V793" s="3"/>
      <c r="W793" s="3"/>
      <c r="X793" s="3"/>
      <c r="Y793" s="3"/>
    </row>
    <row r="794" ht="14.25" customHeight="1">
      <c r="A794" s="3"/>
      <c r="B794" s="3"/>
      <c r="C794" s="3"/>
      <c r="D794" s="3"/>
      <c r="E794" s="3"/>
      <c r="F794" s="3"/>
      <c r="G794" s="23"/>
      <c r="H794" s="24"/>
      <c r="I794" s="3"/>
      <c r="J794" s="3"/>
      <c r="K794" s="3"/>
      <c r="L794" s="3"/>
      <c r="M794" s="3"/>
      <c r="N794" s="3"/>
      <c r="O794" s="3"/>
      <c r="P794" s="3"/>
      <c r="Q794" s="3"/>
      <c r="R794" s="3"/>
      <c r="S794" s="3"/>
      <c r="T794" s="3"/>
      <c r="U794" s="3"/>
      <c r="V794" s="3"/>
      <c r="W794" s="3"/>
      <c r="X794" s="3"/>
      <c r="Y794" s="3"/>
    </row>
    <row r="795" ht="14.25" customHeight="1">
      <c r="A795" s="3"/>
      <c r="B795" s="3"/>
      <c r="C795" s="3"/>
      <c r="D795" s="3"/>
      <c r="E795" s="3"/>
      <c r="F795" s="3"/>
      <c r="G795" s="23"/>
      <c r="H795" s="24"/>
      <c r="I795" s="3"/>
      <c r="J795" s="3"/>
      <c r="K795" s="3"/>
      <c r="L795" s="3"/>
      <c r="M795" s="3"/>
      <c r="N795" s="3"/>
      <c r="O795" s="3"/>
      <c r="P795" s="3"/>
      <c r="Q795" s="3"/>
      <c r="R795" s="3"/>
      <c r="S795" s="3"/>
      <c r="T795" s="3"/>
      <c r="U795" s="3"/>
      <c r="V795" s="3"/>
      <c r="W795" s="3"/>
      <c r="X795" s="3"/>
      <c r="Y795" s="3"/>
    </row>
    <row r="796" ht="14.25" customHeight="1">
      <c r="A796" s="3"/>
      <c r="B796" s="3"/>
      <c r="C796" s="3"/>
      <c r="D796" s="3"/>
      <c r="E796" s="3"/>
      <c r="F796" s="3"/>
      <c r="G796" s="23"/>
      <c r="H796" s="24"/>
      <c r="I796" s="3"/>
      <c r="J796" s="3"/>
      <c r="K796" s="3"/>
      <c r="L796" s="3"/>
      <c r="M796" s="3"/>
      <c r="N796" s="3"/>
      <c r="O796" s="3"/>
      <c r="P796" s="3"/>
      <c r="Q796" s="3"/>
      <c r="R796" s="3"/>
      <c r="S796" s="3"/>
      <c r="T796" s="3"/>
      <c r="U796" s="3"/>
      <c r="V796" s="3"/>
      <c r="W796" s="3"/>
      <c r="X796" s="3"/>
      <c r="Y796" s="3"/>
    </row>
    <row r="797" ht="14.25" customHeight="1">
      <c r="A797" s="3"/>
      <c r="B797" s="3"/>
      <c r="C797" s="3"/>
      <c r="D797" s="3"/>
      <c r="E797" s="3"/>
      <c r="F797" s="3"/>
      <c r="G797" s="23"/>
      <c r="H797" s="24"/>
      <c r="I797" s="3"/>
      <c r="J797" s="3"/>
      <c r="K797" s="3"/>
      <c r="L797" s="3"/>
      <c r="M797" s="3"/>
      <c r="N797" s="3"/>
      <c r="O797" s="3"/>
      <c r="P797" s="3"/>
      <c r="Q797" s="3"/>
      <c r="R797" s="3"/>
      <c r="S797" s="3"/>
      <c r="T797" s="3"/>
      <c r="U797" s="3"/>
      <c r="V797" s="3"/>
      <c r="W797" s="3"/>
      <c r="X797" s="3"/>
      <c r="Y797" s="3"/>
    </row>
    <row r="798" ht="14.25" customHeight="1">
      <c r="A798" s="3"/>
      <c r="B798" s="3"/>
      <c r="C798" s="3"/>
      <c r="D798" s="3"/>
      <c r="E798" s="3"/>
      <c r="F798" s="3"/>
      <c r="G798" s="23"/>
      <c r="H798" s="24"/>
      <c r="I798" s="3"/>
      <c r="J798" s="3"/>
      <c r="K798" s="3"/>
      <c r="L798" s="3"/>
      <c r="M798" s="3"/>
      <c r="N798" s="3"/>
      <c r="O798" s="3"/>
      <c r="P798" s="3"/>
      <c r="Q798" s="3"/>
      <c r="R798" s="3"/>
      <c r="S798" s="3"/>
      <c r="T798" s="3"/>
      <c r="U798" s="3"/>
      <c r="V798" s="3"/>
      <c r="W798" s="3"/>
      <c r="X798" s="3"/>
      <c r="Y798" s="3"/>
    </row>
    <row r="799" ht="14.25" customHeight="1">
      <c r="A799" s="3"/>
      <c r="B799" s="3"/>
      <c r="C799" s="3"/>
      <c r="D799" s="3"/>
      <c r="E799" s="3"/>
      <c r="F799" s="3"/>
      <c r="G799" s="23"/>
      <c r="H799" s="24"/>
      <c r="I799" s="3"/>
      <c r="J799" s="3"/>
      <c r="K799" s="3"/>
      <c r="L799" s="3"/>
      <c r="M799" s="3"/>
      <c r="N799" s="3"/>
      <c r="O799" s="3"/>
      <c r="P799" s="3"/>
      <c r="Q799" s="3"/>
      <c r="R799" s="3"/>
      <c r="S799" s="3"/>
      <c r="T799" s="3"/>
      <c r="U799" s="3"/>
      <c r="V799" s="3"/>
      <c r="W799" s="3"/>
      <c r="X799" s="3"/>
      <c r="Y799" s="3"/>
    </row>
    <row r="800" ht="14.25" customHeight="1">
      <c r="A800" s="3"/>
      <c r="B800" s="3"/>
      <c r="C800" s="3"/>
      <c r="D800" s="3"/>
      <c r="E800" s="3"/>
      <c r="F800" s="3"/>
      <c r="G800" s="23"/>
      <c r="H800" s="24"/>
      <c r="I800" s="3"/>
      <c r="J800" s="3"/>
      <c r="K800" s="3"/>
      <c r="L800" s="3"/>
      <c r="M800" s="3"/>
      <c r="N800" s="3"/>
      <c r="O800" s="3"/>
      <c r="P800" s="3"/>
      <c r="Q800" s="3"/>
      <c r="R800" s="3"/>
      <c r="S800" s="3"/>
      <c r="T800" s="3"/>
      <c r="U800" s="3"/>
      <c r="V800" s="3"/>
      <c r="W800" s="3"/>
      <c r="X800" s="3"/>
      <c r="Y800" s="3"/>
    </row>
    <row r="801" ht="14.25" customHeight="1">
      <c r="A801" s="3"/>
      <c r="B801" s="3"/>
      <c r="C801" s="3"/>
      <c r="D801" s="3"/>
      <c r="E801" s="3"/>
      <c r="F801" s="3"/>
      <c r="G801" s="23"/>
      <c r="H801" s="24"/>
      <c r="I801" s="3"/>
      <c r="J801" s="3"/>
      <c r="K801" s="3"/>
      <c r="L801" s="3"/>
      <c r="M801" s="3"/>
      <c r="N801" s="3"/>
      <c r="O801" s="3"/>
      <c r="P801" s="3"/>
      <c r="Q801" s="3"/>
      <c r="R801" s="3"/>
      <c r="S801" s="3"/>
      <c r="T801" s="3"/>
      <c r="U801" s="3"/>
      <c r="V801" s="3"/>
      <c r="W801" s="3"/>
      <c r="X801" s="3"/>
      <c r="Y801" s="3"/>
    </row>
    <row r="802" ht="14.25" customHeight="1">
      <c r="A802" s="3"/>
      <c r="B802" s="3"/>
      <c r="C802" s="3"/>
      <c r="D802" s="3"/>
      <c r="E802" s="3"/>
      <c r="F802" s="3"/>
      <c r="G802" s="23"/>
      <c r="H802" s="24"/>
      <c r="I802" s="3"/>
      <c r="J802" s="3"/>
      <c r="K802" s="3"/>
      <c r="L802" s="3"/>
      <c r="M802" s="3"/>
      <c r="N802" s="3"/>
      <c r="O802" s="3"/>
      <c r="P802" s="3"/>
      <c r="Q802" s="3"/>
      <c r="R802" s="3"/>
      <c r="S802" s="3"/>
      <c r="T802" s="3"/>
      <c r="U802" s="3"/>
      <c r="V802" s="3"/>
      <c r="W802" s="3"/>
      <c r="X802" s="3"/>
      <c r="Y802" s="3"/>
    </row>
    <row r="803" ht="14.25" customHeight="1">
      <c r="A803" s="3"/>
      <c r="B803" s="3"/>
      <c r="C803" s="3"/>
      <c r="D803" s="3"/>
      <c r="E803" s="3"/>
      <c r="F803" s="3"/>
      <c r="G803" s="23"/>
      <c r="H803" s="24"/>
      <c r="I803" s="3"/>
      <c r="J803" s="3"/>
      <c r="K803" s="3"/>
      <c r="L803" s="3"/>
      <c r="M803" s="3"/>
      <c r="N803" s="3"/>
      <c r="O803" s="3"/>
      <c r="P803" s="3"/>
      <c r="Q803" s="3"/>
      <c r="R803" s="3"/>
      <c r="S803" s="3"/>
      <c r="T803" s="3"/>
      <c r="U803" s="3"/>
      <c r="V803" s="3"/>
      <c r="W803" s="3"/>
      <c r="X803" s="3"/>
      <c r="Y803" s="3"/>
    </row>
    <row r="804" ht="14.25" customHeight="1">
      <c r="A804" s="3"/>
      <c r="B804" s="3"/>
      <c r="C804" s="3"/>
      <c r="D804" s="3"/>
      <c r="E804" s="3"/>
      <c r="F804" s="3"/>
      <c r="G804" s="23"/>
      <c r="H804" s="24"/>
      <c r="I804" s="3"/>
      <c r="J804" s="3"/>
      <c r="K804" s="3"/>
      <c r="L804" s="3"/>
      <c r="M804" s="3"/>
      <c r="N804" s="3"/>
      <c r="O804" s="3"/>
      <c r="P804" s="3"/>
      <c r="Q804" s="3"/>
      <c r="R804" s="3"/>
      <c r="S804" s="3"/>
      <c r="T804" s="3"/>
      <c r="U804" s="3"/>
      <c r="V804" s="3"/>
      <c r="W804" s="3"/>
      <c r="X804" s="3"/>
      <c r="Y804" s="3"/>
    </row>
    <row r="805" ht="14.25" customHeight="1">
      <c r="A805" s="3"/>
      <c r="B805" s="3"/>
      <c r="C805" s="3"/>
      <c r="D805" s="3"/>
      <c r="E805" s="3"/>
      <c r="F805" s="3"/>
      <c r="G805" s="23"/>
      <c r="H805" s="24"/>
      <c r="I805" s="3"/>
      <c r="J805" s="3"/>
      <c r="K805" s="3"/>
      <c r="L805" s="3"/>
      <c r="M805" s="3"/>
      <c r="N805" s="3"/>
      <c r="O805" s="3"/>
      <c r="P805" s="3"/>
      <c r="Q805" s="3"/>
      <c r="R805" s="3"/>
      <c r="S805" s="3"/>
      <c r="T805" s="3"/>
      <c r="U805" s="3"/>
      <c r="V805" s="3"/>
      <c r="W805" s="3"/>
      <c r="X805" s="3"/>
      <c r="Y805" s="3"/>
    </row>
    <row r="806" ht="14.25" customHeight="1">
      <c r="A806" s="3"/>
      <c r="B806" s="3"/>
      <c r="C806" s="3"/>
      <c r="D806" s="3"/>
      <c r="E806" s="3"/>
      <c r="F806" s="3"/>
      <c r="G806" s="23"/>
      <c r="H806" s="24"/>
      <c r="I806" s="3"/>
      <c r="J806" s="3"/>
      <c r="K806" s="3"/>
      <c r="L806" s="3"/>
      <c r="M806" s="3"/>
      <c r="N806" s="3"/>
      <c r="O806" s="3"/>
      <c r="P806" s="3"/>
      <c r="Q806" s="3"/>
      <c r="R806" s="3"/>
      <c r="S806" s="3"/>
      <c r="T806" s="3"/>
      <c r="U806" s="3"/>
      <c r="V806" s="3"/>
      <c r="W806" s="3"/>
      <c r="X806" s="3"/>
      <c r="Y806" s="3"/>
    </row>
    <row r="807" ht="14.25" customHeight="1">
      <c r="A807" s="3"/>
      <c r="B807" s="3"/>
      <c r="C807" s="3"/>
      <c r="D807" s="3"/>
      <c r="E807" s="3"/>
      <c r="F807" s="3"/>
      <c r="G807" s="23"/>
      <c r="H807" s="24"/>
      <c r="I807" s="3"/>
      <c r="J807" s="3"/>
      <c r="K807" s="3"/>
      <c r="L807" s="3"/>
      <c r="M807" s="3"/>
      <c r="N807" s="3"/>
      <c r="O807" s="3"/>
      <c r="P807" s="3"/>
      <c r="Q807" s="3"/>
      <c r="R807" s="3"/>
      <c r="S807" s="3"/>
      <c r="T807" s="3"/>
      <c r="U807" s="3"/>
      <c r="V807" s="3"/>
      <c r="W807" s="3"/>
      <c r="X807" s="3"/>
      <c r="Y807" s="3"/>
    </row>
    <row r="808" ht="14.25" customHeight="1">
      <c r="A808" s="3"/>
      <c r="B808" s="3"/>
      <c r="C808" s="3"/>
      <c r="D808" s="3"/>
      <c r="E808" s="3"/>
      <c r="F808" s="3"/>
      <c r="G808" s="23"/>
      <c r="H808" s="24"/>
      <c r="I808" s="3"/>
      <c r="J808" s="3"/>
      <c r="K808" s="3"/>
      <c r="L808" s="3"/>
      <c r="M808" s="3"/>
      <c r="N808" s="3"/>
      <c r="O808" s="3"/>
      <c r="P808" s="3"/>
      <c r="Q808" s="3"/>
      <c r="R808" s="3"/>
      <c r="S808" s="3"/>
      <c r="T808" s="3"/>
      <c r="U808" s="3"/>
      <c r="V808" s="3"/>
      <c r="W808" s="3"/>
      <c r="X808" s="3"/>
      <c r="Y808" s="3"/>
    </row>
    <row r="809" ht="14.25" customHeight="1">
      <c r="A809" s="3"/>
      <c r="B809" s="3"/>
      <c r="C809" s="3"/>
      <c r="D809" s="3"/>
      <c r="E809" s="3"/>
      <c r="F809" s="3"/>
      <c r="G809" s="23"/>
      <c r="H809" s="24"/>
      <c r="I809" s="3"/>
      <c r="J809" s="3"/>
      <c r="K809" s="3"/>
      <c r="L809" s="3"/>
      <c r="M809" s="3"/>
      <c r="N809" s="3"/>
      <c r="O809" s="3"/>
      <c r="P809" s="3"/>
      <c r="Q809" s="3"/>
      <c r="R809" s="3"/>
      <c r="S809" s="3"/>
      <c r="T809" s="3"/>
      <c r="U809" s="3"/>
      <c r="V809" s="3"/>
      <c r="W809" s="3"/>
      <c r="X809" s="3"/>
      <c r="Y809" s="3"/>
    </row>
    <row r="810" ht="14.25" customHeight="1">
      <c r="A810" s="3"/>
      <c r="B810" s="3"/>
      <c r="C810" s="3"/>
      <c r="D810" s="3"/>
      <c r="E810" s="3"/>
      <c r="F810" s="3"/>
      <c r="G810" s="23"/>
      <c r="H810" s="24"/>
      <c r="I810" s="3"/>
      <c r="J810" s="3"/>
      <c r="K810" s="3"/>
      <c r="L810" s="3"/>
      <c r="M810" s="3"/>
      <c r="N810" s="3"/>
      <c r="O810" s="3"/>
      <c r="P810" s="3"/>
      <c r="Q810" s="3"/>
      <c r="R810" s="3"/>
      <c r="S810" s="3"/>
      <c r="T810" s="3"/>
      <c r="U810" s="3"/>
      <c r="V810" s="3"/>
      <c r="W810" s="3"/>
      <c r="X810" s="3"/>
      <c r="Y810" s="3"/>
    </row>
    <row r="811" ht="14.25" customHeight="1">
      <c r="A811" s="3"/>
      <c r="B811" s="3"/>
      <c r="C811" s="3"/>
      <c r="D811" s="3"/>
      <c r="E811" s="3"/>
      <c r="F811" s="3"/>
      <c r="G811" s="23"/>
      <c r="H811" s="24"/>
      <c r="I811" s="3"/>
      <c r="J811" s="3"/>
      <c r="K811" s="3"/>
      <c r="L811" s="3"/>
      <c r="M811" s="3"/>
      <c r="N811" s="3"/>
      <c r="O811" s="3"/>
      <c r="P811" s="3"/>
      <c r="Q811" s="3"/>
      <c r="R811" s="3"/>
      <c r="S811" s="3"/>
      <c r="T811" s="3"/>
      <c r="U811" s="3"/>
      <c r="V811" s="3"/>
      <c r="W811" s="3"/>
      <c r="X811" s="3"/>
      <c r="Y811" s="3"/>
    </row>
    <row r="812" ht="14.25" customHeight="1">
      <c r="A812" s="3"/>
      <c r="B812" s="3"/>
      <c r="C812" s="3"/>
      <c r="D812" s="3"/>
      <c r="E812" s="3"/>
      <c r="F812" s="3"/>
      <c r="G812" s="23"/>
      <c r="H812" s="24"/>
      <c r="I812" s="3"/>
      <c r="J812" s="3"/>
      <c r="K812" s="3"/>
      <c r="L812" s="3"/>
      <c r="M812" s="3"/>
      <c r="N812" s="3"/>
      <c r="O812" s="3"/>
      <c r="P812" s="3"/>
      <c r="Q812" s="3"/>
      <c r="R812" s="3"/>
      <c r="S812" s="3"/>
      <c r="T812" s="3"/>
      <c r="U812" s="3"/>
      <c r="V812" s="3"/>
      <c r="W812" s="3"/>
      <c r="X812" s="3"/>
      <c r="Y812" s="3"/>
    </row>
    <row r="813" ht="14.25" customHeight="1">
      <c r="A813" s="3"/>
      <c r="B813" s="3"/>
      <c r="C813" s="3"/>
      <c r="D813" s="3"/>
      <c r="E813" s="3"/>
      <c r="F813" s="3"/>
      <c r="G813" s="23"/>
      <c r="H813" s="24"/>
      <c r="I813" s="3"/>
      <c r="J813" s="3"/>
      <c r="K813" s="3"/>
      <c r="L813" s="3"/>
      <c r="M813" s="3"/>
      <c r="N813" s="3"/>
      <c r="O813" s="3"/>
      <c r="P813" s="3"/>
      <c r="Q813" s="3"/>
      <c r="R813" s="3"/>
      <c r="S813" s="3"/>
      <c r="T813" s="3"/>
      <c r="U813" s="3"/>
      <c r="V813" s="3"/>
      <c r="W813" s="3"/>
      <c r="X813" s="3"/>
      <c r="Y813" s="3"/>
    </row>
    <row r="814" ht="14.25" customHeight="1">
      <c r="A814" s="3"/>
      <c r="B814" s="3"/>
      <c r="C814" s="3"/>
      <c r="D814" s="3"/>
      <c r="E814" s="3"/>
      <c r="F814" s="3"/>
      <c r="G814" s="23"/>
      <c r="H814" s="24"/>
      <c r="I814" s="3"/>
      <c r="J814" s="3"/>
      <c r="K814" s="3"/>
      <c r="L814" s="3"/>
      <c r="M814" s="3"/>
      <c r="N814" s="3"/>
      <c r="O814" s="3"/>
      <c r="P814" s="3"/>
      <c r="Q814" s="3"/>
      <c r="R814" s="3"/>
      <c r="S814" s="3"/>
      <c r="T814" s="3"/>
      <c r="U814" s="3"/>
      <c r="V814" s="3"/>
      <c r="W814" s="3"/>
      <c r="X814" s="3"/>
      <c r="Y814" s="3"/>
    </row>
    <row r="815" ht="14.25" customHeight="1">
      <c r="A815" s="3"/>
      <c r="B815" s="3"/>
      <c r="C815" s="3"/>
      <c r="D815" s="3"/>
      <c r="E815" s="3"/>
      <c r="F815" s="3"/>
      <c r="G815" s="23"/>
      <c r="H815" s="24"/>
      <c r="I815" s="3"/>
      <c r="J815" s="3"/>
      <c r="K815" s="3"/>
      <c r="L815" s="3"/>
      <c r="M815" s="3"/>
      <c r="N815" s="3"/>
      <c r="O815" s="3"/>
      <c r="P815" s="3"/>
      <c r="Q815" s="3"/>
      <c r="R815" s="3"/>
      <c r="S815" s="3"/>
      <c r="T815" s="3"/>
      <c r="U815" s="3"/>
      <c r="V815" s="3"/>
      <c r="W815" s="3"/>
      <c r="X815" s="3"/>
      <c r="Y815" s="3"/>
    </row>
    <row r="816" ht="14.25" customHeight="1">
      <c r="A816" s="3"/>
      <c r="B816" s="3"/>
      <c r="C816" s="3"/>
      <c r="D816" s="3"/>
      <c r="E816" s="3"/>
      <c r="F816" s="3"/>
      <c r="G816" s="23"/>
      <c r="H816" s="24"/>
      <c r="I816" s="3"/>
      <c r="J816" s="3"/>
      <c r="K816" s="3"/>
      <c r="L816" s="3"/>
      <c r="M816" s="3"/>
      <c r="N816" s="3"/>
      <c r="O816" s="3"/>
      <c r="P816" s="3"/>
      <c r="Q816" s="3"/>
      <c r="R816" s="3"/>
      <c r="S816" s="3"/>
      <c r="T816" s="3"/>
      <c r="U816" s="3"/>
      <c r="V816" s="3"/>
      <c r="W816" s="3"/>
      <c r="X816" s="3"/>
      <c r="Y816" s="3"/>
    </row>
    <row r="817" ht="14.25" customHeight="1">
      <c r="A817" s="3"/>
      <c r="B817" s="3"/>
      <c r="C817" s="3"/>
      <c r="D817" s="3"/>
      <c r="E817" s="3"/>
      <c r="F817" s="3"/>
      <c r="G817" s="23"/>
      <c r="H817" s="24"/>
      <c r="I817" s="3"/>
      <c r="J817" s="3"/>
      <c r="K817" s="3"/>
      <c r="L817" s="3"/>
      <c r="M817" s="3"/>
      <c r="N817" s="3"/>
      <c r="O817" s="3"/>
      <c r="P817" s="3"/>
      <c r="Q817" s="3"/>
      <c r="R817" s="3"/>
      <c r="S817" s="3"/>
      <c r="T817" s="3"/>
      <c r="U817" s="3"/>
      <c r="V817" s="3"/>
      <c r="W817" s="3"/>
      <c r="X817" s="3"/>
      <c r="Y817" s="3"/>
    </row>
    <row r="818" ht="14.25" customHeight="1">
      <c r="A818" s="3"/>
      <c r="B818" s="3"/>
      <c r="C818" s="3"/>
      <c r="D818" s="3"/>
      <c r="E818" s="3"/>
      <c r="F818" s="3"/>
      <c r="G818" s="23"/>
      <c r="H818" s="24"/>
      <c r="I818" s="3"/>
      <c r="J818" s="3"/>
      <c r="K818" s="3"/>
      <c r="L818" s="3"/>
      <c r="M818" s="3"/>
      <c r="N818" s="3"/>
      <c r="O818" s="3"/>
      <c r="P818" s="3"/>
      <c r="Q818" s="3"/>
      <c r="R818" s="3"/>
      <c r="S818" s="3"/>
      <c r="T818" s="3"/>
      <c r="U818" s="3"/>
      <c r="V818" s="3"/>
      <c r="W818" s="3"/>
      <c r="X818" s="3"/>
      <c r="Y818" s="3"/>
    </row>
    <row r="819" ht="14.25" customHeight="1">
      <c r="A819" s="3"/>
      <c r="B819" s="3"/>
      <c r="C819" s="3"/>
      <c r="D819" s="3"/>
      <c r="E819" s="3"/>
      <c r="F819" s="3"/>
      <c r="G819" s="23"/>
      <c r="H819" s="24"/>
      <c r="I819" s="3"/>
      <c r="J819" s="3"/>
      <c r="K819" s="3"/>
      <c r="L819" s="3"/>
      <c r="M819" s="3"/>
      <c r="N819" s="3"/>
      <c r="O819" s="3"/>
      <c r="P819" s="3"/>
      <c r="Q819" s="3"/>
      <c r="R819" s="3"/>
      <c r="S819" s="3"/>
      <c r="T819" s="3"/>
      <c r="U819" s="3"/>
      <c r="V819" s="3"/>
      <c r="W819" s="3"/>
      <c r="X819" s="3"/>
      <c r="Y819" s="3"/>
    </row>
    <row r="820" ht="14.25" customHeight="1">
      <c r="A820" s="3"/>
      <c r="B820" s="3"/>
      <c r="C820" s="3"/>
      <c r="D820" s="3"/>
      <c r="E820" s="3"/>
      <c r="F820" s="3"/>
      <c r="G820" s="23"/>
      <c r="H820" s="24"/>
      <c r="I820" s="3"/>
      <c r="J820" s="3"/>
      <c r="K820" s="3"/>
      <c r="L820" s="3"/>
      <c r="M820" s="3"/>
      <c r="N820" s="3"/>
      <c r="O820" s="3"/>
      <c r="P820" s="3"/>
      <c r="Q820" s="3"/>
      <c r="R820" s="3"/>
      <c r="S820" s="3"/>
      <c r="T820" s="3"/>
      <c r="U820" s="3"/>
      <c r="V820" s="3"/>
      <c r="W820" s="3"/>
      <c r="X820" s="3"/>
      <c r="Y820" s="3"/>
    </row>
    <row r="821" ht="14.25" customHeight="1">
      <c r="A821" s="3"/>
      <c r="B821" s="3"/>
      <c r="C821" s="3"/>
      <c r="D821" s="3"/>
      <c r="E821" s="3"/>
      <c r="F821" s="3"/>
      <c r="G821" s="23"/>
      <c r="H821" s="24"/>
      <c r="I821" s="3"/>
      <c r="J821" s="3"/>
      <c r="K821" s="3"/>
      <c r="L821" s="3"/>
      <c r="M821" s="3"/>
      <c r="N821" s="3"/>
      <c r="O821" s="3"/>
      <c r="P821" s="3"/>
      <c r="Q821" s="3"/>
      <c r="R821" s="3"/>
      <c r="S821" s="3"/>
      <c r="T821" s="3"/>
      <c r="U821" s="3"/>
      <c r="V821" s="3"/>
      <c r="W821" s="3"/>
      <c r="X821" s="3"/>
      <c r="Y821" s="3"/>
    </row>
    <row r="822" ht="14.25" customHeight="1">
      <c r="A822" s="3"/>
      <c r="B822" s="3"/>
      <c r="C822" s="3"/>
      <c r="D822" s="3"/>
      <c r="E822" s="3"/>
      <c r="F822" s="3"/>
      <c r="G822" s="23"/>
      <c r="H822" s="24"/>
      <c r="I822" s="3"/>
      <c r="J822" s="3"/>
      <c r="K822" s="3"/>
      <c r="L822" s="3"/>
      <c r="M822" s="3"/>
      <c r="N822" s="3"/>
      <c r="O822" s="3"/>
      <c r="P822" s="3"/>
      <c r="Q822" s="3"/>
      <c r="R822" s="3"/>
      <c r="S822" s="3"/>
      <c r="T822" s="3"/>
      <c r="U822" s="3"/>
      <c r="V822" s="3"/>
      <c r="W822" s="3"/>
      <c r="X822" s="3"/>
      <c r="Y822" s="3"/>
    </row>
    <row r="823" ht="14.25" customHeight="1">
      <c r="A823" s="3"/>
      <c r="B823" s="3"/>
      <c r="C823" s="3"/>
      <c r="D823" s="3"/>
      <c r="E823" s="3"/>
      <c r="F823" s="3"/>
      <c r="G823" s="23"/>
      <c r="H823" s="24"/>
      <c r="I823" s="3"/>
      <c r="J823" s="3"/>
      <c r="K823" s="3"/>
      <c r="L823" s="3"/>
      <c r="M823" s="3"/>
      <c r="N823" s="3"/>
      <c r="O823" s="3"/>
      <c r="P823" s="3"/>
      <c r="Q823" s="3"/>
      <c r="R823" s="3"/>
      <c r="S823" s="3"/>
      <c r="T823" s="3"/>
      <c r="U823" s="3"/>
      <c r="V823" s="3"/>
      <c r="W823" s="3"/>
      <c r="X823" s="3"/>
      <c r="Y823" s="3"/>
    </row>
    <row r="824" ht="14.25" customHeight="1">
      <c r="A824" s="3"/>
      <c r="B824" s="3"/>
      <c r="C824" s="3"/>
      <c r="D824" s="3"/>
      <c r="E824" s="3"/>
      <c r="F824" s="3"/>
      <c r="G824" s="23"/>
      <c r="H824" s="24"/>
      <c r="I824" s="3"/>
      <c r="J824" s="3"/>
      <c r="K824" s="3"/>
      <c r="L824" s="3"/>
      <c r="M824" s="3"/>
      <c r="N824" s="3"/>
      <c r="O824" s="3"/>
      <c r="P824" s="3"/>
      <c r="Q824" s="3"/>
      <c r="R824" s="3"/>
      <c r="S824" s="3"/>
      <c r="T824" s="3"/>
      <c r="U824" s="3"/>
      <c r="V824" s="3"/>
      <c r="W824" s="3"/>
      <c r="X824" s="3"/>
      <c r="Y824" s="3"/>
    </row>
    <row r="825" ht="14.25" customHeight="1">
      <c r="A825" s="3"/>
      <c r="B825" s="3"/>
      <c r="C825" s="3"/>
      <c r="D825" s="3"/>
      <c r="E825" s="3"/>
      <c r="F825" s="3"/>
      <c r="G825" s="23"/>
      <c r="H825" s="24"/>
      <c r="I825" s="3"/>
      <c r="J825" s="3"/>
      <c r="K825" s="3"/>
      <c r="L825" s="3"/>
      <c r="M825" s="3"/>
      <c r="N825" s="3"/>
      <c r="O825" s="3"/>
      <c r="P825" s="3"/>
      <c r="Q825" s="3"/>
      <c r="R825" s="3"/>
      <c r="S825" s="3"/>
      <c r="T825" s="3"/>
      <c r="U825" s="3"/>
      <c r="V825" s="3"/>
      <c r="W825" s="3"/>
      <c r="X825" s="3"/>
      <c r="Y825" s="3"/>
    </row>
    <row r="826" ht="14.25" customHeight="1">
      <c r="A826" s="3"/>
      <c r="B826" s="3"/>
      <c r="C826" s="3"/>
      <c r="D826" s="3"/>
      <c r="E826" s="3"/>
      <c r="F826" s="3"/>
      <c r="G826" s="23"/>
      <c r="H826" s="24"/>
      <c r="I826" s="3"/>
      <c r="J826" s="3"/>
      <c r="K826" s="3"/>
      <c r="L826" s="3"/>
      <c r="M826" s="3"/>
      <c r="N826" s="3"/>
      <c r="O826" s="3"/>
      <c r="P826" s="3"/>
      <c r="Q826" s="3"/>
      <c r="R826" s="3"/>
      <c r="S826" s="3"/>
      <c r="T826" s="3"/>
      <c r="U826" s="3"/>
      <c r="V826" s="3"/>
      <c r="W826" s="3"/>
      <c r="X826" s="3"/>
      <c r="Y826" s="3"/>
    </row>
    <row r="827" ht="14.25" customHeight="1">
      <c r="A827" s="3"/>
      <c r="B827" s="3"/>
      <c r="C827" s="3"/>
      <c r="D827" s="3"/>
      <c r="E827" s="3"/>
      <c r="F827" s="3"/>
      <c r="G827" s="23"/>
      <c r="H827" s="24"/>
      <c r="I827" s="3"/>
      <c r="J827" s="3"/>
      <c r="K827" s="3"/>
      <c r="L827" s="3"/>
      <c r="M827" s="3"/>
      <c r="N827" s="3"/>
      <c r="O827" s="3"/>
      <c r="P827" s="3"/>
      <c r="Q827" s="3"/>
      <c r="R827" s="3"/>
      <c r="S827" s="3"/>
      <c r="T827" s="3"/>
      <c r="U827" s="3"/>
      <c r="V827" s="3"/>
      <c r="W827" s="3"/>
      <c r="X827" s="3"/>
      <c r="Y827" s="3"/>
    </row>
    <row r="828" ht="14.25" customHeight="1">
      <c r="A828" s="3"/>
      <c r="B828" s="3"/>
      <c r="C828" s="3"/>
      <c r="D828" s="3"/>
      <c r="E828" s="3"/>
      <c r="F828" s="3"/>
      <c r="G828" s="23"/>
      <c r="H828" s="24"/>
      <c r="I828" s="3"/>
      <c r="J828" s="3"/>
      <c r="K828" s="3"/>
      <c r="L828" s="3"/>
      <c r="M828" s="3"/>
      <c r="N828" s="3"/>
      <c r="O828" s="3"/>
      <c r="P828" s="3"/>
      <c r="Q828" s="3"/>
      <c r="R828" s="3"/>
      <c r="S828" s="3"/>
      <c r="T828" s="3"/>
      <c r="U828" s="3"/>
      <c r="V828" s="3"/>
      <c r="W828" s="3"/>
      <c r="X828" s="3"/>
      <c r="Y828" s="3"/>
    </row>
    <row r="829" ht="14.25" customHeight="1">
      <c r="A829" s="3"/>
      <c r="B829" s="3"/>
      <c r="C829" s="3"/>
      <c r="D829" s="3"/>
      <c r="E829" s="3"/>
      <c r="F829" s="3"/>
      <c r="G829" s="23"/>
      <c r="H829" s="24"/>
      <c r="I829" s="3"/>
      <c r="J829" s="3"/>
      <c r="K829" s="3"/>
      <c r="L829" s="3"/>
      <c r="M829" s="3"/>
      <c r="N829" s="3"/>
      <c r="O829" s="3"/>
      <c r="P829" s="3"/>
      <c r="Q829" s="3"/>
      <c r="R829" s="3"/>
      <c r="S829" s="3"/>
      <c r="T829" s="3"/>
      <c r="U829" s="3"/>
      <c r="V829" s="3"/>
      <c r="W829" s="3"/>
      <c r="X829" s="3"/>
      <c r="Y829" s="3"/>
    </row>
    <row r="830" ht="14.25" customHeight="1">
      <c r="A830" s="3"/>
      <c r="B830" s="3"/>
      <c r="C830" s="3"/>
      <c r="D830" s="3"/>
      <c r="E830" s="3"/>
      <c r="F830" s="3"/>
      <c r="G830" s="23"/>
      <c r="H830" s="24"/>
      <c r="I830" s="3"/>
      <c r="J830" s="3"/>
      <c r="K830" s="3"/>
      <c r="L830" s="3"/>
      <c r="M830" s="3"/>
      <c r="N830" s="3"/>
      <c r="O830" s="3"/>
      <c r="P830" s="3"/>
      <c r="Q830" s="3"/>
      <c r="R830" s="3"/>
      <c r="S830" s="3"/>
      <c r="T830" s="3"/>
      <c r="U830" s="3"/>
      <c r="V830" s="3"/>
      <c r="W830" s="3"/>
      <c r="X830" s="3"/>
      <c r="Y830" s="3"/>
    </row>
    <row r="831" ht="14.25" customHeight="1">
      <c r="A831" s="3"/>
      <c r="B831" s="3"/>
      <c r="C831" s="3"/>
      <c r="D831" s="3"/>
      <c r="E831" s="3"/>
      <c r="F831" s="3"/>
      <c r="G831" s="23"/>
      <c r="H831" s="24"/>
      <c r="I831" s="3"/>
      <c r="J831" s="3"/>
      <c r="K831" s="3"/>
      <c r="L831" s="3"/>
      <c r="M831" s="3"/>
      <c r="N831" s="3"/>
      <c r="O831" s="3"/>
      <c r="P831" s="3"/>
      <c r="Q831" s="3"/>
      <c r="R831" s="3"/>
      <c r="S831" s="3"/>
      <c r="T831" s="3"/>
      <c r="U831" s="3"/>
      <c r="V831" s="3"/>
      <c r="W831" s="3"/>
      <c r="X831" s="3"/>
      <c r="Y831" s="3"/>
    </row>
    <row r="832" ht="14.25" customHeight="1">
      <c r="A832" s="3"/>
      <c r="B832" s="3"/>
      <c r="C832" s="3"/>
      <c r="D832" s="3"/>
      <c r="E832" s="3"/>
      <c r="F832" s="3"/>
      <c r="G832" s="23"/>
      <c r="H832" s="24"/>
      <c r="I832" s="3"/>
      <c r="J832" s="3"/>
      <c r="K832" s="3"/>
      <c r="L832" s="3"/>
      <c r="M832" s="3"/>
      <c r="N832" s="3"/>
      <c r="O832" s="3"/>
      <c r="P832" s="3"/>
      <c r="Q832" s="3"/>
      <c r="R832" s="3"/>
      <c r="S832" s="3"/>
      <c r="T832" s="3"/>
      <c r="U832" s="3"/>
      <c r="V832" s="3"/>
      <c r="W832" s="3"/>
      <c r="X832" s="3"/>
      <c r="Y832" s="3"/>
    </row>
    <row r="833" ht="14.25" customHeight="1">
      <c r="A833" s="3"/>
      <c r="B833" s="3"/>
      <c r="C833" s="3"/>
      <c r="D833" s="3"/>
      <c r="E833" s="3"/>
      <c r="F833" s="3"/>
      <c r="G833" s="23"/>
      <c r="H833" s="24"/>
      <c r="I833" s="3"/>
      <c r="J833" s="3"/>
      <c r="K833" s="3"/>
      <c r="L833" s="3"/>
      <c r="M833" s="3"/>
      <c r="N833" s="3"/>
      <c r="O833" s="3"/>
      <c r="P833" s="3"/>
      <c r="Q833" s="3"/>
      <c r="R833" s="3"/>
      <c r="S833" s="3"/>
      <c r="T833" s="3"/>
      <c r="U833" s="3"/>
      <c r="V833" s="3"/>
      <c r="W833" s="3"/>
      <c r="X833" s="3"/>
      <c r="Y833" s="3"/>
    </row>
    <row r="834" ht="14.25" customHeight="1">
      <c r="A834" s="3"/>
      <c r="B834" s="3"/>
      <c r="C834" s="3"/>
      <c r="D834" s="3"/>
      <c r="E834" s="3"/>
      <c r="F834" s="3"/>
      <c r="G834" s="23"/>
      <c r="H834" s="24"/>
      <c r="I834" s="3"/>
      <c r="J834" s="3"/>
      <c r="K834" s="3"/>
      <c r="L834" s="3"/>
      <c r="M834" s="3"/>
      <c r="N834" s="3"/>
      <c r="O834" s="3"/>
      <c r="P834" s="3"/>
      <c r="Q834" s="3"/>
      <c r="R834" s="3"/>
      <c r="S834" s="3"/>
      <c r="T834" s="3"/>
      <c r="U834" s="3"/>
      <c r="V834" s="3"/>
      <c r="W834" s="3"/>
      <c r="X834" s="3"/>
      <c r="Y834" s="3"/>
    </row>
    <row r="835" ht="14.25" customHeight="1">
      <c r="A835" s="3"/>
      <c r="B835" s="3"/>
      <c r="C835" s="3"/>
      <c r="D835" s="3"/>
      <c r="E835" s="3"/>
      <c r="F835" s="3"/>
      <c r="G835" s="23"/>
      <c r="H835" s="24"/>
      <c r="I835" s="3"/>
      <c r="J835" s="3"/>
      <c r="K835" s="3"/>
      <c r="L835" s="3"/>
      <c r="M835" s="3"/>
      <c r="N835" s="3"/>
      <c r="O835" s="3"/>
      <c r="P835" s="3"/>
      <c r="Q835" s="3"/>
      <c r="R835" s="3"/>
      <c r="S835" s="3"/>
      <c r="T835" s="3"/>
      <c r="U835" s="3"/>
      <c r="V835" s="3"/>
      <c r="W835" s="3"/>
      <c r="X835" s="3"/>
      <c r="Y835" s="3"/>
    </row>
    <row r="836" ht="14.25" customHeight="1">
      <c r="A836" s="3"/>
      <c r="B836" s="3"/>
      <c r="C836" s="3"/>
      <c r="D836" s="3"/>
      <c r="E836" s="3"/>
      <c r="F836" s="3"/>
      <c r="G836" s="23"/>
      <c r="H836" s="24"/>
      <c r="I836" s="3"/>
      <c r="J836" s="3"/>
      <c r="K836" s="3"/>
      <c r="L836" s="3"/>
      <c r="M836" s="3"/>
      <c r="N836" s="3"/>
      <c r="O836" s="3"/>
      <c r="P836" s="3"/>
      <c r="Q836" s="3"/>
      <c r="R836" s="3"/>
      <c r="S836" s="3"/>
      <c r="T836" s="3"/>
      <c r="U836" s="3"/>
      <c r="V836" s="3"/>
      <c r="W836" s="3"/>
      <c r="X836" s="3"/>
      <c r="Y836" s="3"/>
    </row>
    <row r="837" ht="14.25" customHeight="1">
      <c r="A837" s="3"/>
      <c r="B837" s="3"/>
      <c r="C837" s="3"/>
      <c r="D837" s="3"/>
      <c r="E837" s="3"/>
      <c r="F837" s="3"/>
      <c r="G837" s="23"/>
      <c r="H837" s="24"/>
      <c r="I837" s="3"/>
      <c r="J837" s="3"/>
      <c r="K837" s="3"/>
      <c r="L837" s="3"/>
      <c r="M837" s="3"/>
      <c r="N837" s="3"/>
      <c r="O837" s="3"/>
      <c r="P837" s="3"/>
      <c r="Q837" s="3"/>
      <c r="R837" s="3"/>
      <c r="S837" s="3"/>
      <c r="T837" s="3"/>
      <c r="U837" s="3"/>
      <c r="V837" s="3"/>
      <c r="W837" s="3"/>
      <c r="X837" s="3"/>
      <c r="Y837" s="3"/>
    </row>
    <row r="838" ht="14.25" customHeight="1">
      <c r="A838" s="3"/>
      <c r="B838" s="3"/>
      <c r="C838" s="3"/>
      <c r="D838" s="3"/>
      <c r="E838" s="3"/>
      <c r="F838" s="3"/>
      <c r="G838" s="23"/>
      <c r="H838" s="24"/>
      <c r="I838" s="3"/>
      <c r="J838" s="3"/>
      <c r="K838" s="3"/>
      <c r="L838" s="3"/>
      <c r="M838" s="3"/>
      <c r="N838" s="3"/>
      <c r="O838" s="3"/>
      <c r="P838" s="3"/>
      <c r="Q838" s="3"/>
      <c r="R838" s="3"/>
      <c r="S838" s="3"/>
      <c r="T838" s="3"/>
      <c r="U838" s="3"/>
      <c r="V838" s="3"/>
      <c r="W838" s="3"/>
      <c r="X838" s="3"/>
      <c r="Y838" s="3"/>
    </row>
    <row r="839" ht="14.25" customHeight="1">
      <c r="A839" s="3"/>
      <c r="B839" s="3"/>
      <c r="C839" s="3"/>
      <c r="D839" s="3"/>
      <c r="E839" s="3"/>
      <c r="F839" s="3"/>
      <c r="G839" s="23"/>
      <c r="H839" s="24"/>
      <c r="I839" s="3"/>
      <c r="J839" s="3"/>
      <c r="K839" s="3"/>
      <c r="L839" s="3"/>
      <c r="M839" s="3"/>
      <c r="N839" s="3"/>
      <c r="O839" s="3"/>
      <c r="P839" s="3"/>
      <c r="Q839" s="3"/>
      <c r="R839" s="3"/>
      <c r="S839" s="3"/>
      <c r="T839" s="3"/>
      <c r="U839" s="3"/>
      <c r="V839" s="3"/>
      <c r="W839" s="3"/>
      <c r="X839" s="3"/>
      <c r="Y839" s="3"/>
    </row>
    <row r="840" ht="14.25" customHeight="1">
      <c r="A840" s="3"/>
      <c r="B840" s="3"/>
      <c r="C840" s="3"/>
      <c r="D840" s="3"/>
      <c r="E840" s="3"/>
      <c r="F840" s="3"/>
      <c r="G840" s="23"/>
      <c r="H840" s="24"/>
      <c r="I840" s="3"/>
      <c r="J840" s="3"/>
      <c r="K840" s="3"/>
      <c r="L840" s="3"/>
      <c r="M840" s="3"/>
      <c r="N840" s="3"/>
      <c r="O840" s="3"/>
      <c r="P840" s="3"/>
      <c r="Q840" s="3"/>
      <c r="R840" s="3"/>
      <c r="S840" s="3"/>
      <c r="T840" s="3"/>
      <c r="U840" s="3"/>
      <c r="V840" s="3"/>
      <c r="W840" s="3"/>
      <c r="X840" s="3"/>
      <c r="Y840" s="3"/>
    </row>
    <row r="841" ht="14.25" customHeight="1">
      <c r="A841" s="3"/>
      <c r="B841" s="3"/>
      <c r="C841" s="3"/>
      <c r="D841" s="3"/>
      <c r="E841" s="3"/>
      <c r="F841" s="3"/>
      <c r="G841" s="23"/>
      <c r="H841" s="24"/>
      <c r="I841" s="3"/>
      <c r="J841" s="3"/>
      <c r="K841" s="3"/>
      <c r="L841" s="3"/>
      <c r="M841" s="3"/>
      <c r="N841" s="3"/>
      <c r="O841" s="3"/>
      <c r="P841" s="3"/>
      <c r="Q841" s="3"/>
      <c r="R841" s="3"/>
      <c r="S841" s="3"/>
      <c r="T841" s="3"/>
      <c r="U841" s="3"/>
      <c r="V841" s="3"/>
      <c r="W841" s="3"/>
      <c r="X841" s="3"/>
      <c r="Y841" s="3"/>
    </row>
    <row r="842" ht="14.25" customHeight="1">
      <c r="A842" s="3"/>
      <c r="B842" s="3"/>
      <c r="C842" s="3"/>
      <c r="D842" s="3"/>
      <c r="E842" s="3"/>
      <c r="F842" s="3"/>
      <c r="G842" s="23"/>
      <c r="H842" s="24"/>
      <c r="I842" s="3"/>
      <c r="J842" s="3"/>
      <c r="K842" s="3"/>
      <c r="L842" s="3"/>
      <c r="M842" s="3"/>
      <c r="N842" s="3"/>
      <c r="O842" s="3"/>
      <c r="P842" s="3"/>
      <c r="Q842" s="3"/>
      <c r="R842" s="3"/>
      <c r="S842" s="3"/>
      <c r="T842" s="3"/>
      <c r="U842" s="3"/>
      <c r="V842" s="3"/>
      <c r="W842" s="3"/>
      <c r="X842" s="3"/>
      <c r="Y842" s="3"/>
    </row>
    <row r="843" ht="14.25" customHeight="1">
      <c r="A843" s="3"/>
      <c r="B843" s="3"/>
      <c r="C843" s="3"/>
      <c r="D843" s="3"/>
      <c r="E843" s="3"/>
      <c r="F843" s="3"/>
      <c r="G843" s="23"/>
      <c r="H843" s="24"/>
      <c r="I843" s="3"/>
      <c r="J843" s="3"/>
      <c r="K843" s="3"/>
      <c r="L843" s="3"/>
      <c r="M843" s="3"/>
      <c r="N843" s="3"/>
      <c r="O843" s="3"/>
      <c r="P843" s="3"/>
      <c r="Q843" s="3"/>
      <c r="R843" s="3"/>
      <c r="S843" s="3"/>
      <c r="T843" s="3"/>
      <c r="U843" s="3"/>
      <c r="V843" s="3"/>
      <c r="W843" s="3"/>
      <c r="X843" s="3"/>
      <c r="Y843" s="3"/>
    </row>
    <row r="844" ht="14.25" customHeight="1">
      <c r="A844" s="3"/>
      <c r="B844" s="3"/>
      <c r="C844" s="3"/>
      <c r="D844" s="3"/>
      <c r="E844" s="3"/>
      <c r="F844" s="3"/>
      <c r="G844" s="23"/>
      <c r="H844" s="24"/>
      <c r="I844" s="3"/>
      <c r="J844" s="3"/>
      <c r="K844" s="3"/>
      <c r="L844" s="3"/>
      <c r="M844" s="3"/>
      <c r="N844" s="3"/>
      <c r="O844" s="3"/>
      <c r="P844" s="3"/>
      <c r="Q844" s="3"/>
      <c r="R844" s="3"/>
      <c r="S844" s="3"/>
      <c r="T844" s="3"/>
      <c r="U844" s="3"/>
      <c r="V844" s="3"/>
      <c r="W844" s="3"/>
      <c r="X844" s="3"/>
      <c r="Y844" s="3"/>
    </row>
    <row r="845" ht="14.25" customHeight="1">
      <c r="A845" s="3"/>
      <c r="B845" s="3"/>
      <c r="C845" s="3"/>
      <c r="D845" s="3"/>
      <c r="E845" s="3"/>
      <c r="F845" s="3"/>
      <c r="G845" s="23"/>
      <c r="H845" s="24"/>
      <c r="I845" s="3"/>
      <c r="J845" s="3"/>
      <c r="K845" s="3"/>
      <c r="L845" s="3"/>
      <c r="M845" s="3"/>
      <c r="N845" s="3"/>
      <c r="O845" s="3"/>
      <c r="P845" s="3"/>
      <c r="Q845" s="3"/>
      <c r="R845" s="3"/>
      <c r="S845" s="3"/>
      <c r="T845" s="3"/>
      <c r="U845" s="3"/>
      <c r="V845" s="3"/>
      <c r="W845" s="3"/>
      <c r="X845" s="3"/>
      <c r="Y845" s="3"/>
    </row>
    <row r="846" ht="14.25" customHeight="1">
      <c r="A846" s="3"/>
      <c r="B846" s="3"/>
      <c r="C846" s="3"/>
      <c r="D846" s="3"/>
      <c r="E846" s="3"/>
      <c r="F846" s="3"/>
      <c r="G846" s="23"/>
      <c r="H846" s="24"/>
      <c r="I846" s="3"/>
      <c r="J846" s="3"/>
      <c r="K846" s="3"/>
      <c r="L846" s="3"/>
      <c r="M846" s="3"/>
      <c r="N846" s="3"/>
      <c r="O846" s="3"/>
      <c r="P846" s="3"/>
      <c r="Q846" s="3"/>
      <c r="R846" s="3"/>
      <c r="S846" s="3"/>
      <c r="T846" s="3"/>
      <c r="U846" s="3"/>
      <c r="V846" s="3"/>
      <c r="W846" s="3"/>
      <c r="X846" s="3"/>
      <c r="Y846" s="3"/>
    </row>
    <row r="847" ht="14.25" customHeight="1">
      <c r="A847" s="3"/>
      <c r="B847" s="3"/>
      <c r="C847" s="3"/>
      <c r="D847" s="3"/>
      <c r="E847" s="3"/>
      <c r="F847" s="3"/>
      <c r="G847" s="23"/>
      <c r="H847" s="24"/>
      <c r="I847" s="3"/>
      <c r="J847" s="3"/>
      <c r="K847" s="3"/>
      <c r="L847" s="3"/>
      <c r="M847" s="3"/>
      <c r="N847" s="3"/>
      <c r="O847" s="3"/>
      <c r="P847" s="3"/>
      <c r="Q847" s="3"/>
      <c r="R847" s="3"/>
      <c r="S847" s="3"/>
      <c r="T847" s="3"/>
      <c r="U847" s="3"/>
      <c r="V847" s="3"/>
      <c r="W847" s="3"/>
      <c r="X847" s="3"/>
      <c r="Y847" s="3"/>
    </row>
    <row r="848" ht="14.25" customHeight="1">
      <c r="A848" s="3"/>
      <c r="B848" s="3"/>
      <c r="C848" s="3"/>
      <c r="D848" s="3"/>
      <c r="E848" s="3"/>
      <c r="F848" s="3"/>
      <c r="G848" s="23"/>
      <c r="H848" s="24"/>
      <c r="I848" s="3"/>
      <c r="J848" s="3"/>
      <c r="K848" s="3"/>
      <c r="L848" s="3"/>
      <c r="M848" s="3"/>
      <c r="N848" s="3"/>
      <c r="O848" s="3"/>
      <c r="P848" s="3"/>
      <c r="Q848" s="3"/>
      <c r="R848" s="3"/>
      <c r="S848" s="3"/>
      <c r="T848" s="3"/>
      <c r="U848" s="3"/>
      <c r="V848" s="3"/>
      <c r="W848" s="3"/>
      <c r="X848" s="3"/>
      <c r="Y848" s="3"/>
    </row>
    <row r="849" ht="14.25" customHeight="1">
      <c r="A849" s="3"/>
      <c r="B849" s="3"/>
      <c r="C849" s="3"/>
      <c r="D849" s="3"/>
      <c r="E849" s="3"/>
      <c r="F849" s="3"/>
      <c r="G849" s="23"/>
      <c r="H849" s="24"/>
      <c r="I849" s="3"/>
      <c r="J849" s="3"/>
      <c r="K849" s="3"/>
      <c r="L849" s="3"/>
      <c r="M849" s="3"/>
      <c r="N849" s="3"/>
      <c r="O849" s="3"/>
      <c r="P849" s="3"/>
      <c r="Q849" s="3"/>
      <c r="R849" s="3"/>
      <c r="S849" s="3"/>
      <c r="T849" s="3"/>
      <c r="U849" s="3"/>
      <c r="V849" s="3"/>
      <c r="W849" s="3"/>
      <c r="X849" s="3"/>
      <c r="Y849" s="3"/>
    </row>
    <row r="850" ht="14.25" customHeight="1">
      <c r="A850" s="3"/>
      <c r="B850" s="3"/>
      <c r="C850" s="3"/>
      <c r="D850" s="3"/>
      <c r="E850" s="3"/>
      <c r="F850" s="3"/>
      <c r="G850" s="23"/>
      <c r="H850" s="24"/>
      <c r="I850" s="3"/>
      <c r="J850" s="3"/>
      <c r="K850" s="3"/>
      <c r="L850" s="3"/>
      <c r="M850" s="3"/>
      <c r="N850" s="3"/>
      <c r="O850" s="3"/>
      <c r="P850" s="3"/>
      <c r="Q850" s="3"/>
      <c r="R850" s="3"/>
      <c r="S850" s="3"/>
      <c r="T850" s="3"/>
      <c r="U850" s="3"/>
      <c r="V850" s="3"/>
      <c r="W850" s="3"/>
      <c r="X850" s="3"/>
      <c r="Y850" s="3"/>
    </row>
    <row r="851" ht="14.25" customHeight="1">
      <c r="A851" s="3"/>
      <c r="B851" s="3"/>
      <c r="C851" s="3"/>
      <c r="D851" s="3"/>
      <c r="E851" s="3"/>
      <c r="F851" s="3"/>
      <c r="G851" s="23"/>
      <c r="H851" s="24"/>
      <c r="I851" s="3"/>
      <c r="J851" s="3"/>
      <c r="K851" s="3"/>
      <c r="L851" s="3"/>
      <c r="M851" s="3"/>
      <c r="N851" s="3"/>
      <c r="O851" s="3"/>
      <c r="P851" s="3"/>
      <c r="Q851" s="3"/>
      <c r="R851" s="3"/>
      <c r="S851" s="3"/>
      <c r="T851" s="3"/>
      <c r="U851" s="3"/>
      <c r="V851" s="3"/>
      <c r="W851" s="3"/>
      <c r="X851" s="3"/>
      <c r="Y851" s="3"/>
    </row>
    <row r="852" ht="14.25" customHeight="1">
      <c r="A852" s="3"/>
      <c r="B852" s="3"/>
      <c r="C852" s="3"/>
      <c r="D852" s="3"/>
      <c r="E852" s="3"/>
      <c r="F852" s="3"/>
      <c r="G852" s="23"/>
      <c r="H852" s="24"/>
      <c r="I852" s="3"/>
      <c r="J852" s="3"/>
      <c r="K852" s="3"/>
      <c r="L852" s="3"/>
      <c r="M852" s="3"/>
      <c r="N852" s="3"/>
      <c r="O852" s="3"/>
      <c r="P852" s="3"/>
      <c r="Q852" s="3"/>
      <c r="R852" s="3"/>
      <c r="S852" s="3"/>
      <c r="T852" s="3"/>
      <c r="U852" s="3"/>
      <c r="V852" s="3"/>
      <c r="W852" s="3"/>
      <c r="X852" s="3"/>
      <c r="Y852" s="3"/>
    </row>
    <row r="853" ht="14.25" customHeight="1">
      <c r="A853" s="3"/>
      <c r="B853" s="3"/>
      <c r="C853" s="3"/>
      <c r="D853" s="3"/>
      <c r="E853" s="3"/>
      <c r="F853" s="3"/>
      <c r="G853" s="23"/>
      <c r="H853" s="24"/>
      <c r="I853" s="3"/>
      <c r="J853" s="3"/>
      <c r="K853" s="3"/>
      <c r="L853" s="3"/>
      <c r="M853" s="3"/>
      <c r="N853" s="3"/>
      <c r="O853" s="3"/>
      <c r="P853" s="3"/>
      <c r="Q853" s="3"/>
      <c r="R853" s="3"/>
      <c r="S853" s="3"/>
      <c r="T853" s="3"/>
      <c r="U853" s="3"/>
      <c r="V853" s="3"/>
      <c r="W853" s="3"/>
      <c r="X853" s="3"/>
      <c r="Y853" s="3"/>
    </row>
    <row r="854" ht="14.25" customHeight="1">
      <c r="A854" s="3"/>
      <c r="B854" s="3"/>
      <c r="C854" s="3"/>
      <c r="D854" s="3"/>
      <c r="E854" s="3"/>
      <c r="F854" s="3"/>
      <c r="G854" s="23"/>
      <c r="H854" s="24"/>
      <c r="I854" s="3"/>
      <c r="J854" s="3"/>
      <c r="K854" s="3"/>
      <c r="L854" s="3"/>
      <c r="M854" s="3"/>
      <c r="N854" s="3"/>
      <c r="O854" s="3"/>
      <c r="P854" s="3"/>
      <c r="Q854" s="3"/>
      <c r="R854" s="3"/>
      <c r="S854" s="3"/>
      <c r="T854" s="3"/>
      <c r="U854" s="3"/>
      <c r="V854" s="3"/>
      <c r="W854" s="3"/>
      <c r="X854" s="3"/>
      <c r="Y854" s="3"/>
    </row>
    <row r="855" ht="14.25" customHeight="1">
      <c r="A855" s="3"/>
      <c r="B855" s="3"/>
      <c r="C855" s="3"/>
      <c r="D855" s="3"/>
      <c r="E855" s="3"/>
      <c r="F855" s="3"/>
      <c r="G855" s="23"/>
      <c r="H855" s="24"/>
      <c r="I855" s="3"/>
      <c r="J855" s="3"/>
      <c r="K855" s="3"/>
      <c r="L855" s="3"/>
      <c r="M855" s="3"/>
      <c r="N855" s="3"/>
      <c r="O855" s="3"/>
      <c r="P855" s="3"/>
      <c r="Q855" s="3"/>
      <c r="R855" s="3"/>
      <c r="S855" s="3"/>
      <c r="T855" s="3"/>
      <c r="U855" s="3"/>
      <c r="V855" s="3"/>
      <c r="W855" s="3"/>
      <c r="X855" s="3"/>
      <c r="Y855" s="3"/>
    </row>
    <row r="856" ht="14.25" customHeight="1">
      <c r="A856" s="3"/>
      <c r="B856" s="3"/>
      <c r="C856" s="3"/>
      <c r="D856" s="3"/>
      <c r="E856" s="3"/>
      <c r="F856" s="3"/>
      <c r="G856" s="23"/>
      <c r="H856" s="24"/>
      <c r="I856" s="3"/>
      <c r="J856" s="3"/>
      <c r="K856" s="3"/>
      <c r="L856" s="3"/>
      <c r="M856" s="3"/>
      <c r="N856" s="3"/>
      <c r="O856" s="3"/>
      <c r="P856" s="3"/>
      <c r="Q856" s="3"/>
      <c r="R856" s="3"/>
      <c r="S856" s="3"/>
      <c r="T856" s="3"/>
      <c r="U856" s="3"/>
      <c r="V856" s="3"/>
      <c r="W856" s="3"/>
      <c r="X856" s="3"/>
      <c r="Y856" s="3"/>
    </row>
    <row r="857" ht="14.25" customHeight="1">
      <c r="A857" s="3"/>
      <c r="B857" s="3"/>
      <c r="C857" s="3"/>
      <c r="D857" s="3"/>
      <c r="E857" s="3"/>
      <c r="F857" s="3"/>
      <c r="G857" s="23"/>
      <c r="H857" s="24"/>
      <c r="I857" s="3"/>
      <c r="J857" s="3"/>
      <c r="K857" s="3"/>
      <c r="L857" s="3"/>
      <c r="M857" s="3"/>
      <c r="N857" s="3"/>
      <c r="O857" s="3"/>
      <c r="P857" s="3"/>
      <c r="Q857" s="3"/>
      <c r="R857" s="3"/>
      <c r="S857" s="3"/>
      <c r="T857" s="3"/>
      <c r="U857" s="3"/>
      <c r="V857" s="3"/>
      <c r="W857" s="3"/>
      <c r="X857" s="3"/>
      <c r="Y857" s="3"/>
    </row>
    <row r="858" ht="14.25" customHeight="1">
      <c r="A858" s="3"/>
      <c r="B858" s="3"/>
      <c r="C858" s="3"/>
      <c r="D858" s="3"/>
      <c r="E858" s="3"/>
      <c r="F858" s="3"/>
      <c r="G858" s="23"/>
      <c r="H858" s="24"/>
      <c r="I858" s="3"/>
      <c r="J858" s="3"/>
      <c r="K858" s="3"/>
      <c r="L858" s="3"/>
      <c r="M858" s="3"/>
      <c r="N858" s="3"/>
      <c r="O858" s="3"/>
      <c r="P858" s="3"/>
      <c r="Q858" s="3"/>
      <c r="R858" s="3"/>
      <c r="S858" s="3"/>
      <c r="T858" s="3"/>
      <c r="U858" s="3"/>
      <c r="V858" s="3"/>
      <c r="W858" s="3"/>
      <c r="X858" s="3"/>
      <c r="Y858" s="3"/>
    </row>
    <row r="859" ht="14.25" customHeight="1">
      <c r="A859" s="3"/>
      <c r="B859" s="3"/>
      <c r="C859" s="3"/>
      <c r="D859" s="3"/>
      <c r="E859" s="3"/>
      <c r="F859" s="3"/>
      <c r="G859" s="23"/>
      <c r="H859" s="24"/>
      <c r="I859" s="3"/>
      <c r="J859" s="3"/>
      <c r="K859" s="3"/>
      <c r="L859" s="3"/>
      <c r="M859" s="3"/>
      <c r="N859" s="3"/>
      <c r="O859" s="3"/>
      <c r="P859" s="3"/>
      <c r="Q859" s="3"/>
      <c r="R859" s="3"/>
      <c r="S859" s="3"/>
      <c r="T859" s="3"/>
      <c r="U859" s="3"/>
      <c r="V859" s="3"/>
      <c r="W859" s="3"/>
      <c r="X859" s="3"/>
      <c r="Y859" s="3"/>
    </row>
    <row r="860" ht="14.25" customHeight="1">
      <c r="A860" s="3"/>
      <c r="B860" s="3"/>
      <c r="C860" s="3"/>
      <c r="D860" s="3"/>
      <c r="E860" s="3"/>
      <c r="F860" s="3"/>
      <c r="G860" s="23"/>
      <c r="H860" s="24"/>
      <c r="I860" s="3"/>
      <c r="J860" s="3"/>
      <c r="K860" s="3"/>
      <c r="L860" s="3"/>
      <c r="M860" s="3"/>
      <c r="N860" s="3"/>
      <c r="O860" s="3"/>
      <c r="P860" s="3"/>
      <c r="Q860" s="3"/>
      <c r="R860" s="3"/>
      <c r="S860" s="3"/>
      <c r="T860" s="3"/>
      <c r="U860" s="3"/>
      <c r="V860" s="3"/>
      <c r="W860" s="3"/>
      <c r="X860" s="3"/>
      <c r="Y860" s="3"/>
    </row>
    <row r="861" ht="14.25" customHeight="1">
      <c r="A861" s="3"/>
      <c r="B861" s="3"/>
      <c r="C861" s="3"/>
      <c r="D861" s="3"/>
      <c r="E861" s="3"/>
      <c r="F861" s="3"/>
      <c r="G861" s="23"/>
      <c r="H861" s="24"/>
      <c r="I861" s="3"/>
      <c r="J861" s="3"/>
      <c r="K861" s="3"/>
      <c r="L861" s="3"/>
      <c r="M861" s="3"/>
      <c r="N861" s="3"/>
      <c r="O861" s="3"/>
      <c r="P861" s="3"/>
      <c r="Q861" s="3"/>
      <c r="R861" s="3"/>
      <c r="S861" s="3"/>
      <c r="T861" s="3"/>
      <c r="U861" s="3"/>
      <c r="V861" s="3"/>
      <c r="W861" s="3"/>
      <c r="X861" s="3"/>
      <c r="Y861" s="3"/>
    </row>
    <row r="862" ht="14.25" customHeight="1">
      <c r="A862" s="3"/>
      <c r="B862" s="3"/>
      <c r="C862" s="3"/>
      <c r="D862" s="3"/>
      <c r="E862" s="3"/>
      <c r="F862" s="3"/>
      <c r="G862" s="23"/>
      <c r="H862" s="24"/>
      <c r="I862" s="3"/>
      <c r="J862" s="3"/>
      <c r="K862" s="3"/>
      <c r="L862" s="3"/>
      <c r="M862" s="3"/>
      <c r="N862" s="3"/>
      <c r="O862" s="3"/>
      <c r="P862" s="3"/>
      <c r="Q862" s="3"/>
      <c r="R862" s="3"/>
      <c r="S862" s="3"/>
      <c r="T862" s="3"/>
      <c r="U862" s="3"/>
      <c r="V862" s="3"/>
      <c r="W862" s="3"/>
      <c r="X862" s="3"/>
      <c r="Y862" s="3"/>
    </row>
    <row r="863" ht="14.25" customHeight="1">
      <c r="A863" s="3"/>
      <c r="B863" s="3"/>
      <c r="C863" s="3"/>
      <c r="D863" s="3"/>
      <c r="E863" s="3"/>
      <c r="F863" s="3"/>
      <c r="G863" s="23"/>
      <c r="H863" s="24"/>
      <c r="I863" s="3"/>
      <c r="J863" s="3"/>
      <c r="K863" s="3"/>
      <c r="L863" s="3"/>
      <c r="M863" s="3"/>
      <c r="N863" s="3"/>
      <c r="O863" s="3"/>
      <c r="P863" s="3"/>
      <c r="Q863" s="3"/>
      <c r="R863" s="3"/>
      <c r="S863" s="3"/>
      <c r="T863" s="3"/>
      <c r="U863" s="3"/>
      <c r="V863" s="3"/>
      <c r="W863" s="3"/>
      <c r="X863" s="3"/>
      <c r="Y863" s="3"/>
    </row>
    <row r="864" ht="14.25" customHeight="1">
      <c r="A864" s="3"/>
      <c r="B864" s="3"/>
      <c r="C864" s="3"/>
      <c r="D864" s="3"/>
      <c r="E864" s="3"/>
      <c r="F864" s="3"/>
      <c r="G864" s="23"/>
      <c r="H864" s="24"/>
      <c r="I864" s="3"/>
      <c r="J864" s="3"/>
      <c r="K864" s="3"/>
      <c r="L864" s="3"/>
      <c r="M864" s="3"/>
      <c r="N864" s="3"/>
      <c r="O864" s="3"/>
      <c r="P864" s="3"/>
      <c r="Q864" s="3"/>
      <c r="R864" s="3"/>
      <c r="S864" s="3"/>
      <c r="T864" s="3"/>
      <c r="U864" s="3"/>
      <c r="V864" s="3"/>
      <c r="W864" s="3"/>
      <c r="X864" s="3"/>
      <c r="Y864" s="3"/>
    </row>
    <row r="865" ht="14.25" customHeight="1">
      <c r="A865" s="3"/>
      <c r="B865" s="3"/>
      <c r="C865" s="3"/>
      <c r="D865" s="3"/>
      <c r="E865" s="3"/>
      <c r="F865" s="3"/>
      <c r="G865" s="23"/>
      <c r="H865" s="24"/>
      <c r="I865" s="3"/>
      <c r="J865" s="3"/>
      <c r="K865" s="3"/>
      <c r="L865" s="3"/>
      <c r="M865" s="3"/>
      <c r="N865" s="3"/>
      <c r="O865" s="3"/>
      <c r="P865" s="3"/>
      <c r="Q865" s="3"/>
      <c r="R865" s="3"/>
      <c r="S865" s="3"/>
      <c r="T865" s="3"/>
      <c r="U865" s="3"/>
      <c r="V865" s="3"/>
      <c r="W865" s="3"/>
      <c r="X865" s="3"/>
      <c r="Y865" s="3"/>
    </row>
    <row r="866" ht="14.25" customHeight="1">
      <c r="A866" s="3"/>
      <c r="B866" s="3"/>
      <c r="C866" s="3"/>
      <c r="D866" s="3"/>
      <c r="E866" s="3"/>
      <c r="F866" s="3"/>
      <c r="G866" s="23"/>
      <c r="H866" s="24"/>
      <c r="I866" s="3"/>
      <c r="J866" s="3"/>
      <c r="K866" s="3"/>
      <c r="L866" s="3"/>
      <c r="M866" s="3"/>
      <c r="N866" s="3"/>
      <c r="O866" s="3"/>
      <c r="P866" s="3"/>
      <c r="Q866" s="3"/>
      <c r="R866" s="3"/>
      <c r="S866" s="3"/>
      <c r="T866" s="3"/>
      <c r="U866" s="3"/>
      <c r="V866" s="3"/>
      <c r="W866" s="3"/>
      <c r="X866" s="3"/>
      <c r="Y866" s="3"/>
    </row>
    <row r="867" ht="14.25" customHeight="1">
      <c r="A867" s="3"/>
      <c r="B867" s="3"/>
      <c r="C867" s="3"/>
      <c r="D867" s="3"/>
      <c r="E867" s="3"/>
      <c r="F867" s="3"/>
      <c r="G867" s="23"/>
      <c r="H867" s="24"/>
      <c r="I867" s="3"/>
      <c r="J867" s="3"/>
      <c r="K867" s="3"/>
      <c r="L867" s="3"/>
      <c r="M867" s="3"/>
      <c r="N867" s="3"/>
      <c r="O867" s="3"/>
      <c r="P867" s="3"/>
      <c r="Q867" s="3"/>
      <c r="R867" s="3"/>
      <c r="S867" s="3"/>
      <c r="T867" s="3"/>
      <c r="U867" s="3"/>
      <c r="V867" s="3"/>
      <c r="W867" s="3"/>
      <c r="X867" s="3"/>
      <c r="Y867" s="3"/>
    </row>
    <row r="868" ht="14.25" customHeight="1">
      <c r="A868" s="3"/>
      <c r="B868" s="3"/>
      <c r="C868" s="3"/>
      <c r="D868" s="3"/>
      <c r="E868" s="3"/>
      <c r="F868" s="3"/>
      <c r="G868" s="23"/>
      <c r="H868" s="24"/>
      <c r="I868" s="3"/>
      <c r="J868" s="3"/>
      <c r="K868" s="3"/>
      <c r="L868" s="3"/>
      <c r="M868" s="3"/>
      <c r="N868" s="3"/>
      <c r="O868" s="3"/>
      <c r="P868" s="3"/>
      <c r="Q868" s="3"/>
      <c r="R868" s="3"/>
      <c r="S868" s="3"/>
      <c r="T868" s="3"/>
      <c r="U868" s="3"/>
      <c r="V868" s="3"/>
      <c r="W868" s="3"/>
      <c r="X868" s="3"/>
      <c r="Y868" s="3"/>
    </row>
    <row r="869" ht="14.25" customHeight="1">
      <c r="A869" s="3"/>
      <c r="B869" s="3"/>
      <c r="C869" s="3"/>
      <c r="D869" s="3"/>
      <c r="E869" s="3"/>
      <c r="F869" s="3"/>
      <c r="G869" s="23"/>
      <c r="H869" s="24"/>
      <c r="I869" s="3"/>
      <c r="J869" s="3"/>
      <c r="K869" s="3"/>
      <c r="L869" s="3"/>
      <c r="M869" s="3"/>
      <c r="N869" s="3"/>
      <c r="O869" s="3"/>
      <c r="P869" s="3"/>
      <c r="Q869" s="3"/>
      <c r="R869" s="3"/>
      <c r="S869" s="3"/>
      <c r="T869" s="3"/>
      <c r="U869" s="3"/>
      <c r="V869" s="3"/>
      <c r="W869" s="3"/>
      <c r="X869" s="3"/>
      <c r="Y869" s="3"/>
    </row>
    <row r="870" ht="14.25" customHeight="1">
      <c r="A870" s="3"/>
      <c r="B870" s="3"/>
      <c r="C870" s="3"/>
      <c r="D870" s="3"/>
      <c r="E870" s="3"/>
      <c r="F870" s="3"/>
      <c r="G870" s="23"/>
      <c r="H870" s="24"/>
      <c r="I870" s="3"/>
      <c r="J870" s="3"/>
      <c r="K870" s="3"/>
      <c r="L870" s="3"/>
      <c r="M870" s="3"/>
      <c r="N870" s="3"/>
      <c r="O870" s="3"/>
      <c r="P870" s="3"/>
      <c r="Q870" s="3"/>
      <c r="R870" s="3"/>
      <c r="S870" s="3"/>
      <c r="T870" s="3"/>
      <c r="U870" s="3"/>
      <c r="V870" s="3"/>
      <c r="W870" s="3"/>
      <c r="X870" s="3"/>
      <c r="Y870" s="3"/>
    </row>
    <row r="871" ht="14.25" customHeight="1">
      <c r="A871" s="3"/>
      <c r="B871" s="3"/>
      <c r="C871" s="3"/>
      <c r="D871" s="3"/>
      <c r="E871" s="3"/>
      <c r="F871" s="3"/>
      <c r="G871" s="23"/>
      <c r="H871" s="24"/>
      <c r="I871" s="3"/>
      <c r="J871" s="3"/>
      <c r="K871" s="3"/>
      <c r="L871" s="3"/>
      <c r="M871" s="3"/>
      <c r="N871" s="3"/>
      <c r="O871" s="3"/>
      <c r="P871" s="3"/>
      <c r="Q871" s="3"/>
      <c r="R871" s="3"/>
      <c r="S871" s="3"/>
      <c r="T871" s="3"/>
      <c r="U871" s="3"/>
      <c r="V871" s="3"/>
      <c r="W871" s="3"/>
      <c r="X871" s="3"/>
      <c r="Y871" s="3"/>
    </row>
    <row r="872" ht="14.25" customHeight="1">
      <c r="A872" s="3"/>
      <c r="B872" s="3"/>
      <c r="C872" s="3"/>
      <c r="D872" s="3"/>
      <c r="E872" s="3"/>
      <c r="F872" s="3"/>
      <c r="G872" s="23"/>
      <c r="H872" s="24"/>
      <c r="I872" s="3"/>
      <c r="J872" s="3"/>
      <c r="K872" s="3"/>
      <c r="L872" s="3"/>
      <c r="M872" s="3"/>
      <c r="N872" s="3"/>
      <c r="O872" s="3"/>
      <c r="P872" s="3"/>
      <c r="Q872" s="3"/>
      <c r="R872" s="3"/>
      <c r="S872" s="3"/>
      <c r="T872" s="3"/>
      <c r="U872" s="3"/>
      <c r="V872" s="3"/>
      <c r="W872" s="3"/>
      <c r="X872" s="3"/>
      <c r="Y872" s="3"/>
    </row>
    <row r="873" ht="14.25" customHeight="1">
      <c r="A873" s="3"/>
      <c r="B873" s="3"/>
      <c r="C873" s="3"/>
      <c r="D873" s="3"/>
      <c r="E873" s="3"/>
      <c r="F873" s="3"/>
      <c r="G873" s="23"/>
      <c r="H873" s="24"/>
      <c r="I873" s="3"/>
      <c r="J873" s="3"/>
      <c r="K873" s="3"/>
      <c r="L873" s="3"/>
      <c r="M873" s="3"/>
      <c r="N873" s="3"/>
      <c r="O873" s="3"/>
      <c r="P873" s="3"/>
      <c r="Q873" s="3"/>
      <c r="R873" s="3"/>
      <c r="S873" s="3"/>
      <c r="T873" s="3"/>
      <c r="U873" s="3"/>
      <c r="V873" s="3"/>
      <c r="W873" s="3"/>
      <c r="X873" s="3"/>
      <c r="Y873" s="3"/>
    </row>
    <row r="874" ht="14.25" customHeight="1">
      <c r="A874" s="3"/>
      <c r="B874" s="3"/>
      <c r="C874" s="3"/>
      <c r="D874" s="3"/>
      <c r="E874" s="3"/>
      <c r="F874" s="3"/>
      <c r="G874" s="23"/>
      <c r="H874" s="24"/>
      <c r="I874" s="3"/>
      <c r="J874" s="3"/>
      <c r="K874" s="3"/>
      <c r="L874" s="3"/>
      <c r="M874" s="3"/>
      <c r="N874" s="3"/>
      <c r="O874" s="3"/>
      <c r="P874" s="3"/>
      <c r="Q874" s="3"/>
      <c r="R874" s="3"/>
      <c r="S874" s="3"/>
      <c r="T874" s="3"/>
      <c r="U874" s="3"/>
      <c r="V874" s="3"/>
      <c r="W874" s="3"/>
      <c r="X874" s="3"/>
      <c r="Y874" s="3"/>
    </row>
    <row r="875" ht="14.25" customHeight="1">
      <c r="A875" s="3"/>
      <c r="B875" s="3"/>
      <c r="C875" s="3"/>
      <c r="D875" s="3"/>
      <c r="E875" s="3"/>
      <c r="F875" s="3"/>
      <c r="G875" s="23"/>
      <c r="H875" s="24"/>
      <c r="I875" s="3"/>
      <c r="J875" s="3"/>
      <c r="K875" s="3"/>
      <c r="L875" s="3"/>
      <c r="M875" s="3"/>
      <c r="N875" s="3"/>
      <c r="O875" s="3"/>
      <c r="P875" s="3"/>
      <c r="Q875" s="3"/>
      <c r="R875" s="3"/>
      <c r="S875" s="3"/>
      <c r="T875" s="3"/>
      <c r="U875" s="3"/>
      <c r="V875" s="3"/>
      <c r="W875" s="3"/>
      <c r="X875" s="3"/>
      <c r="Y875" s="3"/>
    </row>
    <row r="876" ht="14.25" customHeight="1">
      <c r="A876" s="3"/>
      <c r="B876" s="3"/>
      <c r="C876" s="3"/>
      <c r="D876" s="3"/>
      <c r="E876" s="3"/>
      <c r="F876" s="3"/>
      <c r="G876" s="23"/>
      <c r="H876" s="24"/>
      <c r="I876" s="3"/>
      <c r="J876" s="3"/>
      <c r="K876" s="3"/>
      <c r="L876" s="3"/>
      <c r="M876" s="3"/>
      <c r="N876" s="3"/>
      <c r="O876" s="3"/>
      <c r="P876" s="3"/>
      <c r="Q876" s="3"/>
      <c r="R876" s="3"/>
      <c r="S876" s="3"/>
      <c r="T876" s="3"/>
      <c r="U876" s="3"/>
      <c r="V876" s="3"/>
      <c r="W876" s="3"/>
      <c r="X876" s="3"/>
      <c r="Y876" s="3"/>
    </row>
    <row r="877" ht="14.25" customHeight="1">
      <c r="A877" s="3"/>
      <c r="B877" s="3"/>
      <c r="C877" s="3"/>
      <c r="D877" s="3"/>
      <c r="E877" s="3"/>
      <c r="F877" s="3"/>
      <c r="G877" s="23"/>
      <c r="H877" s="24"/>
      <c r="I877" s="3"/>
      <c r="J877" s="3"/>
      <c r="K877" s="3"/>
      <c r="L877" s="3"/>
      <c r="M877" s="3"/>
      <c r="N877" s="3"/>
      <c r="O877" s="3"/>
      <c r="P877" s="3"/>
      <c r="Q877" s="3"/>
      <c r="R877" s="3"/>
      <c r="S877" s="3"/>
      <c r="T877" s="3"/>
      <c r="U877" s="3"/>
      <c r="V877" s="3"/>
      <c r="W877" s="3"/>
      <c r="X877" s="3"/>
      <c r="Y877" s="3"/>
    </row>
    <row r="878" ht="14.25" customHeight="1">
      <c r="A878" s="3"/>
      <c r="B878" s="3"/>
      <c r="C878" s="3"/>
      <c r="D878" s="3"/>
      <c r="E878" s="3"/>
      <c r="F878" s="3"/>
      <c r="G878" s="23"/>
      <c r="H878" s="24"/>
      <c r="I878" s="3"/>
      <c r="J878" s="3"/>
      <c r="K878" s="3"/>
      <c r="L878" s="3"/>
      <c r="M878" s="3"/>
      <c r="N878" s="3"/>
      <c r="O878" s="3"/>
      <c r="P878" s="3"/>
      <c r="Q878" s="3"/>
      <c r="R878" s="3"/>
      <c r="S878" s="3"/>
      <c r="T878" s="3"/>
      <c r="U878" s="3"/>
      <c r="V878" s="3"/>
      <c r="W878" s="3"/>
      <c r="X878" s="3"/>
      <c r="Y878" s="3"/>
    </row>
    <row r="879" ht="14.25" customHeight="1">
      <c r="A879" s="3"/>
      <c r="B879" s="3"/>
      <c r="C879" s="3"/>
      <c r="D879" s="3"/>
      <c r="E879" s="3"/>
      <c r="F879" s="3"/>
      <c r="G879" s="23"/>
      <c r="H879" s="24"/>
      <c r="I879" s="3"/>
      <c r="J879" s="3"/>
      <c r="K879" s="3"/>
      <c r="L879" s="3"/>
      <c r="M879" s="3"/>
      <c r="N879" s="3"/>
      <c r="O879" s="3"/>
      <c r="P879" s="3"/>
      <c r="Q879" s="3"/>
      <c r="R879" s="3"/>
      <c r="S879" s="3"/>
      <c r="T879" s="3"/>
      <c r="U879" s="3"/>
      <c r="V879" s="3"/>
      <c r="W879" s="3"/>
      <c r="X879" s="3"/>
      <c r="Y879" s="3"/>
    </row>
    <row r="880" ht="14.25" customHeight="1">
      <c r="A880" s="3"/>
      <c r="B880" s="3"/>
      <c r="C880" s="3"/>
      <c r="D880" s="3"/>
      <c r="E880" s="3"/>
      <c r="F880" s="3"/>
      <c r="G880" s="23"/>
      <c r="H880" s="24"/>
      <c r="I880" s="3"/>
      <c r="J880" s="3"/>
      <c r="K880" s="3"/>
      <c r="L880" s="3"/>
      <c r="M880" s="3"/>
      <c r="N880" s="3"/>
      <c r="O880" s="3"/>
      <c r="P880" s="3"/>
      <c r="Q880" s="3"/>
      <c r="R880" s="3"/>
      <c r="S880" s="3"/>
      <c r="T880" s="3"/>
      <c r="U880" s="3"/>
      <c r="V880" s="3"/>
      <c r="W880" s="3"/>
      <c r="X880" s="3"/>
      <c r="Y880" s="3"/>
    </row>
    <row r="881" ht="14.25" customHeight="1">
      <c r="A881" s="3"/>
      <c r="B881" s="3"/>
      <c r="C881" s="3"/>
      <c r="D881" s="3"/>
      <c r="E881" s="3"/>
      <c r="F881" s="3"/>
      <c r="G881" s="23"/>
      <c r="H881" s="24"/>
      <c r="I881" s="3"/>
      <c r="J881" s="3"/>
      <c r="K881" s="3"/>
      <c r="L881" s="3"/>
      <c r="M881" s="3"/>
      <c r="N881" s="3"/>
      <c r="O881" s="3"/>
      <c r="P881" s="3"/>
      <c r="Q881" s="3"/>
      <c r="R881" s="3"/>
      <c r="S881" s="3"/>
      <c r="T881" s="3"/>
      <c r="U881" s="3"/>
      <c r="V881" s="3"/>
      <c r="W881" s="3"/>
      <c r="X881" s="3"/>
      <c r="Y881" s="3"/>
    </row>
    <row r="882" ht="14.25" customHeight="1">
      <c r="A882" s="3"/>
      <c r="B882" s="3"/>
      <c r="C882" s="3"/>
      <c r="D882" s="3"/>
      <c r="E882" s="3"/>
      <c r="F882" s="3"/>
      <c r="G882" s="23"/>
      <c r="H882" s="24"/>
      <c r="I882" s="3"/>
      <c r="J882" s="3"/>
      <c r="K882" s="3"/>
      <c r="L882" s="3"/>
      <c r="M882" s="3"/>
      <c r="N882" s="3"/>
      <c r="O882" s="3"/>
      <c r="P882" s="3"/>
      <c r="Q882" s="3"/>
      <c r="R882" s="3"/>
      <c r="S882" s="3"/>
      <c r="T882" s="3"/>
      <c r="U882" s="3"/>
      <c r="V882" s="3"/>
      <c r="W882" s="3"/>
      <c r="X882" s="3"/>
      <c r="Y882" s="3"/>
    </row>
    <row r="883" ht="14.25" customHeight="1">
      <c r="A883" s="3"/>
      <c r="B883" s="3"/>
      <c r="C883" s="3"/>
      <c r="D883" s="3"/>
      <c r="E883" s="3"/>
      <c r="F883" s="3"/>
      <c r="G883" s="23"/>
      <c r="H883" s="24"/>
      <c r="I883" s="3"/>
      <c r="J883" s="3"/>
      <c r="K883" s="3"/>
      <c r="L883" s="3"/>
      <c r="M883" s="3"/>
      <c r="N883" s="3"/>
      <c r="O883" s="3"/>
      <c r="P883" s="3"/>
      <c r="Q883" s="3"/>
      <c r="R883" s="3"/>
      <c r="S883" s="3"/>
      <c r="T883" s="3"/>
      <c r="U883" s="3"/>
      <c r="V883" s="3"/>
      <c r="W883" s="3"/>
      <c r="X883" s="3"/>
      <c r="Y883" s="3"/>
    </row>
    <row r="884" ht="14.25" customHeight="1">
      <c r="A884" s="3"/>
      <c r="B884" s="3"/>
      <c r="C884" s="3"/>
      <c r="D884" s="3"/>
      <c r="E884" s="3"/>
      <c r="F884" s="3"/>
      <c r="G884" s="23"/>
      <c r="H884" s="24"/>
      <c r="I884" s="3"/>
      <c r="J884" s="3"/>
      <c r="K884" s="3"/>
      <c r="L884" s="3"/>
      <c r="M884" s="3"/>
      <c r="N884" s="3"/>
      <c r="O884" s="3"/>
      <c r="P884" s="3"/>
      <c r="Q884" s="3"/>
      <c r="R884" s="3"/>
      <c r="S884" s="3"/>
      <c r="T884" s="3"/>
      <c r="U884" s="3"/>
      <c r="V884" s="3"/>
      <c r="W884" s="3"/>
      <c r="X884" s="3"/>
      <c r="Y884" s="3"/>
    </row>
    <row r="885" ht="14.25" customHeight="1">
      <c r="A885" s="3"/>
      <c r="B885" s="3"/>
      <c r="C885" s="3"/>
      <c r="D885" s="3"/>
      <c r="E885" s="3"/>
      <c r="F885" s="3"/>
      <c r="G885" s="23"/>
      <c r="H885" s="24"/>
      <c r="I885" s="3"/>
      <c r="J885" s="3"/>
      <c r="K885" s="3"/>
      <c r="L885" s="3"/>
      <c r="M885" s="3"/>
      <c r="N885" s="3"/>
      <c r="O885" s="3"/>
      <c r="P885" s="3"/>
      <c r="Q885" s="3"/>
      <c r="R885" s="3"/>
      <c r="S885" s="3"/>
      <c r="T885" s="3"/>
      <c r="U885" s="3"/>
      <c r="V885" s="3"/>
      <c r="W885" s="3"/>
      <c r="X885" s="3"/>
      <c r="Y885" s="3"/>
    </row>
    <row r="886" ht="14.25" customHeight="1">
      <c r="A886" s="3"/>
      <c r="B886" s="3"/>
      <c r="C886" s="3"/>
      <c r="D886" s="3"/>
      <c r="E886" s="3"/>
      <c r="F886" s="3"/>
      <c r="G886" s="23"/>
      <c r="H886" s="24"/>
      <c r="I886" s="3"/>
      <c r="J886" s="3"/>
      <c r="K886" s="3"/>
      <c r="L886" s="3"/>
      <c r="M886" s="3"/>
      <c r="N886" s="3"/>
      <c r="O886" s="3"/>
      <c r="P886" s="3"/>
      <c r="Q886" s="3"/>
      <c r="R886" s="3"/>
      <c r="S886" s="3"/>
      <c r="T886" s="3"/>
      <c r="U886" s="3"/>
      <c r="V886" s="3"/>
      <c r="W886" s="3"/>
      <c r="X886" s="3"/>
      <c r="Y886" s="3"/>
    </row>
    <row r="887" ht="14.25" customHeight="1">
      <c r="A887" s="3"/>
      <c r="B887" s="3"/>
      <c r="C887" s="3"/>
      <c r="D887" s="3"/>
      <c r="E887" s="3"/>
      <c r="F887" s="3"/>
      <c r="G887" s="23"/>
      <c r="H887" s="24"/>
      <c r="I887" s="3"/>
      <c r="J887" s="3"/>
      <c r="K887" s="3"/>
      <c r="L887" s="3"/>
      <c r="M887" s="3"/>
      <c r="N887" s="3"/>
      <c r="O887" s="3"/>
      <c r="P887" s="3"/>
      <c r="Q887" s="3"/>
      <c r="R887" s="3"/>
      <c r="S887" s="3"/>
      <c r="T887" s="3"/>
      <c r="U887" s="3"/>
      <c r="V887" s="3"/>
      <c r="W887" s="3"/>
      <c r="X887" s="3"/>
      <c r="Y887" s="3"/>
    </row>
    <row r="888" ht="14.25" customHeight="1">
      <c r="A888" s="3"/>
      <c r="B888" s="3"/>
      <c r="C888" s="3"/>
      <c r="D888" s="3"/>
      <c r="E888" s="3"/>
      <c r="F888" s="3"/>
      <c r="G888" s="23"/>
      <c r="H888" s="24"/>
      <c r="I888" s="3"/>
      <c r="J888" s="3"/>
      <c r="K888" s="3"/>
      <c r="L888" s="3"/>
      <c r="M888" s="3"/>
      <c r="N888" s="3"/>
      <c r="O888" s="3"/>
      <c r="P888" s="3"/>
      <c r="Q888" s="3"/>
      <c r="R888" s="3"/>
      <c r="S888" s="3"/>
      <c r="T888" s="3"/>
      <c r="U888" s="3"/>
      <c r="V888" s="3"/>
      <c r="W888" s="3"/>
      <c r="X888" s="3"/>
      <c r="Y888" s="3"/>
    </row>
    <row r="889" ht="14.25" customHeight="1">
      <c r="A889" s="3"/>
      <c r="B889" s="3"/>
      <c r="C889" s="3"/>
      <c r="D889" s="3"/>
      <c r="E889" s="3"/>
      <c r="F889" s="3"/>
      <c r="G889" s="23"/>
      <c r="H889" s="24"/>
      <c r="I889" s="3"/>
      <c r="J889" s="3"/>
      <c r="K889" s="3"/>
      <c r="L889" s="3"/>
      <c r="M889" s="3"/>
      <c r="N889" s="3"/>
      <c r="O889" s="3"/>
      <c r="P889" s="3"/>
      <c r="Q889" s="3"/>
      <c r="R889" s="3"/>
      <c r="S889" s="3"/>
      <c r="T889" s="3"/>
      <c r="U889" s="3"/>
      <c r="V889" s="3"/>
      <c r="W889" s="3"/>
      <c r="X889" s="3"/>
      <c r="Y889" s="3"/>
    </row>
    <row r="890" ht="14.25" customHeight="1">
      <c r="A890" s="3"/>
      <c r="B890" s="3"/>
      <c r="C890" s="3"/>
      <c r="D890" s="3"/>
      <c r="E890" s="3"/>
      <c r="F890" s="3"/>
      <c r="G890" s="23"/>
      <c r="H890" s="24"/>
      <c r="I890" s="3"/>
      <c r="J890" s="3"/>
      <c r="K890" s="3"/>
      <c r="L890" s="3"/>
      <c r="M890" s="3"/>
      <c r="N890" s="3"/>
      <c r="O890" s="3"/>
      <c r="P890" s="3"/>
      <c r="Q890" s="3"/>
      <c r="R890" s="3"/>
      <c r="S890" s="3"/>
      <c r="T890" s="3"/>
      <c r="U890" s="3"/>
      <c r="V890" s="3"/>
      <c r="W890" s="3"/>
      <c r="X890" s="3"/>
      <c r="Y890" s="3"/>
    </row>
    <row r="891" ht="14.25" customHeight="1">
      <c r="A891" s="3"/>
      <c r="B891" s="3"/>
      <c r="C891" s="3"/>
      <c r="D891" s="3"/>
      <c r="E891" s="3"/>
      <c r="F891" s="3"/>
      <c r="G891" s="23"/>
      <c r="H891" s="24"/>
      <c r="I891" s="3"/>
      <c r="J891" s="3"/>
      <c r="K891" s="3"/>
      <c r="L891" s="3"/>
      <c r="M891" s="3"/>
      <c r="N891" s="3"/>
      <c r="O891" s="3"/>
      <c r="P891" s="3"/>
      <c r="Q891" s="3"/>
      <c r="R891" s="3"/>
      <c r="S891" s="3"/>
      <c r="T891" s="3"/>
      <c r="U891" s="3"/>
      <c r="V891" s="3"/>
      <c r="W891" s="3"/>
      <c r="X891" s="3"/>
      <c r="Y891" s="3"/>
    </row>
    <row r="892" ht="14.25" customHeight="1">
      <c r="A892" s="3"/>
      <c r="B892" s="3"/>
      <c r="C892" s="3"/>
      <c r="D892" s="3"/>
      <c r="E892" s="3"/>
      <c r="F892" s="3"/>
      <c r="G892" s="23"/>
      <c r="H892" s="24"/>
      <c r="I892" s="3"/>
      <c r="J892" s="3"/>
      <c r="K892" s="3"/>
      <c r="L892" s="3"/>
      <c r="M892" s="3"/>
      <c r="N892" s="3"/>
      <c r="O892" s="3"/>
      <c r="P892" s="3"/>
      <c r="Q892" s="3"/>
      <c r="R892" s="3"/>
      <c r="S892" s="3"/>
      <c r="T892" s="3"/>
      <c r="U892" s="3"/>
      <c r="V892" s="3"/>
      <c r="W892" s="3"/>
      <c r="X892" s="3"/>
      <c r="Y892" s="3"/>
    </row>
    <row r="893" ht="14.25" customHeight="1">
      <c r="A893" s="3"/>
      <c r="B893" s="3"/>
      <c r="C893" s="3"/>
      <c r="D893" s="3"/>
      <c r="E893" s="3"/>
      <c r="F893" s="3"/>
      <c r="G893" s="23"/>
      <c r="H893" s="24"/>
      <c r="I893" s="3"/>
      <c r="J893" s="3"/>
      <c r="K893" s="3"/>
      <c r="L893" s="3"/>
      <c r="M893" s="3"/>
      <c r="N893" s="3"/>
      <c r="O893" s="3"/>
      <c r="P893" s="3"/>
      <c r="Q893" s="3"/>
      <c r="R893" s="3"/>
      <c r="S893" s="3"/>
      <c r="T893" s="3"/>
      <c r="U893" s="3"/>
      <c r="V893" s="3"/>
      <c r="W893" s="3"/>
      <c r="X893" s="3"/>
      <c r="Y893" s="3"/>
    </row>
    <row r="894" ht="14.25" customHeight="1">
      <c r="A894" s="3"/>
      <c r="B894" s="3"/>
      <c r="C894" s="3"/>
      <c r="D894" s="3"/>
      <c r="E894" s="3"/>
      <c r="F894" s="3"/>
      <c r="G894" s="23"/>
      <c r="H894" s="24"/>
      <c r="I894" s="3"/>
      <c r="J894" s="3"/>
      <c r="K894" s="3"/>
      <c r="L894" s="3"/>
      <c r="M894" s="3"/>
      <c r="N894" s="3"/>
      <c r="O894" s="3"/>
      <c r="P894" s="3"/>
      <c r="Q894" s="3"/>
      <c r="R894" s="3"/>
      <c r="S894" s="3"/>
      <c r="T894" s="3"/>
      <c r="U894" s="3"/>
      <c r="V894" s="3"/>
      <c r="W894" s="3"/>
      <c r="X894" s="3"/>
      <c r="Y894" s="3"/>
    </row>
    <row r="895" ht="14.25" customHeight="1">
      <c r="A895" s="3"/>
      <c r="B895" s="3"/>
      <c r="C895" s="3"/>
      <c r="D895" s="3"/>
      <c r="E895" s="3"/>
      <c r="F895" s="3"/>
      <c r="G895" s="23"/>
      <c r="H895" s="24"/>
      <c r="I895" s="3"/>
      <c r="J895" s="3"/>
      <c r="K895" s="3"/>
      <c r="L895" s="3"/>
      <c r="M895" s="3"/>
      <c r="N895" s="3"/>
      <c r="O895" s="3"/>
      <c r="P895" s="3"/>
      <c r="Q895" s="3"/>
      <c r="R895" s="3"/>
      <c r="S895" s="3"/>
      <c r="T895" s="3"/>
      <c r="U895" s="3"/>
      <c r="V895" s="3"/>
      <c r="W895" s="3"/>
      <c r="X895" s="3"/>
      <c r="Y895" s="3"/>
    </row>
    <row r="896" ht="14.25" customHeight="1">
      <c r="A896" s="3"/>
      <c r="B896" s="3"/>
      <c r="C896" s="3"/>
      <c r="D896" s="3"/>
      <c r="E896" s="3"/>
      <c r="F896" s="3"/>
      <c r="G896" s="23"/>
      <c r="H896" s="24"/>
      <c r="I896" s="3"/>
      <c r="J896" s="3"/>
      <c r="K896" s="3"/>
      <c r="L896" s="3"/>
      <c r="M896" s="3"/>
      <c r="N896" s="3"/>
      <c r="O896" s="3"/>
      <c r="P896" s="3"/>
      <c r="Q896" s="3"/>
      <c r="R896" s="3"/>
      <c r="S896" s="3"/>
      <c r="T896" s="3"/>
      <c r="U896" s="3"/>
      <c r="V896" s="3"/>
      <c r="W896" s="3"/>
      <c r="X896" s="3"/>
      <c r="Y896" s="3"/>
    </row>
    <row r="897" ht="14.25" customHeight="1">
      <c r="A897" s="3"/>
      <c r="B897" s="3"/>
      <c r="C897" s="3"/>
      <c r="D897" s="3"/>
      <c r="E897" s="3"/>
      <c r="F897" s="3"/>
      <c r="G897" s="23"/>
      <c r="H897" s="24"/>
      <c r="I897" s="3"/>
      <c r="J897" s="3"/>
      <c r="K897" s="3"/>
      <c r="L897" s="3"/>
      <c r="M897" s="3"/>
      <c r="N897" s="3"/>
      <c r="O897" s="3"/>
      <c r="P897" s="3"/>
      <c r="Q897" s="3"/>
      <c r="R897" s="3"/>
      <c r="S897" s="3"/>
      <c r="T897" s="3"/>
      <c r="U897" s="3"/>
      <c r="V897" s="3"/>
      <c r="W897" s="3"/>
      <c r="X897" s="3"/>
      <c r="Y897" s="3"/>
    </row>
    <row r="898" ht="14.25" customHeight="1">
      <c r="A898" s="3"/>
      <c r="B898" s="3"/>
      <c r="C898" s="3"/>
      <c r="D898" s="3"/>
      <c r="E898" s="3"/>
      <c r="F898" s="3"/>
      <c r="G898" s="23"/>
      <c r="H898" s="24"/>
      <c r="I898" s="3"/>
      <c r="J898" s="3"/>
      <c r="K898" s="3"/>
      <c r="L898" s="3"/>
      <c r="M898" s="3"/>
      <c r="N898" s="3"/>
      <c r="O898" s="3"/>
      <c r="P898" s="3"/>
      <c r="Q898" s="3"/>
      <c r="R898" s="3"/>
      <c r="S898" s="3"/>
      <c r="T898" s="3"/>
      <c r="U898" s="3"/>
      <c r="V898" s="3"/>
      <c r="W898" s="3"/>
      <c r="X898" s="3"/>
      <c r="Y898" s="3"/>
    </row>
    <row r="899" ht="14.25" customHeight="1">
      <c r="A899" s="3"/>
      <c r="B899" s="3"/>
      <c r="C899" s="3"/>
      <c r="D899" s="3"/>
      <c r="E899" s="3"/>
      <c r="F899" s="3"/>
      <c r="G899" s="23"/>
      <c r="H899" s="24"/>
      <c r="I899" s="3"/>
      <c r="J899" s="3"/>
      <c r="K899" s="3"/>
      <c r="L899" s="3"/>
      <c r="M899" s="3"/>
      <c r="N899" s="3"/>
      <c r="O899" s="3"/>
      <c r="P899" s="3"/>
      <c r="Q899" s="3"/>
      <c r="R899" s="3"/>
      <c r="S899" s="3"/>
      <c r="T899" s="3"/>
      <c r="U899" s="3"/>
      <c r="V899" s="3"/>
      <c r="W899" s="3"/>
      <c r="X899" s="3"/>
      <c r="Y899" s="3"/>
    </row>
    <row r="900" ht="14.25" customHeight="1">
      <c r="A900" s="3"/>
      <c r="B900" s="3"/>
      <c r="C900" s="3"/>
      <c r="D900" s="3"/>
      <c r="E900" s="3"/>
      <c r="F900" s="3"/>
      <c r="G900" s="23"/>
      <c r="H900" s="24"/>
      <c r="I900" s="3"/>
      <c r="J900" s="3"/>
      <c r="K900" s="3"/>
      <c r="L900" s="3"/>
      <c r="M900" s="3"/>
      <c r="N900" s="3"/>
      <c r="O900" s="3"/>
      <c r="P900" s="3"/>
      <c r="Q900" s="3"/>
      <c r="R900" s="3"/>
      <c r="S900" s="3"/>
      <c r="T900" s="3"/>
      <c r="U900" s="3"/>
      <c r="V900" s="3"/>
      <c r="W900" s="3"/>
      <c r="X900" s="3"/>
      <c r="Y900" s="3"/>
    </row>
    <row r="901" ht="14.25" customHeight="1">
      <c r="A901" s="3"/>
      <c r="B901" s="3"/>
      <c r="C901" s="3"/>
      <c r="D901" s="3"/>
      <c r="E901" s="3"/>
      <c r="F901" s="3"/>
      <c r="G901" s="23"/>
      <c r="H901" s="24"/>
      <c r="I901" s="3"/>
      <c r="J901" s="3"/>
      <c r="K901" s="3"/>
      <c r="L901" s="3"/>
      <c r="M901" s="3"/>
      <c r="N901" s="3"/>
      <c r="O901" s="3"/>
      <c r="P901" s="3"/>
      <c r="Q901" s="3"/>
      <c r="R901" s="3"/>
      <c r="S901" s="3"/>
      <c r="T901" s="3"/>
      <c r="U901" s="3"/>
      <c r="V901" s="3"/>
      <c r="W901" s="3"/>
      <c r="X901" s="3"/>
      <c r="Y901" s="3"/>
    </row>
    <row r="902" ht="14.25" customHeight="1">
      <c r="A902" s="3"/>
      <c r="B902" s="3"/>
      <c r="C902" s="3"/>
      <c r="D902" s="3"/>
      <c r="E902" s="3"/>
      <c r="F902" s="3"/>
      <c r="G902" s="23"/>
      <c r="H902" s="24"/>
      <c r="I902" s="3"/>
      <c r="J902" s="3"/>
      <c r="K902" s="3"/>
      <c r="L902" s="3"/>
      <c r="M902" s="3"/>
      <c r="N902" s="3"/>
      <c r="O902" s="3"/>
      <c r="P902" s="3"/>
      <c r="Q902" s="3"/>
      <c r="R902" s="3"/>
      <c r="S902" s="3"/>
      <c r="T902" s="3"/>
      <c r="U902" s="3"/>
      <c r="V902" s="3"/>
      <c r="W902" s="3"/>
      <c r="X902" s="3"/>
      <c r="Y902" s="3"/>
    </row>
    <row r="903" ht="14.25" customHeight="1">
      <c r="A903" s="3"/>
      <c r="B903" s="3"/>
      <c r="C903" s="3"/>
      <c r="D903" s="3"/>
      <c r="E903" s="3"/>
      <c r="F903" s="3"/>
      <c r="G903" s="23"/>
      <c r="H903" s="24"/>
      <c r="I903" s="3"/>
      <c r="J903" s="3"/>
      <c r="K903" s="3"/>
      <c r="L903" s="3"/>
      <c r="M903" s="3"/>
      <c r="N903" s="3"/>
      <c r="O903" s="3"/>
      <c r="P903" s="3"/>
      <c r="Q903" s="3"/>
      <c r="R903" s="3"/>
      <c r="S903" s="3"/>
      <c r="T903" s="3"/>
      <c r="U903" s="3"/>
      <c r="V903" s="3"/>
      <c r="W903" s="3"/>
      <c r="X903" s="3"/>
      <c r="Y903" s="3"/>
    </row>
    <row r="904" ht="14.25" customHeight="1">
      <c r="A904" s="3"/>
      <c r="B904" s="3"/>
      <c r="C904" s="3"/>
      <c r="D904" s="3"/>
      <c r="E904" s="3"/>
      <c r="F904" s="3"/>
      <c r="G904" s="23"/>
      <c r="H904" s="24"/>
      <c r="I904" s="3"/>
      <c r="J904" s="3"/>
      <c r="K904" s="3"/>
      <c r="L904" s="3"/>
      <c r="M904" s="3"/>
      <c r="N904" s="3"/>
      <c r="O904" s="3"/>
      <c r="P904" s="3"/>
      <c r="Q904" s="3"/>
      <c r="R904" s="3"/>
      <c r="S904" s="3"/>
      <c r="T904" s="3"/>
      <c r="U904" s="3"/>
      <c r="V904" s="3"/>
      <c r="W904" s="3"/>
      <c r="X904" s="3"/>
      <c r="Y904" s="3"/>
    </row>
    <row r="905" ht="14.25" customHeight="1">
      <c r="A905" s="3"/>
      <c r="B905" s="3"/>
      <c r="C905" s="3"/>
      <c r="D905" s="3"/>
      <c r="E905" s="3"/>
      <c r="F905" s="3"/>
      <c r="G905" s="23"/>
      <c r="H905" s="24"/>
      <c r="I905" s="3"/>
      <c r="J905" s="3"/>
      <c r="K905" s="3"/>
      <c r="L905" s="3"/>
      <c r="M905" s="3"/>
      <c r="N905" s="3"/>
      <c r="O905" s="3"/>
      <c r="P905" s="3"/>
      <c r="Q905" s="3"/>
      <c r="R905" s="3"/>
      <c r="S905" s="3"/>
      <c r="T905" s="3"/>
      <c r="U905" s="3"/>
      <c r="V905" s="3"/>
      <c r="W905" s="3"/>
      <c r="X905" s="3"/>
      <c r="Y905" s="3"/>
    </row>
    <row r="906" ht="14.25" customHeight="1">
      <c r="A906" s="3"/>
      <c r="B906" s="3"/>
      <c r="C906" s="3"/>
      <c r="D906" s="3"/>
      <c r="E906" s="3"/>
      <c r="F906" s="3"/>
      <c r="G906" s="23"/>
      <c r="H906" s="24"/>
      <c r="I906" s="3"/>
      <c r="J906" s="3"/>
      <c r="K906" s="3"/>
      <c r="L906" s="3"/>
      <c r="M906" s="3"/>
      <c r="N906" s="3"/>
      <c r="O906" s="3"/>
      <c r="P906" s="3"/>
      <c r="Q906" s="3"/>
      <c r="R906" s="3"/>
      <c r="S906" s="3"/>
      <c r="T906" s="3"/>
      <c r="U906" s="3"/>
      <c r="V906" s="3"/>
      <c r="W906" s="3"/>
      <c r="X906" s="3"/>
      <c r="Y906" s="3"/>
    </row>
    <row r="907" ht="14.25" customHeight="1">
      <c r="A907" s="3"/>
      <c r="B907" s="3"/>
      <c r="C907" s="3"/>
      <c r="D907" s="3"/>
      <c r="E907" s="3"/>
      <c r="F907" s="3"/>
      <c r="G907" s="23"/>
      <c r="H907" s="24"/>
      <c r="I907" s="3"/>
      <c r="J907" s="3"/>
      <c r="K907" s="3"/>
      <c r="L907" s="3"/>
      <c r="M907" s="3"/>
      <c r="N907" s="3"/>
      <c r="O907" s="3"/>
      <c r="P907" s="3"/>
      <c r="Q907" s="3"/>
      <c r="R907" s="3"/>
      <c r="S907" s="3"/>
      <c r="T907" s="3"/>
      <c r="U907" s="3"/>
      <c r="V907" s="3"/>
      <c r="W907" s="3"/>
      <c r="X907" s="3"/>
      <c r="Y907" s="3"/>
    </row>
    <row r="908" ht="14.25" customHeight="1">
      <c r="A908" s="3"/>
      <c r="B908" s="3"/>
      <c r="C908" s="3"/>
      <c r="D908" s="3"/>
      <c r="E908" s="3"/>
      <c r="F908" s="3"/>
      <c r="G908" s="23"/>
      <c r="H908" s="24"/>
      <c r="I908" s="3"/>
      <c r="J908" s="3"/>
      <c r="K908" s="3"/>
      <c r="L908" s="3"/>
      <c r="M908" s="3"/>
      <c r="N908" s="3"/>
      <c r="O908" s="3"/>
      <c r="P908" s="3"/>
      <c r="Q908" s="3"/>
      <c r="R908" s="3"/>
      <c r="S908" s="3"/>
      <c r="T908" s="3"/>
      <c r="U908" s="3"/>
      <c r="V908" s="3"/>
      <c r="W908" s="3"/>
      <c r="X908" s="3"/>
      <c r="Y908" s="3"/>
    </row>
    <row r="909" ht="14.25" customHeight="1">
      <c r="A909" s="3"/>
      <c r="B909" s="3"/>
      <c r="C909" s="3"/>
      <c r="D909" s="3"/>
      <c r="E909" s="3"/>
      <c r="F909" s="3"/>
      <c r="G909" s="23"/>
      <c r="H909" s="24"/>
      <c r="I909" s="3"/>
      <c r="J909" s="3"/>
      <c r="K909" s="3"/>
      <c r="L909" s="3"/>
      <c r="M909" s="3"/>
      <c r="N909" s="3"/>
      <c r="O909" s="3"/>
      <c r="P909" s="3"/>
      <c r="Q909" s="3"/>
      <c r="R909" s="3"/>
      <c r="S909" s="3"/>
      <c r="T909" s="3"/>
      <c r="U909" s="3"/>
      <c r="V909" s="3"/>
      <c r="W909" s="3"/>
      <c r="X909" s="3"/>
      <c r="Y909" s="3"/>
    </row>
    <row r="910" ht="14.25" customHeight="1">
      <c r="A910" s="3"/>
      <c r="B910" s="3"/>
      <c r="C910" s="3"/>
      <c r="D910" s="3"/>
      <c r="E910" s="3"/>
      <c r="F910" s="3"/>
      <c r="G910" s="23"/>
      <c r="H910" s="24"/>
      <c r="I910" s="3"/>
      <c r="J910" s="3"/>
      <c r="K910" s="3"/>
      <c r="L910" s="3"/>
      <c r="M910" s="3"/>
      <c r="N910" s="3"/>
      <c r="O910" s="3"/>
      <c r="P910" s="3"/>
      <c r="Q910" s="3"/>
      <c r="R910" s="3"/>
      <c r="S910" s="3"/>
      <c r="T910" s="3"/>
      <c r="U910" s="3"/>
      <c r="V910" s="3"/>
      <c r="W910" s="3"/>
      <c r="X910" s="3"/>
      <c r="Y910" s="3"/>
    </row>
    <row r="911" ht="14.25" customHeight="1">
      <c r="A911" s="3"/>
      <c r="B911" s="3"/>
      <c r="C911" s="3"/>
      <c r="D911" s="3"/>
      <c r="E911" s="3"/>
      <c r="F911" s="3"/>
      <c r="G911" s="23"/>
      <c r="H911" s="24"/>
      <c r="I911" s="3"/>
      <c r="J911" s="3"/>
      <c r="K911" s="3"/>
      <c r="L911" s="3"/>
      <c r="M911" s="3"/>
      <c r="N911" s="3"/>
      <c r="O911" s="3"/>
      <c r="P911" s="3"/>
      <c r="Q911" s="3"/>
      <c r="R911" s="3"/>
      <c r="S911" s="3"/>
      <c r="T911" s="3"/>
      <c r="U911" s="3"/>
      <c r="V911" s="3"/>
      <c r="W911" s="3"/>
      <c r="X911" s="3"/>
      <c r="Y911" s="3"/>
    </row>
    <row r="912" ht="14.25" customHeight="1">
      <c r="A912" s="3"/>
      <c r="B912" s="3"/>
      <c r="C912" s="3"/>
      <c r="D912" s="3"/>
      <c r="E912" s="3"/>
      <c r="F912" s="3"/>
      <c r="G912" s="23"/>
      <c r="H912" s="24"/>
      <c r="I912" s="3"/>
      <c r="J912" s="3"/>
      <c r="K912" s="3"/>
      <c r="L912" s="3"/>
      <c r="M912" s="3"/>
      <c r="N912" s="3"/>
      <c r="O912" s="3"/>
      <c r="P912" s="3"/>
      <c r="Q912" s="3"/>
      <c r="R912" s="3"/>
      <c r="S912" s="3"/>
      <c r="T912" s="3"/>
      <c r="U912" s="3"/>
      <c r="V912" s="3"/>
      <c r="W912" s="3"/>
      <c r="X912" s="3"/>
      <c r="Y912" s="3"/>
    </row>
    <row r="913" ht="14.25" customHeight="1">
      <c r="A913" s="3"/>
      <c r="B913" s="3"/>
      <c r="C913" s="3"/>
      <c r="D913" s="3"/>
      <c r="E913" s="3"/>
      <c r="F913" s="3"/>
      <c r="G913" s="23"/>
      <c r="H913" s="24"/>
      <c r="I913" s="3"/>
      <c r="J913" s="3"/>
      <c r="K913" s="3"/>
      <c r="L913" s="3"/>
      <c r="M913" s="3"/>
      <c r="N913" s="3"/>
      <c r="O913" s="3"/>
      <c r="P913" s="3"/>
      <c r="Q913" s="3"/>
      <c r="R913" s="3"/>
      <c r="S913" s="3"/>
      <c r="T913" s="3"/>
      <c r="U913" s="3"/>
      <c r="V913" s="3"/>
      <c r="W913" s="3"/>
      <c r="X913" s="3"/>
      <c r="Y913" s="3"/>
    </row>
    <row r="914" ht="14.25" customHeight="1">
      <c r="A914" s="3"/>
      <c r="B914" s="3"/>
      <c r="C914" s="3"/>
      <c r="D914" s="3"/>
      <c r="E914" s="3"/>
      <c r="F914" s="3"/>
      <c r="G914" s="23"/>
      <c r="H914" s="24"/>
      <c r="I914" s="3"/>
      <c r="J914" s="3"/>
      <c r="K914" s="3"/>
      <c r="L914" s="3"/>
      <c r="M914" s="3"/>
      <c r="N914" s="3"/>
      <c r="O914" s="3"/>
      <c r="P914" s="3"/>
      <c r="Q914" s="3"/>
      <c r="R914" s="3"/>
      <c r="S914" s="3"/>
      <c r="T914" s="3"/>
      <c r="U914" s="3"/>
      <c r="V914" s="3"/>
      <c r="W914" s="3"/>
      <c r="X914" s="3"/>
      <c r="Y914" s="3"/>
    </row>
    <row r="915" ht="14.25" customHeight="1">
      <c r="A915" s="3"/>
      <c r="B915" s="3"/>
      <c r="C915" s="3"/>
      <c r="D915" s="3"/>
      <c r="E915" s="3"/>
      <c r="F915" s="3"/>
      <c r="G915" s="23"/>
      <c r="H915" s="24"/>
      <c r="I915" s="3"/>
      <c r="J915" s="3"/>
      <c r="K915" s="3"/>
      <c r="L915" s="3"/>
      <c r="M915" s="3"/>
      <c r="N915" s="3"/>
      <c r="O915" s="3"/>
      <c r="P915" s="3"/>
      <c r="Q915" s="3"/>
      <c r="R915" s="3"/>
      <c r="S915" s="3"/>
      <c r="T915" s="3"/>
      <c r="U915" s="3"/>
      <c r="V915" s="3"/>
      <c r="W915" s="3"/>
      <c r="X915" s="3"/>
      <c r="Y915" s="3"/>
    </row>
    <row r="916" ht="14.25" customHeight="1">
      <c r="A916" s="3"/>
      <c r="B916" s="3"/>
      <c r="C916" s="3"/>
      <c r="D916" s="3"/>
      <c r="E916" s="3"/>
      <c r="F916" s="3"/>
      <c r="G916" s="23"/>
      <c r="H916" s="24"/>
      <c r="I916" s="3"/>
      <c r="J916" s="3"/>
      <c r="K916" s="3"/>
      <c r="L916" s="3"/>
      <c r="M916" s="3"/>
      <c r="N916" s="3"/>
      <c r="O916" s="3"/>
      <c r="P916" s="3"/>
      <c r="Q916" s="3"/>
      <c r="R916" s="3"/>
      <c r="S916" s="3"/>
      <c r="T916" s="3"/>
      <c r="U916" s="3"/>
      <c r="V916" s="3"/>
      <c r="W916" s="3"/>
      <c r="X916" s="3"/>
      <c r="Y916" s="3"/>
    </row>
    <row r="917" ht="14.25" customHeight="1">
      <c r="A917" s="3"/>
      <c r="B917" s="3"/>
      <c r="C917" s="3"/>
      <c r="D917" s="3"/>
      <c r="E917" s="3"/>
      <c r="F917" s="3"/>
      <c r="G917" s="23"/>
      <c r="H917" s="24"/>
      <c r="I917" s="3"/>
      <c r="J917" s="3"/>
      <c r="K917" s="3"/>
      <c r="L917" s="3"/>
      <c r="M917" s="3"/>
      <c r="N917" s="3"/>
      <c r="O917" s="3"/>
      <c r="P917" s="3"/>
      <c r="Q917" s="3"/>
      <c r="R917" s="3"/>
      <c r="S917" s="3"/>
      <c r="T917" s="3"/>
      <c r="U917" s="3"/>
      <c r="V917" s="3"/>
      <c r="W917" s="3"/>
      <c r="X917" s="3"/>
      <c r="Y917" s="3"/>
    </row>
    <row r="918" ht="14.25" customHeight="1">
      <c r="A918" s="3"/>
      <c r="B918" s="3"/>
      <c r="C918" s="3"/>
      <c r="D918" s="3"/>
      <c r="E918" s="3"/>
      <c r="F918" s="3"/>
      <c r="G918" s="23"/>
      <c r="H918" s="24"/>
      <c r="I918" s="3"/>
      <c r="J918" s="3"/>
      <c r="K918" s="3"/>
      <c r="L918" s="3"/>
      <c r="M918" s="3"/>
      <c r="N918" s="3"/>
      <c r="O918" s="3"/>
      <c r="P918" s="3"/>
      <c r="Q918" s="3"/>
      <c r="R918" s="3"/>
      <c r="S918" s="3"/>
      <c r="T918" s="3"/>
      <c r="U918" s="3"/>
      <c r="V918" s="3"/>
      <c r="W918" s="3"/>
      <c r="X918" s="3"/>
      <c r="Y918" s="3"/>
    </row>
    <row r="919" ht="14.25" customHeight="1">
      <c r="A919" s="3"/>
      <c r="B919" s="3"/>
      <c r="C919" s="3"/>
      <c r="D919" s="3"/>
      <c r="E919" s="3"/>
      <c r="F919" s="3"/>
      <c r="G919" s="23"/>
      <c r="H919" s="24"/>
      <c r="I919" s="3"/>
      <c r="J919" s="3"/>
      <c r="K919" s="3"/>
      <c r="L919" s="3"/>
      <c r="M919" s="3"/>
      <c r="N919" s="3"/>
      <c r="O919" s="3"/>
      <c r="P919" s="3"/>
      <c r="Q919" s="3"/>
      <c r="R919" s="3"/>
      <c r="S919" s="3"/>
      <c r="T919" s="3"/>
      <c r="U919" s="3"/>
      <c r="V919" s="3"/>
      <c r="W919" s="3"/>
      <c r="X919" s="3"/>
      <c r="Y919" s="3"/>
    </row>
    <row r="920" ht="14.25" customHeight="1">
      <c r="A920" s="3"/>
      <c r="B920" s="3"/>
      <c r="C920" s="3"/>
      <c r="D920" s="3"/>
      <c r="E920" s="3"/>
      <c r="F920" s="3"/>
      <c r="G920" s="23"/>
      <c r="H920" s="24"/>
      <c r="I920" s="3"/>
      <c r="J920" s="3"/>
      <c r="K920" s="3"/>
      <c r="L920" s="3"/>
      <c r="M920" s="3"/>
      <c r="N920" s="3"/>
      <c r="O920" s="3"/>
      <c r="P920" s="3"/>
      <c r="Q920" s="3"/>
      <c r="R920" s="3"/>
      <c r="S920" s="3"/>
      <c r="T920" s="3"/>
      <c r="U920" s="3"/>
      <c r="V920" s="3"/>
      <c r="W920" s="3"/>
      <c r="X920" s="3"/>
      <c r="Y920" s="3"/>
    </row>
    <row r="921" ht="14.25" customHeight="1">
      <c r="A921" s="3"/>
      <c r="B921" s="3"/>
      <c r="C921" s="3"/>
      <c r="D921" s="3"/>
      <c r="E921" s="3"/>
      <c r="F921" s="3"/>
      <c r="G921" s="23"/>
      <c r="H921" s="24"/>
      <c r="I921" s="3"/>
      <c r="J921" s="3"/>
      <c r="K921" s="3"/>
      <c r="L921" s="3"/>
      <c r="M921" s="3"/>
      <c r="N921" s="3"/>
      <c r="O921" s="3"/>
      <c r="P921" s="3"/>
      <c r="Q921" s="3"/>
      <c r="R921" s="3"/>
      <c r="S921" s="3"/>
      <c r="T921" s="3"/>
      <c r="U921" s="3"/>
      <c r="V921" s="3"/>
      <c r="W921" s="3"/>
      <c r="X921" s="3"/>
      <c r="Y921" s="3"/>
    </row>
    <row r="922" ht="14.25" customHeight="1">
      <c r="A922" s="3"/>
      <c r="B922" s="3"/>
      <c r="C922" s="3"/>
      <c r="D922" s="3"/>
      <c r="E922" s="3"/>
      <c r="F922" s="3"/>
      <c r="G922" s="23"/>
      <c r="H922" s="24"/>
      <c r="I922" s="3"/>
      <c r="J922" s="3"/>
      <c r="K922" s="3"/>
      <c r="L922" s="3"/>
      <c r="M922" s="3"/>
      <c r="N922" s="3"/>
      <c r="O922" s="3"/>
      <c r="P922" s="3"/>
      <c r="Q922" s="3"/>
      <c r="R922" s="3"/>
      <c r="S922" s="3"/>
      <c r="T922" s="3"/>
      <c r="U922" s="3"/>
      <c r="V922" s="3"/>
      <c r="W922" s="3"/>
      <c r="X922" s="3"/>
      <c r="Y922" s="3"/>
    </row>
    <row r="923" ht="14.25" customHeight="1">
      <c r="A923" s="3"/>
      <c r="B923" s="3"/>
      <c r="C923" s="3"/>
      <c r="D923" s="3"/>
      <c r="E923" s="3"/>
      <c r="F923" s="3"/>
      <c r="G923" s="23"/>
      <c r="H923" s="24"/>
      <c r="I923" s="3"/>
      <c r="J923" s="3"/>
      <c r="K923" s="3"/>
      <c r="L923" s="3"/>
      <c r="M923" s="3"/>
      <c r="N923" s="3"/>
      <c r="O923" s="3"/>
      <c r="P923" s="3"/>
      <c r="Q923" s="3"/>
      <c r="R923" s="3"/>
      <c r="S923" s="3"/>
      <c r="T923" s="3"/>
      <c r="U923" s="3"/>
      <c r="V923" s="3"/>
      <c r="W923" s="3"/>
      <c r="X923" s="3"/>
      <c r="Y923" s="3"/>
    </row>
    <row r="924" ht="14.25" customHeight="1">
      <c r="A924" s="3"/>
      <c r="B924" s="3"/>
      <c r="C924" s="3"/>
      <c r="D924" s="3"/>
      <c r="E924" s="3"/>
      <c r="F924" s="3"/>
      <c r="G924" s="23"/>
      <c r="H924" s="24"/>
      <c r="I924" s="3"/>
      <c r="J924" s="3"/>
      <c r="K924" s="3"/>
      <c r="L924" s="3"/>
      <c r="M924" s="3"/>
      <c r="N924" s="3"/>
      <c r="O924" s="3"/>
      <c r="P924" s="3"/>
      <c r="Q924" s="3"/>
      <c r="R924" s="3"/>
      <c r="S924" s="3"/>
      <c r="T924" s="3"/>
      <c r="U924" s="3"/>
      <c r="V924" s="3"/>
      <c r="W924" s="3"/>
      <c r="X924" s="3"/>
      <c r="Y924" s="3"/>
    </row>
    <row r="925" ht="14.25" customHeight="1">
      <c r="A925" s="3"/>
      <c r="B925" s="3"/>
      <c r="C925" s="3"/>
      <c r="D925" s="3"/>
      <c r="E925" s="3"/>
      <c r="F925" s="3"/>
      <c r="G925" s="23"/>
      <c r="H925" s="24"/>
      <c r="I925" s="3"/>
      <c r="J925" s="3"/>
      <c r="K925" s="3"/>
      <c r="L925" s="3"/>
      <c r="M925" s="3"/>
      <c r="N925" s="3"/>
      <c r="O925" s="3"/>
      <c r="P925" s="3"/>
      <c r="Q925" s="3"/>
      <c r="R925" s="3"/>
      <c r="S925" s="3"/>
      <c r="T925" s="3"/>
      <c r="U925" s="3"/>
      <c r="V925" s="3"/>
      <c r="W925" s="3"/>
      <c r="X925" s="3"/>
      <c r="Y925" s="3"/>
    </row>
    <row r="926" ht="14.25" customHeight="1">
      <c r="A926" s="3"/>
      <c r="B926" s="3"/>
      <c r="C926" s="3"/>
      <c r="D926" s="3"/>
      <c r="E926" s="3"/>
      <c r="F926" s="3"/>
      <c r="G926" s="23"/>
      <c r="H926" s="24"/>
      <c r="I926" s="3"/>
      <c r="J926" s="3"/>
      <c r="K926" s="3"/>
      <c r="L926" s="3"/>
      <c r="M926" s="3"/>
      <c r="N926" s="3"/>
      <c r="O926" s="3"/>
      <c r="P926" s="3"/>
      <c r="Q926" s="3"/>
      <c r="R926" s="3"/>
      <c r="S926" s="3"/>
      <c r="T926" s="3"/>
      <c r="U926" s="3"/>
      <c r="V926" s="3"/>
      <c r="W926" s="3"/>
      <c r="X926" s="3"/>
      <c r="Y926" s="3"/>
    </row>
    <row r="927" ht="14.25" customHeight="1">
      <c r="A927" s="3"/>
      <c r="B927" s="3"/>
      <c r="C927" s="3"/>
      <c r="D927" s="3"/>
      <c r="E927" s="3"/>
      <c r="F927" s="3"/>
      <c r="G927" s="23"/>
      <c r="H927" s="24"/>
      <c r="I927" s="3"/>
      <c r="J927" s="3"/>
      <c r="K927" s="3"/>
      <c r="L927" s="3"/>
      <c r="M927" s="3"/>
      <c r="N927" s="3"/>
      <c r="O927" s="3"/>
      <c r="P927" s="3"/>
      <c r="Q927" s="3"/>
      <c r="R927" s="3"/>
      <c r="S927" s="3"/>
      <c r="T927" s="3"/>
      <c r="U927" s="3"/>
      <c r="V927" s="3"/>
      <c r="W927" s="3"/>
      <c r="X927" s="3"/>
      <c r="Y927" s="3"/>
    </row>
    <row r="928" ht="14.25" customHeight="1">
      <c r="A928" s="3"/>
      <c r="B928" s="3"/>
      <c r="C928" s="3"/>
      <c r="D928" s="3"/>
      <c r="E928" s="3"/>
      <c r="F928" s="3"/>
      <c r="G928" s="23"/>
      <c r="H928" s="24"/>
      <c r="I928" s="3"/>
      <c r="J928" s="3"/>
      <c r="K928" s="3"/>
      <c r="L928" s="3"/>
      <c r="M928" s="3"/>
      <c r="N928" s="3"/>
      <c r="O928" s="3"/>
      <c r="P928" s="3"/>
      <c r="Q928" s="3"/>
      <c r="R928" s="3"/>
      <c r="S928" s="3"/>
      <c r="T928" s="3"/>
      <c r="U928" s="3"/>
      <c r="V928" s="3"/>
      <c r="W928" s="3"/>
      <c r="X928" s="3"/>
      <c r="Y928" s="3"/>
    </row>
    <row r="929" ht="14.25" customHeight="1">
      <c r="A929" s="3"/>
      <c r="B929" s="3"/>
      <c r="C929" s="3"/>
      <c r="D929" s="3"/>
      <c r="E929" s="3"/>
      <c r="F929" s="3"/>
      <c r="G929" s="23"/>
      <c r="H929" s="24"/>
      <c r="I929" s="3"/>
      <c r="J929" s="3"/>
      <c r="K929" s="3"/>
      <c r="L929" s="3"/>
      <c r="M929" s="3"/>
      <c r="N929" s="3"/>
      <c r="O929" s="3"/>
      <c r="P929" s="3"/>
      <c r="Q929" s="3"/>
      <c r="R929" s="3"/>
      <c r="S929" s="3"/>
      <c r="T929" s="3"/>
      <c r="U929" s="3"/>
      <c r="V929" s="3"/>
      <c r="W929" s="3"/>
      <c r="X929" s="3"/>
      <c r="Y929" s="3"/>
    </row>
    <row r="930" ht="14.25" customHeight="1">
      <c r="A930" s="3"/>
      <c r="B930" s="3"/>
      <c r="C930" s="3"/>
      <c r="D930" s="3"/>
      <c r="E930" s="3"/>
      <c r="F930" s="3"/>
      <c r="G930" s="23"/>
      <c r="H930" s="24"/>
      <c r="I930" s="3"/>
      <c r="J930" s="3"/>
      <c r="K930" s="3"/>
      <c r="L930" s="3"/>
      <c r="M930" s="3"/>
      <c r="N930" s="3"/>
      <c r="O930" s="3"/>
      <c r="P930" s="3"/>
      <c r="Q930" s="3"/>
      <c r="R930" s="3"/>
      <c r="S930" s="3"/>
      <c r="T930" s="3"/>
      <c r="U930" s="3"/>
      <c r="V930" s="3"/>
      <c r="W930" s="3"/>
      <c r="X930" s="3"/>
      <c r="Y930" s="3"/>
    </row>
    <row r="931" ht="14.25" customHeight="1">
      <c r="A931" s="3"/>
      <c r="B931" s="3"/>
      <c r="C931" s="3"/>
      <c r="D931" s="3"/>
      <c r="E931" s="3"/>
      <c r="F931" s="3"/>
      <c r="G931" s="23"/>
      <c r="H931" s="24"/>
      <c r="I931" s="3"/>
      <c r="J931" s="3"/>
      <c r="K931" s="3"/>
      <c r="L931" s="3"/>
      <c r="M931" s="3"/>
      <c r="N931" s="3"/>
      <c r="O931" s="3"/>
      <c r="P931" s="3"/>
      <c r="Q931" s="3"/>
      <c r="R931" s="3"/>
      <c r="S931" s="3"/>
      <c r="T931" s="3"/>
      <c r="U931" s="3"/>
      <c r="V931" s="3"/>
      <c r="W931" s="3"/>
      <c r="X931" s="3"/>
      <c r="Y931" s="3"/>
    </row>
    <row r="932" ht="14.25" customHeight="1">
      <c r="A932" s="3"/>
      <c r="B932" s="3"/>
      <c r="C932" s="3"/>
      <c r="D932" s="3"/>
      <c r="E932" s="3"/>
      <c r="F932" s="3"/>
      <c r="G932" s="23"/>
      <c r="H932" s="24"/>
      <c r="I932" s="3"/>
      <c r="J932" s="3"/>
      <c r="K932" s="3"/>
      <c r="L932" s="3"/>
      <c r="M932" s="3"/>
      <c r="N932" s="3"/>
      <c r="O932" s="3"/>
      <c r="P932" s="3"/>
      <c r="Q932" s="3"/>
      <c r="R932" s="3"/>
      <c r="S932" s="3"/>
      <c r="T932" s="3"/>
      <c r="U932" s="3"/>
      <c r="V932" s="3"/>
      <c r="W932" s="3"/>
      <c r="X932" s="3"/>
      <c r="Y932" s="3"/>
    </row>
    <row r="933" ht="14.25" customHeight="1">
      <c r="A933" s="3"/>
      <c r="B933" s="3"/>
      <c r="C933" s="3"/>
      <c r="D933" s="3"/>
      <c r="E933" s="3"/>
      <c r="F933" s="3"/>
      <c r="G933" s="23"/>
      <c r="H933" s="24"/>
      <c r="I933" s="3"/>
      <c r="J933" s="3"/>
      <c r="K933" s="3"/>
      <c r="L933" s="3"/>
      <c r="M933" s="3"/>
      <c r="N933" s="3"/>
      <c r="O933" s="3"/>
      <c r="P933" s="3"/>
      <c r="Q933" s="3"/>
      <c r="R933" s="3"/>
      <c r="S933" s="3"/>
      <c r="T933" s="3"/>
      <c r="U933" s="3"/>
      <c r="V933" s="3"/>
      <c r="W933" s="3"/>
      <c r="X933" s="3"/>
      <c r="Y933" s="3"/>
    </row>
    <row r="934" ht="14.25" customHeight="1">
      <c r="A934" s="3"/>
      <c r="B934" s="3"/>
      <c r="C934" s="3"/>
      <c r="D934" s="3"/>
      <c r="E934" s="3"/>
      <c r="F934" s="3"/>
      <c r="G934" s="23"/>
      <c r="H934" s="24"/>
      <c r="I934" s="3"/>
      <c r="J934" s="3"/>
      <c r="K934" s="3"/>
      <c r="L934" s="3"/>
      <c r="M934" s="3"/>
      <c r="N934" s="3"/>
      <c r="O934" s="3"/>
      <c r="P934" s="3"/>
      <c r="Q934" s="3"/>
      <c r="R934" s="3"/>
      <c r="S934" s="3"/>
      <c r="T934" s="3"/>
      <c r="U934" s="3"/>
      <c r="V934" s="3"/>
      <c r="W934" s="3"/>
      <c r="X934" s="3"/>
      <c r="Y934" s="3"/>
    </row>
    <row r="935" ht="14.25" customHeight="1">
      <c r="A935" s="3"/>
      <c r="B935" s="3"/>
      <c r="C935" s="3"/>
      <c r="D935" s="3"/>
      <c r="E935" s="3"/>
      <c r="F935" s="3"/>
      <c r="G935" s="23"/>
      <c r="H935" s="24"/>
      <c r="I935" s="3"/>
      <c r="J935" s="3"/>
      <c r="K935" s="3"/>
      <c r="L935" s="3"/>
      <c r="M935" s="3"/>
      <c r="N935" s="3"/>
      <c r="O935" s="3"/>
      <c r="P935" s="3"/>
      <c r="Q935" s="3"/>
      <c r="R935" s="3"/>
      <c r="S935" s="3"/>
      <c r="T935" s="3"/>
      <c r="U935" s="3"/>
      <c r="V935" s="3"/>
      <c r="W935" s="3"/>
      <c r="X935" s="3"/>
      <c r="Y935" s="3"/>
    </row>
    <row r="936" ht="14.25" customHeight="1">
      <c r="A936" s="3"/>
      <c r="B936" s="3"/>
      <c r="C936" s="3"/>
      <c r="D936" s="3"/>
      <c r="E936" s="3"/>
      <c r="F936" s="3"/>
      <c r="G936" s="23"/>
      <c r="H936" s="24"/>
      <c r="I936" s="3"/>
      <c r="J936" s="3"/>
      <c r="K936" s="3"/>
      <c r="L936" s="3"/>
      <c r="M936" s="3"/>
      <c r="N936" s="3"/>
      <c r="O936" s="3"/>
      <c r="P936" s="3"/>
      <c r="Q936" s="3"/>
      <c r="R936" s="3"/>
      <c r="S936" s="3"/>
      <c r="T936" s="3"/>
      <c r="U936" s="3"/>
      <c r="V936" s="3"/>
      <c r="W936" s="3"/>
      <c r="X936" s="3"/>
      <c r="Y936" s="3"/>
    </row>
    <row r="937" ht="14.25" customHeight="1">
      <c r="A937" s="3"/>
      <c r="B937" s="3"/>
      <c r="C937" s="3"/>
      <c r="D937" s="3"/>
      <c r="E937" s="3"/>
      <c r="F937" s="3"/>
      <c r="G937" s="23"/>
      <c r="H937" s="24"/>
      <c r="I937" s="3"/>
      <c r="J937" s="3"/>
      <c r="K937" s="3"/>
      <c r="L937" s="3"/>
      <c r="M937" s="3"/>
      <c r="N937" s="3"/>
      <c r="O937" s="3"/>
      <c r="P937" s="3"/>
      <c r="Q937" s="3"/>
      <c r="R937" s="3"/>
      <c r="S937" s="3"/>
      <c r="T937" s="3"/>
      <c r="U937" s="3"/>
      <c r="V937" s="3"/>
      <c r="W937" s="3"/>
      <c r="X937" s="3"/>
      <c r="Y937" s="3"/>
    </row>
    <row r="938" ht="14.25" customHeight="1">
      <c r="A938" s="3"/>
      <c r="B938" s="3"/>
      <c r="C938" s="3"/>
      <c r="D938" s="3"/>
      <c r="E938" s="3"/>
      <c r="F938" s="3"/>
      <c r="G938" s="23"/>
      <c r="H938" s="24"/>
      <c r="I938" s="3"/>
      <c r="J938" s="3"/>
      <c r="K938" s="3"/>
      <c r="L938" s="3"/>
      <c r="M938" s="3"/>
      <c r="N938" s="3"/>
      <c r="O938" s="3"/>
      <c r="P938" s="3"/>
      <c r="Q938" s="3"/>
      <c r="R938" s="3"/>
      <c r="S938" s="3"/>
      <c r="T938" s="3"/>
      <c r="U938" s="3"/>
      <c r="V938" s="3"/>
      <c r="W938" s="3"/>
      <c r="X938" s="3"/>
      <c r="Y938" s="3"/>
    </row>
    <row r="939" ht="14.25" customHeight="1">
      <c r="A939" s="3"/>
      <c r="B939" s="3"/>
      <c r="C939" s="3"/>
      <c r="D939" s="3"/>
      <c r="E939" s="3"/>
      <c r="F939" s="3"/>
      <c r="G939" s="23"/>
      <c r="H939" s="24"/>
      <c r="I939" s="3"/>
      <c r="J939" s="3"/>
      <c r="K939" s="3"/>
      <c r="L939" s="3"/>
      <c r="M939" s="3"/>
      <c r="N939" s="3"/>
      <c r="O939" s="3"/>
      <c r="P939" s="3"/>
      <c r="Q939" s="3"/>
      <c r="R939" s="3"/>
      <c r="S939" s="3"/>
      <c r="T939" s="3"/>
      <c r="U939" s="3"/>
      <c r="V939" s="3"/>
      <c r="W939" s="3"/>
      <c r="X939" s="3"/>
      <c r="Y939" s="3"/>
    </row>
    <row r="940" ht="14.25" customHeight="1">
      <c r="A940" s="3"/>
      <c r="B940" s="3"/>
      <c r="C940" s="3"/>
      <c r="D940" s="3"/>
      <c r="E940" s="3"/>
      <c r="F940" s="3"/>
      <c r="G940" s="23"/>
      <c r="H940" s="24"/>
      <c r="I940" s="3"/>
      <c r="J940" s="3"/>
      <c r="K940" s="3"/>
      <c r="L940" s="3"/>
      <c r="M940" s="3"/>
      <c r="N940" s="3"/>
      <c r="O940" s="3"/>
      <c r="P940" s="3"/>
      <c r="Q940" s="3"/>
      <c r="R940" s="3"/>
      <c r="S940" s="3"/>
      <c r="T940" s="3"/>
      <c r="U940" s="3"/>
      <c r="V940" s="3"/>
      <c r="W940" s="3"/>
      <c r="X940" s="3"/>
      <c r="Y940" s="3"/>
    </row>
    <row r="941" ht="14.25" customHeight="1">
      <c r="A941" s="3"/>
      <c r="B941" s="3"/>
      <c r="C941" s="3"/>
      <c r="D941" s="3"/>
      <c r="E941" s="3"/>
      <c r="F941" s="3"/>
      <c r="G941" s="23"/>
      <c r="H941" s="24"/>
      <c r="I941" s="3"/>
      <c r="J941" s="3"/>
      <c r="K941" s="3"/>
      <c r="L941" s="3"/>
      <c r="M941" s="3"/>
      <c r="N941" s="3"/>
      <c r="O941" s="3"/>
      <c r="P941" s="3"/>
      <c r="Q941" s="3"/>
      <c r="R941" s="3"/>
      <c r="S941" s="3"/>
      <c r="T941" s="3"/>
      <c r="U941" s="3"/>
      <c r="V941" s="3"/>
      <c r="W941" s="3"/>
      <c r="X941" s="3"/>
      <c r="Y941" s="3"/>
    </row>
    <row r="942" ht="14.25" customHeight="1">
      <c r="A942" s="3"/>
      <c r="B942" s="3"/>
      <c r="C942" s="3"/>
      <c r="D942" s="3"/>
      <c r="E942" s="3"/>
      <c r="F942" s="3"/>
      <c r="G942" s="23"/>
      <c r="H942" s="24"/>
      <c r="I942" s="3"/>
      <c r="J942" s="3"/>
      <c r="K942" s="3"/>
      <c r="L942" s="3"/>
      <c r="M942" s="3"/>
      <c r="N942" s="3"/>
      <c r="O942" s="3"/>
      <c r="P942" s="3"/>
      <c r="Q942" s="3"/>
      <c r="R942" s="3"/>
      <c r="S942" s="3"/>
      <c r="T942" s="3"/>
      <c r="U942" s="3"/>
      <c r="V942" s="3"/>
      <c r="W942" s="3"/>
      <c r="X942" s="3"/>
      <c r="Y942" s="3"/>
    </row>
    <row r="943" ht="14.25" customHeight="1">
      <c r="A943" s="3"/>
      <c r="B943" s="3"/>
      <c r="C943" s="3"/>
      <c r="D943" s="3"/>
      <c r="E943" s="3"/>
      <c r="F943" s="3"/>
      <c r="G943" s="23"/>
      <c r="H943" s="24"/>
      <c r="I943" s="3"/>
      <c r="J943" s="3"/>
      <c r="K943" s="3"/>
      <c r="L943" s="3"/>
      <c r="M943" s="3"/>
      <c r="N943" s="3"/>
      <c r="O943" s="3"/>
      <c r="P943" s="3"/>
      <c r="Q943" s="3"/>
      <c r="R943" s="3"/>
      <c r="S943" s="3"/>
      <c r="T943" s="3"/>
      <c r="U943" s="3"/>
      <c r="V943" s="3"/>
      <c r="W943" s="3"/>
      <c r="X943" s="3"/>
      <c r="Y943" s="3"/>
    </row>
    <row r="944" ht="14.25" customHeight="1">
      <c r="A944" s="3"/>
      <c r="B944" s="3"/>
      <c r="C944" s="3"/>
      <c r="D944" s="3"/>
      <c r="E944" s="3"/>
      <c r="F944" s="3"/>
      <c r="G944" s="23"/>
      <c r="H944" s="24"/>
      <c r="I944" s="3"/>
      <c r="J944" s="3"/>
      <c r="K944" s="3"/>
      <c r="L944" s="3"/>
      <c r="M944" s="3"/>
      <c r="N944" s="3"/>
      <c r="O944" s="3"/>
      <c r="P944" s="3"/>
      <c r="Q944" s="3"/>
      <c r="R944" s="3"/>
      <c r="S944" s="3"/>
      <c r="T944" s="3"/>
      <c r="U944" s="3"/>
      <c r="V944" s="3"/>
      <c r="W944" s="3"/>
      <c r="X944" s="3"/>
      <c r="Y944" s="3"/>
    </row>
    <row r="945" ht="14.25" customHeight="1">
      <c r="A945" s="3"/>
      <c r="B945" s="3"/>
      <c r="C945" s="3"/>
      <c r="D945" s="3"/>
      <c r="E945" s="3"/>
      <c r="F945" s="3"/>
      <c r="G945" s="23"/>
      <c r="H945" s="24"/>
      <c r="I945" s="3"/>
      <c r="J945" s="3"/>
      <c r="K945" s="3"/>
      <c r="L945" s="3"/>
      <c r="M945" s="3"/>
      <c r="N945" s="3"/>
      <c r="O945" s="3"/>
      <c r="P945" s="3"/>
      <c r="Q945" s="3"/>
      <c r="R945" s="3"/>
      <c r="S945" s="3"/>
      <c r="T945" s="3"/>
      <c r="U945" s="3"/>
      <c r="V945" s="3"/>
      <c r="W945" s="3"/>
      <c r="X945" s="3"/>
      <c r="Y945" s="3"/>
    </row>
    <row r="946" ht="14.25" customHeight="1">
      <c r="A946" s="3"/>
      <c r="B946" s="3"/>
      <c r="C946" s="3"/>
      <c r="D946" s="3"/>
      <c r="E946" s="3"/>
      <c r="F946" s="3"/>
      <c r="G946" s="23"/>
      <c r="H946" s="24"/>
      <c r="I946" s="3"/>
      <c r="J946" s="3"/>
      <c r="K946" s="3"/>
      <c r="L946" s="3"/>
      <c r="M946" s="3"/>
      <c r="N946" s="3"/>
      <c r="O946" s="3"/>
      <c r="P946" s="3"/>
      <c r="Q946" s="3"/>
      <c r="R946" s="3"/>
      <c r="S946" s="3"/>
      <c r="T946" s="3"/>
      <c r="U946" s="3"/>
      <c r="V946" s="3"/>
      <c r="W946" s="3"/>
      <c r="X946" s="3"/>
      <c r="Y946" s="3"/>
    </row>
    <row r="947" ht="14.25" customHeight="1">
      <c r="A947" s="3"/>
      <c r="B947" s="3"/>
      <c r="C947" s="3"/>
      <c r="D947" s="3"/>
      <c r="E947" s="3"/>
      <c r="F947" s="3"/>
      <c r="G947" s="23"/>
      <c r="H947" s="24"/>
      <c r="I947" s="3"/>
      <c r="J947" s="3"/>
      <c r="K947" s="3"/>
      <c r="L947" s="3"/>
      <c r="M947" s="3"/>
      <c r="N947" s="3"/>
      <c r="O947" s="3"/>
      <c r="P947" s="3"/>
      <c r="Q947" s="3"/>
      <c r="R947" s="3"/>
      <c r="S947" s="3"/>
      <c r="T947" s="3"/>
      <c r="U947" s="3"/>
      <c r="V947" s="3"/>
      <c r="W947" s="3"/>
      <c r="X947" s="3"/>
      <c r="Y947" s="3"/>
    </row>
    <row r="948" ht="14.25" customHeight="1">
      <c r="A948" s="3"/>
      <c r="B948" s="3"/>
      <c r="C948" s="3"/>
      <c r="D948" s="3"/>
      <c r="E948" s="3"/>
      <c r="F948" s="3"/>
      <c r="G948" s="23"/>
      <c r="H948" s="24"/>
      <c r="I948" s="3"/>
      <c r="J948" s="3"/>
      <c r="K948" s="3"/>
      <c r="L948" s="3"/>
      <c r="M948" s="3"/>
      <c r="N948" s="3"/>
      <c r="O948" s="3"/>
      <c r="P948" s="3"/>
      <c r="Q948" s="3"/>
      <c r="R948" s="3"/>
      <c r="S948" s="3"/>
      <c r="T948" s="3"/>
      <c r="U948" s="3"/>
      <c r="V948" s="3"/>
      <c r="W948" s="3"/>
      <c r="X948" s="3"/>
      <c r="Y948" s="3"/>
    </row>
    <row r="949" ht="14.25" customHeight="1">
      <c r="A949" s="3"/>
      <c r="B949" s="3"/>
      <c r="C949" s="3"/>
      <c r="D949" s="3"/>
      <c r="E949" s="3"/>
      <c r="F949" s="3"/>
      <c r="G949" s="23"/>
      <c r="H949" s="24"/>
      <c r="I949" s="3"/>
      <c r="J949" s="3"/>
      <c r="K949" s="3"/>
      <c r="L949" s="3"/>
      <c r="M949" s="3"/>
      <c r="N949" s="3"/>
      <c r="O949" s="3"/>
      <c r="P949" s="3"/>
      <c r="Q949" s="3"/>
      <c r="R949" s="3"/>
      <c r="S949" s="3"/>
      <c r="T949" s="3"/>
      <c r="U949" s="3"/>
      <c r="V949" s="3"/>
      <c r="W949" s="3"/>
      <c r="X949" s="3"/>
      <c r="Y949" s="3"/>
    </row>
    <row r="950" ht="14.25" customHeight="1">
      <c r="A950" s="3"/>
      <c r="B950" s="3"/>
      <c r="C950" s="3"/>
      <c r="D950" s="3"/>
      <c r="E950" s="3"/>
      <c r="F950" s="3"/>
      <c r="G950" s="23"/>
      <c r="H950" s="24"/>
      <c r="I950" s="3"/>
      <c r="J950" s="3"/>
      <c r="K950" s="3"/>
      <c r="L950" s="3"/>
      <c r="M950" s="3"/>
      <c r="N950" s="3"/>
      <c r="O950" s="3"/>
      <c r="P950" s="3"/>
      <c r="Q950" s="3"/>
      <c r="R950" s="3"/>
      <c r="S950" s="3"/>
      <c r="T950" s="3"/>
      <c r="U950" s="3"/>
      <c r="V950" s="3"/>
      <c r="W950" s="3"/>
      <c r="X950" s="3"/>
      <c r="Y950" s="3"/>
    </row>
    <row r="951" ht="14.25" customHeight="1">
      <c r="A951" s="3"/>
      <c r="B951" s="3"/>
      <c r="C951" s="3"/>
      <c r="D951" s="3"/>
      <c r="E951" s="3"/>
      <c r="F951" s="3"/>
      <c r="G951" s="23"/>
      <c r="H951" s="24"/>
      <c r="I951" s="3"/>
      <c r="J951" s="3"/>
      <c r="K951" s="3"/>
      <c r="L951" s="3"/>
      <c r="M951" s="3"/>
      <c r="N951" s="3"/>
      <c r="O951" s="3"/>
      <c r="P951" s="3"/>
      <c r="Q951" s="3"/>
      <c r="R951" s="3"/>
      <c r="S951" s="3"/>
      <c r="T951" s="3"/>
      <c r="U951" s="3"/>
      <c r="V951" s="3"/>
      <c r="W951" s="3"/>
      <c r="X951" s="3"/>
      <c r="Y951" s="3"/>
    </row>
    <row r="952" ht="14.25" customHeight="1">
      <c r="A952" s="3"/>
      <c r="B952" s="3"/>
      <c r="C952" s="3"/>
      <c r="D952" s="3"/>
      <c r="E952" s="3"/>
      <c r="F952" s="3"/>
      <c r="G952" s="23"/>
      <c r="H952" s="24"/>
      <c r="I952" s="3"/>
      <c r="J952" s="3"/>
      <c r="K952" s="3"/>
      <c r="L952" s="3"/>
      <c r="M952" s="3"/>
      <c r="N952" s="3"/>
      <c r="O952" s="3"/>
      <c r="P952" s="3"/>
      <c r="Q952" s="3"/>
      <c r="R952" s="3"/>
      <c r="S952" s="3"/>
      <c r="T952" s="3"/>
      <c r="U952" s="3"/>
      <c r="V952" s="3"/>
      <c r="W952" s="3"/>
      <c r="X952" s="3"/>
      <c r="Y952" s="3"/>
    </row>
    <row r="953" ht="14.25" customHeight="1">
      <c r="A953" s="3"/>
      <c r="B953" s="3"/>
      <c r="C953" s="3"/>
      <c r="D953" s="3"/>
      <c r="E953" s="3"/>
      <c r="F953" s="3"/>
      <c r="G953" s="23"/>
      <c r="H953" s="24"/>
      <c r="I953" s="3"/>
      <c r="J953" s="3"/>
      <c r="K953" s="3"/>
      <c r="L953" s="3"/>
      <c r="M953" s="3"/>
      <c r="N953" s="3"/>
      <c r="O953" s="3"/>
      <c r="P953" s="3"/>
      <c r="Q953" s="3"/>
      <c r="R953" s="3"/>
      <c r="S953" s="3"/>
      <c r="T953" s="3"/>
      <c r="U953" s="3"/>
      <c r="V953" s="3"/>
      <c r="W953" s="3"/>
      <c r="X953" s="3"/>
      <c r="Y953" s="3"/>
    </row>
    <row r="954" ht="14.25" customHeight="1">
      <c r="A954" s="3"/>
      <c r="B954" s="3"/>
      <c r="C954" s="3"/>
      <c r="D954" s="3"/>
      <c r="E954" s="3"/>
      <c r="F954" s="3"/>
      <c r="G954" s="23"/>
      <c r="H954" s="24"/>
      <c r="I954" s="3"/>
      <c r="J954" s="3"/>
      <c r="K954" s="3"/>
      <c r="L954" s="3"/>
      <c r="M954" s="3"/>
      <c r="N954" s="3"/>
      <c r="O954" s="3"/>
      <c r="P954" s="3"/>
      <c r="Q954" s="3"/>
      <c r="R954" s="3"/>
      <c r="S954" s="3"/>
      <c r="T954" s="3"/>
      <c r="U954" s="3"/>
      <c r="V954" s="3"/>
      <c r="W954" s="3"/>
      <c r="X954" s="3"/>
      <c r="Y954" s="3"/>
    </row>
    <row r="955" ht="14.25" customHeight="1">
      <c r="A955" s="3"/>
      <c r="B955" s="3"/>
      <c r="C955" s="3"/>
      <c r="D955" s="3"/>
      <c r="E955" s="3"/>
      <c r="F955" s="3"/>
      <c r="G955" s="23"/>
      <c r="H955" s="24"/>
      <c r="I955" s="3"/>
      <c r="J955" s="3"/>
      <c r="K955" s="3"/>
      <c r="L955" s="3"/>
      <c r="M955" s="3"/>
      <c r="N955" s="3"/>
      <c r="O955" s="3"/>
      <c r="P955" s="3"/>
      <c r="Q955" s="3"/>
      <c r="R955" s="3"/>
      <c r="S955" s="3"/>
      <c r="T955" s="3"/>
      <c r="U955" s="3"/>
      <c r="V955" s="3"/>
      <c r="W955" s="3"/>
      <c r="X955" s="3"/>
      <c r="Y955" s="3"/>
    </row>
    <row r="956" ht="14.25" customHeight="1">
      <c r="A956" s="3"/>
      <c r="B956" s="3"/>
      <c r="C956" s="3"/>
      <c r="D956" s="3"/>
      <c r="E956" s="3"/>
      <c r="F956" s="3"/>
      <c r="G956" s="23"/>
      <c r="H956" s="24"/>
      <c r="I956" s="3"/>
      <c r="J956" s="3"/>
      <c r="K956" s="3"/>
      <c r="L956" s="3"/>
      <c r="M956" s="3"/>
      <c r="N956" s="3"/>
      <c r="O956" s="3"/>
      <c r="P956" s="3"/>
      <c r="Q956" s="3"/>
      <c r="R956" s="3"/>
      <c r="S956" s="3"/>
      <c r="T956" s="3"/>
      <c r="U956" s="3"/>
      <c r="V956" s="3"/>
      <c r="W956" s="3"/>
      <c r="X956" s="3"/>
      <c r="Y956" s="3"/>
    </row>
    <row r="957" ht="14.25" customHeight="1">
      <c r="A957" s="3"/>
      <c r="B957" s="3"/>
      <c r="C957" s="3"/>
      <c r="D957" s="3"/>
      <c r="E957" s="3"/>
      <c r="F957" s="3"/>
      <c r="G957" s="23"/>
      <c r="H957" s="24"/>
      <c r="I957" s="3"/>
      <c r="J957" s="3"/>
      <c r="K957" s="3"/>
      <c r="L957" s="3"/>
      <c r="M957" s="3"/>
      <c r="N957" s="3"/>
      <c r="O957" s="3"/>
      <c r="P957" s="3"/>
      <c r="Q957" s="3"/>
      <c r="R957" s="3"/>
      <c r="S957" s="3"/>
      <c r="T957" s="3"/>
      <c r="U957" s="3"/>
      <c r="V957" s="3"/>
      <c r="W957" s="3"/>
      <c r="X957" s="3"/>
      <c r="Y957" s="3"/>
    </row>
    <row r="958" ht="14.25" customHeight="1">
      <c r="A958" s="3"/>
      <c r="B958" s="3"/>
      <c r="C958" s="3"/>
      <c r="D958" s="3"/>
      <c r="E958" s="3"/>
      <c r="F958" s="3"/>
      <c r="G958" s="23"/>
      <c r="H958" s="24"/>
      <c r="I958" s="3"/>
      <c r="J958" s="3"/>
      <c r="K958" s="3"/>
      <c r="L958" s="3"/>
      <c r="M958" s="3"/>
      <c r="N958" s="3"/>
      <c r="O958" s="3"/>
      <c r="P958" s="3"/>
      <c r="Q958" s="3"/>
      <c r="R958" s="3"/>
      <c r="S958" s="3"/>
      <c r="T958" s="3"/>
      <c r="U958" s="3"/>
      <c r="V958" s="3"/>
      <c r="W958" s="3"/>
      <c r="X958" s="3"/>
      <c r="Y958" s="3"/>
    </row>
    <row r="959" ht="14.25" customHeight="1">
      <c r="A959" s="3"/>
      <c r="B959" s="3"/>
      <c r="C959" s="3"/>
      <c r="D959" s="3"/>
      <c r="E959" s="3"/>
      <c r="F959" s="3"/>
      <c r="G959" s="23"/>
      <c r="H959" s="24"/>
      <c r="I959" s="3"/>
      <c r="J959" s="3"/>
      <c r="K959" s="3"/>
      <c r="L959" s="3"/>
      <c r="M959" s="3"/>
      <c r="N959" s="3"/>
      <c r="O959" s="3"/>
      <c r="P959" s="3"/>
      <c r="Q959" s="3"/>
      <c r="R959" s="3"/>
      <c r="S959" s="3"/>
      <c r="T959" s="3"/>
      <c r="U959" s="3"/>
      <c r="V959" s="3"/>
      <c r="W959" s="3"/>
      <c r="X959" s="3"/>
      <c r="Y959" s="3"/>
    </row>
    <row r="960" ht="14.25" customHeight="1">
      <c r="A960" s="3"/>
      <c r="B960" s="3"/>
      <c r="C960" s="3"/>
      <c r="D960" s="3"/>
      <c r="E960" s="3"/>
      <c r="F960" s="3"/>
      <c r="G960" s="23"/>
      <c r="H960" s="24"/>
      <c r="I960" s="3"/>
      <c r="J960" s="3"/>
      <c r="K960" s="3"/>
      <c r="L960" s="3"/>
      <c r="M960" s="3"/>
      <c r="N960" s="3"/>
      <c r="O960" s="3"/>
      <c r="P960" s="3"/>
      <c r="Q960" s="3"/>
      <c r="R960" s="3"/>
      <c r="S960" s="3"/>
      <c r="T960" s="3"/>
      <c r="U960" s="3"/>
      <c r="V960" s="3"/>
      <c r="W960" s="3"/>
      <c r="X960" s="3"/>
      <c r="Y960" s="3"/>
    </row>
    <row r="961" ht="14.25" customHeight="1">
      <c r="A961" s="3"/>
      <c r="B961" s="3"/>
      <c r="C961" s="3"/>
      <c r="D961" s="3"/>
      <c r="E961" s="3"/>
      <c r="F961" s="3"/>
      <c r="G961" s="23"/>
      <c r="H961" s="24"/>
      <c r="I961" s="3"/>
      <c r="J961" s="3"/>
      <c r="K961" s="3"/>
      <c r="L961" s="3"/>
      <c r="M961" s="3"/>
      <c r="N961" s="3"/>
      <c r="O961" s="3"/>
      <c r="P961" s="3"/>
      <c r="Q961" s="3"/>
      <c r="R961" s="3"/>
      <c r="S961" s="3"/>
      <c r="T961" s="3"/>
      <c r="U961" s="3"/>
      <c r="V961" s="3"/>
      <c r="W961" s="3"/>
      <c r="X961" s="3"/>
      <c r="Y961" s="3"/>
    </row>
    <row r="962" ht="14.25" customHeight="1">
      <c r="A962" s="3"/>
      <c r="B962" s="3"/>
      <c r="C962" s="3"/>
      <c r="D962" s="3"/>
      <c r="E962" s="3"/>
      <c r="F962" s="3"/>
      <c r="G962" s="23"/>
      <c r="H962" s="24"/>
      <c r="I962" s="3"/>
      <c r="J962" s="3"/>
      <c r="K962" s="3"/>
      <c r="L962" s="3"/>
      <c r="M962" s="3"/>
      <c r="N962" s="3"/>
      <c r="O962" s="3"/>
      <c r="P962" s="3"/>
      <c r="Q962" s="3"/>
      <c r="R962" s="3"/>
      <c r="S962" s="3"/>
      <c r="T962" s="3"/>
      <c r="U962" s="3"/>
      <c r="V962" s="3"/>
      <c r="W962" s="3"/>
      <c r="X962" s="3"/>
      <c r="Y962" s="3"/>
    </row>
    <row r="963" ht="14.25" customHeight="1">
      <c r="A963" s="3"/>
      <c r="B963" s="3"/>
      <c r="C963" s="3"/>
      <c r="D963" s="3"/>
      <c r="E963" s="3"/>
      <c r="F963" s="3"/>
      <c r="G963" s="23"/>
      <c r="H963" s="24"/>
      <c r="I963" s="3"/>
      <c r="J963" s="3"/>
      <c r="K963" s="3"/>
      <c r="L963" s="3"/>
      <c r="M963" s="3"/>
      <c r="N963" s="3"/>
      <c r="O963" s="3"/>
      <c r="P963" s="3"/>
      <c r="Q963" s="3"/>
      <c r="R963" s="3"/>
      <c r="S963" s="3"/>
      <c r="T963" s="3"/>
      <c r="U963" s="3"/>
      <c r="V963" s="3"/>
      <c r="W963" s="3"/>
      <c r="X963" s="3"/>
      <c r="Y963" s="3"/>
    </row>
    <row r="964" ht="14.25" customHeight="1">
      <c r="A964" s="3"/>
      <c r="B964" s="3"/>
      <c r="C964" s="3"/>
      <c r="D964" s="3"/>
      <c r="E964" s="3"/>
      <c r="F964" s="3"/>
      <c r="G964" s="23"/>
      <c r="H964" s="24"/>
      <c r="I964" s="3"/>
      <c r="J964" s="3"/>
      <c r="K964" s="3"/>
      <c r="L964" s="3"/>
      <c r="M964" s="3"/>
      <c r="N964" s="3"/>
      <c r="O964" s="3"/>
      <c r="P964" s="3"/>
      <c r="Q964" s="3"/>
      <c r="R964" s="3"/>
      <c r="S964" s="3"/>
      <c r="T964" s="3"/>
      <c r="U964" s="3"/>
      <c r="V964" s="3"/>
      <c r="W964" s="3"/>
      <c r="X964" s="3"/>
      <c r="Y964" s="3"/>
    </row>
    <row r="965" ht="14.25" customHeight="1">
      <c r="A965" s="3"/>
      <c r="B965" s="3"/>
      <c r="C965" s="3"/>
      <c r="D965" s="3"/>
      <c r="E965" s="3"/>
      <c r="F965" s="3"/>
      <c r="G965" s="23"/>
      <c r="H965" s="24"/>
      <c r="I965" s="3"/>
      <c r="J965" s="3"/>
      <c r="K965" s="3"/>
      <c r="L965" s="3"/>
      <c r="M965" s="3"/>
      <c r="N965" s="3"/>
      <c r="O965" s="3"/>
      <c r="P965" s="3"/>
      <c r="Q965" s="3"/>
      <c r="R965" s="3"/>
      <c r="S965" s="3"/>
      <c r="T965" s="3"/>
      <c r="U965" s="3"/>
      <c r="V965" s="3"/>
      <c r="W965" s="3"/>
      <c r="X965" s="3"/>
      <c r="Y965" s="3"/>
    </row>
    <row r="966" ht="14.25" customHeight="1">
      <c r="A966" s="3"/>
      <c r="B966" s="3"/>
      <c r="C966" s="3"/>
      <c r="D966" s="3"/>
      <c r="E966" s="3"/>
      <c r="F966" s="3"/>
      <c r="G966" s="23"/>
      <c r="H966" s="24"/>
      <c r="I966" s="3"/>
      <c r="J966" s="3"/>
      <c r="K966" s="3"/>
      <c r="L966" s="3"/>
      <c r="M966" s="3"/>
      <c r="N966" s="3"/>
      <c r="O966" s="3"/>
      <c r="P966" s="3"/>
      <c r="Q966" s="3"/>
      <c r="R966" s="3"/>
      <c r="S966" s="3"/>
      <c r="T966" s="3"/>
      <c r="U966" s="3"/>
      <c r="V966" s="3"/>
      <c r="W966" s="3"/>
      <c r="X966" s="3"/>
      <c r="Y966" s="3"/>
    </row>
    <row r="967" ht="14.25" customHeight="1">
      <c r="A967" s="3"/>
      <c r="B967" s="3"/>
      <c r="C967" s="3"/>
      <c r="D967" s="3"/>
      <c r="E967" s="3"/>
      <c r="F967" s="3"/>
      <c r="G967" s="23"/>
      <c r="H967" s="24"/>
      <c r="I967" s="3"/>
      <c r="J967" s="3"/>
      <c r="K967" s="3"/>
      <c r="L967" s="3"/>
      <c r="M967" s="3"/>
      <c r="N967" s="3"/>
      <c r="O967" s="3"/>
      <c r="P967" s="3"/>
      <c r="Q967" s="3"/>
      <c r="R967" s="3"/>
      <c r="S967" s="3"/>
      <c r="T967" s="3"/>
      <c r="U967" s="3"/>
      <c r="V967" s="3"/>
      <c r="W967" s="3"/>
      <c r="X967" s="3"/>
      <c r="Y967" s="3"/>
    </row>
    <row r="968" ht="14.25" customHeight="1">
      <c r="A968" s="3"/>
      <c r="B968" s="3"/>
      <c r="C968" s="3"/>
      <c r="D968" s="3"/>
      <c r="E968" s="3"/>
      <c r="F968" s="3"/>
      <c r="G968" s="23"/>
      <c r="H968" s="24"/>
      <c r="I968" s="3"/>
      <c r="J968" s="3"/>
      <c r="K968" s="3"/>
      <c r="L968" s="3"/>
      <c r="M968" s="3"/>
      <c r="N968" s="3"/>
      <c r="O968" s="3"/>
      <c r="P968" s="3"/>
      <c r="Q968" s="3"/>
      <c r="R968" s="3"/>
      <c r="S968" s="3"/>
      <c r="T968" s="3"/>
      <c r="U968" s="3"/>
      <c r="V968" s="3"/>
      <c r="W968" s="3"/>
      <c r="X968" s="3"/>
      <c r="Y968" s="3"/>
    </row>
    <row r="969" ht="14.25" customHeight="1">
      <c r="A969" s="3"/>
      <c r="B969" s="3"/>
      <c r="C969" s="3"/>
      <c r="D969" s="3"/>
      <c r="E969" s="3"/>
      <c r="F969" s="3"/>
      <c r="G969" s="23"/>
      <c r="H969" s="24"/>
      <c r="I969" s="3"/>
      <c r="J969" s="3"/>
      <c r="K969" s="3"/>
      <c r="L969" s="3"/>
      <c r="M969" s="3"/>
      <c r="N969" s="3"/>
      <c r="O969" s="3"/>
      <c r="P969" s="3"/>
      <c r="Q969" s="3"/>
      <c r="R969" s="3"/>
      <c r="S969" s="3"/>
      <c r="T969" s="3"/>
      <c r="U969" s="3"/>
      <c r="V969" s="3"/>
      <c r="W969" s="3"/>
      <c r="X969" s="3"/>
      <c r="Y969" s="3"/>
    </row>
    <row r="970" ht="14.25" customHeight="1">
      <c r="A970" s="3"/>
      <c r="B970" s="3"/>
      <c r="C970" s="3"/>
      <c r="D970" s="3"/>
      <c r="E970" s="3"/>
      <c r="F970" s="3"/>
      <c r="G970" s="23"/>
      <c r="H970" s="24"/>
      <c r="I970" s="3"/>
      <c r="J970" s="3"/>
      <c r="K970" s="3"/>
      <c r="L970" s="3"/>
      <c r="M970" s="3"/>
      <c r="N970" s="3"/>
      <c r="O970" s="3"/>
      <c r="P970" s="3"/>
      <c r="Q970" s="3"/>
      <c r="R970" s="3"/>
      <c r="S970" s="3"/>
      <c r="T970" s="3"/>
      <c r="U970" s="3"/>
      <c r="V970" s="3"/>
      <c r="W970" s="3"/>
      <c r="X970" s="3"/>
      <c r="Y970" s="3"/>
    </row>
    <row r="971" ht="14.25" customHeight="1">
      <c r="A971" s="3"/>
      <c r="B971" s="3"/>
      <c r="C971" s="3"/>
      <c r="D971" s="3"/>
      <c r="E971" s="3"/>
      <c r="F971" s="3"/>
      <c r="G971" s="23"/>
      <c r="H971" s="24"/>
      <c r="I971" s="3"/>
      <c r="J971" s="3"/>
      <c r="K971" s="3"/>
      <c r="L971" s="3"/>
      <c r="M971" s="3"/>
      <c r="N971" s="3"/>
      <c r="O971" s="3"/>
      <c r="P971" s="3"/>
      <c r="Q971" s="3"/>
      <c r="R971" s="3"/>
      <c r="S971" s="3"/>
      <c r="T971" s="3"/>
      <c r="U971" s="3"/>
      <c r="V971" s="3"/>
      <c r="W971" s="3"/>
      <c r="X971" s="3"/>
      <c r="Y971" s="3"/>
    </row>
    <row r="972" ht="14.25" customHeight="1">
      <c r="A972" s="3"/>
      <c r="B972" s="3"/>
      <c r="C972" s="3"/>
      <c r="D972" s="3"/>
      <c r="E972" s="3"/>
      <c r="F972" s="3"/>
      <c r="G972" s="23"/>
      <c r="H972" s="24"/>
      <c r="I972" s="3"/>
      <c r="J972" s="3"/>
      <c r="K972" s="3"/>
      <c r="L972" s="3"/>
      <c r="M972" s="3"/>
      <c r="N972" s="3"/>
      <c r="O972" s="3"/>
      <c r="P972" s="3"/>
      <c r="Q972" s="3"/>
      <c r="R972" s="3"/>
      <c r="S972" s="3"/>
      <c r="T972" s="3"/>
      <c r="U972" s="3"/>
      <c r="V972" s="3"/>
      <c r="W972" s="3"/>
      <c r="X972" s="3"/>
      <c r="Y972" s="3"/>
    </row>
    <row r="973" ht="14.25" customHeight="1">
      <c r="A973" s="3"/>
      <c r="B973" s="3"/>
      <c r="C973" s="3"/>
      <c r="D973" s="3"/>
      <c r="E973" s="3"/>
      <c r="F973" s="3"/>
      <c r="G973" s="23"/>
      <c r="H973" s="24"/>
      <c r="I973" s="3"/>
      <c r="J973" s="3"/>
      <c r="K973" s="3"/>
      <c r="L973" s="3"/>
      <c r="M973" s="3"/>
      <c r="N973" s="3"/>
      <c r="O973" s="3"/>
      <c r="P973" s="3"/>
      <c r="Q973" s="3"/>
      <c r="R973" s="3"/>
      <c r="S973" s="3"/>
      <c r="T973" s="3"/>
      <c r="U973" s="3"/>
      <c r="V973" s="3"/>
      <c r="W973" s="3"/>
      <c r="X973" s="3"/>
      <c r="Y973" s="3"/>
    </row>
    <row r="974" ht="14.25" customHeight="1">
      <c r="A974" s="3"/>
      <c r="B974" s="3"/>
      <c r="C974" s="3"/>
      <c r="D974" s="3"/>
      <c r="E974" s="3"/>
      <c r="F974" s="3"/>
      <c r="G974" s="23"/>
      <c r="H974" s="24"/>
      <c r="I974" s="3"/>
      <c r="J974" s="3"/>
      <c r="K974" s="3"/>
      <c r="L974" s="3"/>
      <c r="M974" s="3"/>
      <c r="N974" s="3"/>
      <c r="O974" s="3"/>
      <c r="P974" s="3"/>
      <c r="Q974" s="3"/>
      <c r="R974" s="3"/>
      <c r="S974" s="3"/>
      <c r="T974" s="3"/>
      <c r="U974" s="3"/>
      <c r="V974" s="3"/>
      <c r="W974" s="3"/>
      <c r="X974" s="3"/>
      <c r="Y974" s="3"/>
    </row>
    <row r="975" ht="14.25" customHeight="1">
      <c r="A975" s="3"/>
      <c r="B975" s="3"/>
      <c r="C975" s="3"/>
      <c r="D975" s="3"/>
      <c r="E975" s="3"/>
      <c r="F975" s="3"/>
      <c r="G975" s="23"/>
      <c r="H975" s="24"/>
      <c r="I975" s="3"/>
      <c r="J975" s="3"/>
      <c r="K975" s="3"/>
      <c r="L975" s="3"/>
      <c r="M975" s="3"/>
      <c r="N975" s="3"/>
      <c r="O975" s="3"/>
      <c r="P975" s="3"/>
      <c r="Q975" s="3"/>
      <c r="R975" s="3"/>
      <c r="S975" s="3"/>
      <c r="T975" s="3"/>
      <c r="U975" s="3"/>
      <c r="V975" s="3"/>
      <c r="W975" s="3"/>
      <c r="X975" s="3"/>
      <c r="Y975" s="3"/>
    </row>
    <row r="976" ht="14.25" customHeight="1">
      <c r="A976" s="3"/>
      <c r="B976" s="3"/>
      <c r="C976" s="3"/>
      <c r="D976" s="3"/>
      <c r="E976" s="3"/>
      <c r="F976" s="3"/>
      <c r="G976" s="23"/>
      <c r="H976" s="24"/>
      <c r="I976" s="3"/>
      <c r="J976" s="3"/>
      <c r="K976" s="3"/>
      <c r="L976" s="3"/>
      <c r="M976" s="3"/>
      <c r="N976" s="3"/>
      <c r="O976" s="3"/>
      <c r="P976" s="3"/>
      <c r="Q976" s="3"/>
      <c r="R976" s="3"/>
      <c r="S976" s="3"/>
      <c r="T976" s="3"/>
      <c r="U976" s="3"/>
      <c r="V976" s="3"/>
      <c r="W976" s="3"/>
      <c r="X976" s="3"/>
      <c r="Y976" s="3"/>
    </row>
    <row r="977" ht="14.25" customHeight="1">
      <c r="A977" s="3"/>
      <c r="B977" s="3"/>
      <c r="C977" s="3"/>
      <c r="D977" s="3"/>
      <c r="E977" s="3"/>
      <c r="F977" s="3"/>
      <c r="G977" s="23"/>
      <c r="H977" s="24"/>
      <c r="I977" s="3"/>
      <c r="J977" s="3"/>
      <c r="K977" s="3"/>
      <c r="L977" s="3"/>
      <c r="M977" s="3"/>
      <c r="N977" s="3"/>
      <c r="O977" s="3"/>
      <c r="P977" s="3"/>
      <c r="Q977" s="3"/>
      <c r="R977" s="3"/>
      <c r="S977" s="3"/>
      <c r="T977" s="3"/>
      <c r="U977" s="3"/>
      <c r="V977" s="3"/>
      <c r="W977" s="3"/>
      <c r="X977" s="3"/>
      <c r="Y977" s="3"/>
    </row>
    <row r="978" ht="14.25" customHeight="1">
      <c r="A978" s="3"/>
      <c r="B978" s="3"/>
      <c r="C978" s="3"/>
      <c r="D978" s="3"/>
      <c r="E978" s="3"/>
      <c r="F978" s="3"/>
      <c r="G978" s="23"/>
      <c r="H978" s="24"/>
      <c r="I978" s="3"/>
      <c r="J978" s="3"/>
      <c r="K978" s="3"/>
      <c r="L978" s="3"/>
      <c r="M978" s="3"/>
      <c r="N978" s="3"/>
      <c r="O978" s="3"/>
      <c r="P978" s="3"/>
      <c r="Q978" s="3"/>
      <c r="R978" s="3"/>
      <c r="S978" s="3"/>
      <c r="T978" s="3"/>
      <c r="U978" s="3"/>
      <c r="V978" s="3"/>
      <c r="W978" s="3"/>
      <c r="X978" s="3"/>
      <c r="Y978" s="3"/>
    </row>
    <row r="979" ht="14.25" customHeight="1">
      <c r="A979" s="3"/>
      <c r="B979" s="3"/>
      <c r="C979" s="3"/>
      <c r="D979" s="3"/>
      <c r="E979" s="3"/>
      <c r="F979" s="3"/>
      <c r="G979" s="23"/>
      <c r="H979" s="24"/>
      <c r="I979" s="3"/>
      <c r="J979" s="3"/>
      <c r="K979" s="3"/>
      <c r="L979" s="3"/>
      <c r="M979" s="3"/>
      <c r="N979" s="3"/>
      <c r="O979" s="3"/>
      <c r="P979" s="3"/>
      <c r="Q979" s="3"/>
      <c r="R979" s="3"/>
      <c r="S979" s="3"/>
      <c r="T979" s="3"/>
      <c r="U979" s="3"/>
      <c r="V979" s="3"/>
      <c r="W979" s="3"/>
      <c r="X979" s="3"/>
      <c r="Y979" s="3"/>
    </row>
    <row r="980" ht="14.25" customHeight="1">
      <c r="A980" s="3"/>
      <c r="B980" s="3"/>
      <c r="C980" s="3"/>
      <c r="D980" s="3"/>
      <c r="E980" s="3"/>
      <c r="F980" s="3"/>
      <c r="G980" s="23"/>
      <c r="H980" s="24"/>
      <c r="I980" s="3"/>
      <c r="J980" s="3"/>
      <c r="K980" s="3"/>
      <c r="L980" s="3"/>
      <c r="M980" s="3"/>
      <c r="N980" s="3"/>
      <c r="O980" s="3"/>
      <c r="P980" s="3"/>
      <c r="Q980" s="3"/>
      <c r="R980" s="3"/>
      <c r="S980" s="3"/>
      <c r="T980" s="3"/>
      <c r="U980" s="3"/>
      <c r="V980" s="3"/>
      <c r="W980" s="3"/>
      <c r="X980" s="3"/>
      <c r="Y980" s="3"/>
    </row>
    <row r="981" ht="14.25" customHeight="1">
      <c r="A981" s="3"/>
      <c r="B981" s="3"/>
      <c r="C981" s="3"/>
      <c r="D981" s="3"/>
      <c r="E981" s="3"/>
      <c r="F981" s="3"/>
      <c r="G981" s="23"/>
      <c r="H981" s="24"/>
      <c r="I981" s="3"/>
      <c r="J981" s="3"/>
      <c r="K981" s="3"/>
      <c r="L981" s="3"/>
      <c r="M981" s="3"/>
      <c r="N981" s="3"/>
      <c r="O981" s="3"/>
      <c r="P981" s="3"/>
      <c r="Q981" s="3"/>
      <c r="R981" s="3"/>
      <c r="S981" s="3"/>
      <c r="T981" s="3"/>
      <c r="U981" s="3"/>
      <c r="V981" s="3"/>
      <c r="W981" s="3"/>
      <c r="X981" s="3"/>
      <c r="Y981" s="3"/>
    </row>
    <row r="982" ht="14.25" customHeight="1">
      <c r="A982" s="3"/>
      <c r="B982" s="3"/>
      <c r="C982" s="3"/>
      <c r="D982" s="3"/>
      <c r="E982" s="3"/>
      <c r="F982" s="3"/>
      <c r="G982" s="23"/>
      <c r="H982" s="24"/>
      <c r="I982" s="3"/>
      <c r="J982" s="3"/>
      <c r="K982" s="3"/>
      <c r="L982" s="3"/>
      <c r="M982" s="3"/>
      <c r="N982" s="3"/>
      <c r="O982" s="3"/>
      <c r="P982" s="3"/>
      <c r="Q982" s="3"/>
      <c r="R982" s="3"/>
      <c r="S982" s="3"/>
      <c r="T982" s="3"/>
      <c r="U982" s="3"/>
      <c r="V982" s="3"/>
      <c r="W982" s="3"/>
      <c r="X982" s="3"/>
      <c r="Y982" s="3"/>
    </row>
    <row r="983" ht="14.25" customHeight="1">
      <c r="A983" s="3"/>
      <c r="B983" s="3"/>
      <c r="C983" s="3"/>
      <c r="D983" s="3"/>
      <c r="E983" s="3"/>
      <c r="F983" s="3"/>
      <c r="G983" s="23"/>
      <c r="H983" s="24"/>
      <c r="I983" s="3"/>
      <c r="J983" s="3"/>
      <c r="K983" s="3"/>
      <c r="L983" s="3"/>
      <c r="M983" s="3"/>
      <c r="N983" s="3"/>
      <c r="O983" s="3"/>
      <c r="P983" s="3"/>
      <c r="Q983" s="3"/>
      <c r="R983" s="3"/>
      <c r="S983" s="3"/>
      <c r="T983" s="3"/>
      <c r="U983" s="3"/>
      <c r="V983" s="3"/>
      <c r="W983" s="3"/>
      <c r="X983" s="3"/>
      <c r="Y983" s="3"/>
    </row>
    <row r="984" ht="14.25" customHeight="1">
      <c r="A984" s="3"/>
      <c r="B984" s="3"/>
      <c r="C984" s="3"/>
      <c r="D984" s="3"/>
      <c r="E984" s="3"/>
      <c r="F984" s="3"/>
      <c r="G984" s="23"/>
      <c r="H984" s="24"/>
      <c r="I984" s="3"/>
      <c r="J984" s="3"/>
      <c r="K984" s="3"/>
      <c r="L984" s="3"/>
      <c r="M984" s="3"/>
      <c r="N984" s="3"/>
      <c r="O984" s="3"/>
      <c r="P984" s="3"/>
      <c r="Q984" s="3"/>
      <c r="R984" s="3"/>
      <c r="S984" s="3"/>
      <c r="T984" s="3"/>
      <c r="U984" s="3"/>
      <c r="V984" s="3"/>
      <c r="W984" s="3"/>
      <c r="X984" s="3"/>
      <c r="Y984" s="3"/>
    </row>
    <row r="985" ht="14.25" customHeight="1">
      <c r="A985" s="3"/>
      <c r="B985" s="3"/>
      <c r="C985" s="3"/>
      <c r="D985" s="3"/>
      <c r="E985" s="3"/>
      <c r="F985" s="3"/>
      <c r="G985" s="23"/>
      <c r="H985" s="24"/>
      <c r="I985" s="3"/>
      <c r="J985" s="3"/>
      <c r="K985" s="3"/>
      <c r="L985" s="3"/>
      <c r="M985" s="3"/>
      <c r="N985" s="3"/>
      <c r="O985" s="3"/>
      <c r="P985" s="3"/>
      <c r="Q985" s="3"/>
      <c r="R985" s="3"/>
      <c r="S985" s="3"/>
      <c r="T985" s="3"/>
      <c r="U985" s="3"/>
      <c r="V985" s="3"/>
      <c r="W985" s="3"/>
      <c r="X985" s="3"/>
      <c r="Y985" s="3"/>
    </row>
    <row r="986" ht="14.25" customHeight="1">
      <c r="A986" s="3"/>
      <c r="B986" s="3"/>
      <c r="C986" s="3"/>
      <c r="D986" s="3"/>
      <c r="E986" s="3"/>
      <c r="F986" s="3"/>
      <c r="G986" s="23"/>
      <c r="H986" s="24"/>
      <c r="I986" s="3"/>
      <c r="J986" s="3"/>
      <c r="K986" s="3"/>
      <c r="L986" s="3"/>
      <c r="M986" s="3"/>
      <c r="N986" s="3"/>
      <c r="O986" s="3"/>
      <c r="P986" s="3"/>
      <c r="Q986" s="3"/>
      <c r="R986" s="3"/>
      <c r="S986" s="3"/>
      <c r="T986" s="3"/>
      <c r="U986" s="3"/>
      <c r="V986" s="3"/>
      <c r="W986" s="3"/>
      <c r="X986" s="3"/>
      <c r="Y986" s="3"/>
    </row>
    <row r="987" ht="14.25" customHeight="1">
      <c r="A987" s="3"/>
      <c r="B987" s="3"/>
      <c r="C987" s="3"/>
      <c r="D987" s="3"/>
      <c r="E987" s="3"/>
      <c r="F987" s="3"/>
      <c r="G987" s="23"/>
      <c r="H987" s="24"/>
      <c r="I987" s="3"/>
      <c r="J987" s="3"/>
      <c r="K987" s="3"/>
      <c r="L987" s="3"/>
      <c r="M987" s="3"/>
      <c r="N987" s="3"/>
      <c r="O987" s="3"/>
      <c r="P987" s="3"/>
      <c r="Q987" s="3"/>
      <c r="R987" s="3"/>
      <c r="S987" s="3"/>
      <c r="T987" s="3"/>
      <c r="U987" s="3"/>
      <c r="V987" s="3"/>
      <c r="W987" s="3"/>
      <c r="X987" s="3"/>
      <c r="Y987" s="3"/>
    </row>
    <row r="988" ht="14.25" customHeight="1">
      <c r="A988" s="3"/>
      <c r="B988" s="3"/>
      <c r="C988" s="3"/>
      <c r="D988" s="3"/>
      <c r="E988" s="3"/>
      <c r="F988" s="3"/>
      <c r="G988" s="23"/>
      <c r="H988" s="24"/>
      <c r="I988" s="3"/>
      <c r="J988" s="3"/>
      <c r="K988" s="3"/>
      <c r="L988" s="3"/>
      <c r="M988" s="3"/>
      <c r="N988" s="3"/>
      <c r="O988" s="3"/>
      <c r="P988" s="3"/>
      <c r="Q988" s="3"/>
      <c r="R988" s="3"/>
      <c r="S988" s="3"/>
      <c r="T988" s="3"/>
      <c r="U988" s="3"/>
      <c r="V988" s="3"/>
      <c r="W988" s="3"/>
      <c r="X988" s="3"/>
      <c r="Y988" s="3"/>
    </row>
    <row r="989" ht="14.25" customHeight="1">
      <c r="A989" s="3"/>
      <c r="B989" s="3"/>
      <c r="C989" s="3"/>
      <c r="D989" s="3"/>
      <c r="E989" s="3"/>
      <c r="F989" s="3"/>
      <c r="G989" s="23"/>
      <c r="H989" s="24"/>
      <c r="I989" s="3"/>
      <c r="J989" s="3"/>
      <c r="K989" s="3"/>
      <c r="L989" s="3"/>
      <c r="M989" s="3"/>
      <c r="N989" s="3"/>
      <c r="O989" s="3"/>
      <c r="P989" s="3"/>
      <c r="Q989" s="3"/>
      <c r="R989" s="3"/>
      <c r="S989" s="3"/>
      <c r="T989" s="3"/>
      <c r="U989" s="3"/>
      <c r="V989" s="3"/>
      <c r="W989" s="3"/>
      <c r="X989" s="3"/>
      <c r="Y989" s="3"/>
    </row>
    <row r="990" ht="14.25" customHeight="1">
      <c r="A990" s="3"/>
      <c r="B990" s="3"/>
      <c r="C990" s="3"/>
      <c r="D990" s="3"/>
      <c r="E990" s="3"/>
      <c r="F990" s="3"/>
      <c r="G990" s="23"/>
      <c r="H990" s="24"/>
      <c r="I990" s="3"/>
      <c r="J990" s="3"/>
      <c r="K990" s="3"/>
      <c r="L990" s="3"/>
      <c r="M990" s="3"/>
      <c r="N990" s="3"/>
      <c r="O990" s="3"/>
      <c r="P990" s="3"/>
      <c r="Q990" s="3"/>
      <c r="R990" s="3"/>
      <c r="S990" s="3"/>
      <c r="T990" s="3"/>
      <c r="U990" s="3"/>
      <c r="V990" s="3"/>
      <c r="W990" s="3"/>
      <c r="X990" s="3"/>
      <c r="Y990" s="3"/>
    </row>
    <row r="991" ht="14.25" customHeight="1">
      <c r="A991" s="3"/>
      <c r="B991" s="3"/>
      <c r="C991" s="3"/>
      <c r="D991" s="3"/>
      <c r="E991" s="3"/>
      <c r="F991" s="3"/>
      <c r="G991" s="23"/>
      <c r="H991" s="24"/>
      <c r="I991" s="3"/>
      <c r="J991" s="3"/>
      <c r="K991" s="3"/>
      <c r="L991" s="3"/>
      <c r="M991" s="3"/>
      <c r="N991" s="3"/>
      <c r="O991" s="3"/>
      <c r="P991" s="3"/>
      <c r="Q991" s="3"/>
      <c r="R991" s="3"/>
      <c r="S991" s="3"/>
      <c r="T991" s="3"/>
      <c r="U991" s="3"/>
      <c r="V991" s="3"/>
      <c r="W991" s="3"/>
      <c r="X991" s="3"/>
      <c r="Y991" s="3"/>
    </row>
    <row r="992" ht="14.25" customHeight="1">
      <c r="A992" s="3"/>
      <c r="B992" s="3"/>
      <c r="C992" s="3"/>
      <c r="D992" s="3"/>
      <c r="E992" s="3"/>
      <c r="F992" s="3"/>
      <c r="G992" s="23"/>
      <c r="H992" s="24"/>
      <c r="I992" s="3"/>
      <c r="J992" s="3"/>
      <c r="K992" s="3"/>
      <c r="L992" s="3"/>
      <c r="M992" s="3"/>
      <c r="N992" s="3"/>
      <c r="O992" s="3"/>
      <c r="P992" s="3"/>
      <c r="Q992" s="3"/>
      <c r="R992" s="3"/>
      <c r="S992" s="3"/>
      <c r="T992" s="3"/>
      <c r="U992" s="3"/>
      <c r="V992" s="3"/>
      <c r="W992" s="3"/>
      <c r="X992" s="3"/>
      <c r="Y992" s="3"/>
    </row>
    <row r="993" ht="14.25" customHeight="1">
      <c r="A993" s="3"/>
      <c r="B993" s="3"/>
      <c r="C993" s="3"/>
      <c r="D993" s="3"/>
      <c r="E993" s="3"/>
      <c r="F993" s="3"/>
      <c r="G993" s="23"/>
      <c r="H993" s="24"/>
      <c r="I993" s="3"/>
      <c r="J993" s="3"/>
      <c r="K993" s="3"/>
      <c r="L993" s="3"/>
      <c r="M993" s="3"/>
      <c r="N993" s="3"/>
      <c r="O993" s="3"/>
      <c r="P993" s="3"/>
      <c r="Q993" s="3"/>
      <c r="R993" s="3"/>
      <c r="S993" s="3"/>
      <c r="T993" s="3"/>
      <c r="U993" s="3"/>
      <c r="V993" s="3"/>
      <c r="W993" s="3"/>
      <c r="X993" s="3"/>
      <c r="Y993" s="3"/>
    </row>
    <row r="994" ht="14.25" customHeight="1">
      <c r="A994" s="3"/>
      <c r="B994" s="3"/>
      <c r="C994" s="3"/>
      <c r="D994" s="3"/>
      <c r="E994" s="3"/>
      <c r="F994" s="3"/>
      <c r="G994" s="23"/>
      <c r="H994" s="24"/>
      <c r="I994" s="3"/>
      <c r="J994" s="3"/>
      <c r="K994" s="3"/>
      <c r="L994" s="3"/>
      <c r="M994" s="3"/>
      <c r="N994" s="3"/>
      <c r="O994" s="3"/>
      <c r="P994" s="3"/>
      <c r="Q994" s="3"/>
      <c r="R994" s="3"/>
      <c r="S994" s="3"/>
      <c r="T994" s="3"/>
      <c r="U994" s="3"/>
      <c r="V994" s="3"/>
      <c r="W994" s="3"/>
      <c r="X994" s="3"/>
      <c r="Y994" s="3"/>
    </row>
    <row r="995" ht="14.25" customHeight="1">
      <c r="A995" s="3"/>
      <c r="B995" s="3"/>
      <c r="C995" s="3"/>
      <c r="D995" s="3"/>
      <c r="E995" s="3"/>
      <c r="F995" s="3"/>
      <c r="G995" s="23"/>
      <c r="H995" s="24"/>
      <c r="I995" s="3"/>
      <c r="J995" s="3"/>
      <c r="K995" s="3"/>
      <c r="L995" s="3"/>
      <c r="M995" s="3"/>
      <c r="N995" s="3"/>
      <c r="O995" s="3"/>
      <c r="P995" s="3"/>
      <c r="Q995" s="3"/>
      <c r="R995" s="3"/>
      <c r="S995" s="3"/>
      <c r="T995" s="3"/>
      <c r="U995" s="3"/>
      <c r="V995" s="3"/>
      <c r="W995" s="3"/>
      <c r="X995" s="3"/>
      <c r="Y995" s="3"/>
    </row>
    <row r="996" ht="14.25" customHeight="1">
      <c r="A996" s="3"/>
      <c r="B996" s="3"/>
      <c r="C996" s="3"/>
      <c r="D996" s="3"/>
      <c r="E996" s="3"/>
      <c r="F996" s="3"/>
      <c r="G996" s="23"/>
      <c r="H996" s="24"/>
      <c r="I996" s="3"/>
      <c r="J996" s="3"/>
      <c r="K996" s="3"/>
      <c r="L996" s="3"/>
      <c r="M996" s="3"/>
      <c r="N996" s="3"/>
      <c r="O996" s="3"/>
      <c r="P996" s="3"/>
      <c r="Q996" s="3"/>
      <c r="R996" s="3"/>
      <c r="S996" s="3"/>
      <c r="T996" s="3"/>
      <c r="U996" s="3"/>
      <c r="V996" s="3"/>
      <c r="W996" s="3"/>
      <c r="X996" s="3"/>
      <c r="Y996" s="3"/>
    </row>
    <row r="997" ht="14.25" customHeight="1">
      <c r="A997" s="3"/>
      <c r="B997" s="3"/>
      <c r="C997" s="3"/>
      <c r="D997" s="3"/>
      <c r="E997" s="3"/>
      <c r="F997" s="3"/>
      <c r="G997" s="23"/>
      <c r="H997" s="24"/>
      <c r="I997" s="3"/>
      <c r="J997" s="3"/>
      <c r="K997" s="3"/>
      <c r="L997" s="3"/>
      <c r="M997" s="3"/>
      <c r="N997" s="3"/>
      <c r="O997" s="3"/>
      <c r="P997" s="3"/>
      <c r="Q997" s="3"/>
      <c r="R997" s="3"/>
      <c r="S997" s="3"/>
      <c r="T997" s="3"/>
      <c r="U997" s="3"/>
      <c r="V997" s="3"/>
      <c r="W997" s="3"/>
      <c r="X997" s="3"/>
      <c r="Y997" s="3"/>
    </row>
    <row r="998" ht="14.25" customHeight="1">
      <c r="A998" s="3"/>
      <c r="B998" s="3"/>
      <c r="C998" s="3"/>
      <c r="D998" s="3"/>
      <c r="E998" s="3"/>
      <c r="F998" s="3"/>
      <c r="G998" s="23"/>
      <c r="H998" s="24"/>
      <c r="I998" s="3"/>
      <c r="J998" s="3"/>
      <c r="K998" s="3"/>
      <c r="L998" s="3"/>
      <c r="M998" s="3"/>
      <c r="N998" s="3"/>
      <c r="O998" s="3"/>
      <c r="P998" s="3"/>
      <c r="Q998" s="3"/>
      <c r="R998" s="3"/>
      <c r="S998" s="3"/>
      <c r="T998" s="3"/>
      <c r="U998" s="3"/>
      <c r="V998" s="3"/>
      <c r="W998" s="3"/>
      <c r="X998" s="3"/>
      <c r="Y998" s="3"/>
    </row>
    <row r="999" ht="14.25" customHeight="1">
      <c r="A999" s="3"/>
      <c r="B999" s="3"/>
      <c r="C999" s="3"/>
      <c r="D999" s="3"/>
      <c r="E999" s="3"/>
      <c r="F999" s="3"/>
      <c r="G999" s="23"/>
      <c r="H999" s="24"/>
      <c r="I999" s="3"/>
      <c r="J999" s="3"/>
      <c r="K999" s="3"/>
      <c r="L999" s="3"/>
      <c r="M999" s="3"/>
      <c r="N999" s="3"/>
      <c r="O999" s="3"/>
      <c r="P999" s="3"/>
      <c r="Q999" s="3"/>
      <c r="R999" s="3"/>
      <c r="S999" s="3"/>
      <c r="T999" s="3"/>
      <c r="U999" s="3"/>
      <c r="V999" s="3"/>
      <c r="W999" s="3"/>
      <c r="X999" s="3"/>
      <c r="Y999" s="3"/>
    </row>
    <row r="1000" ht="14.25" customHeight="1">
      <c r="A1000" s="3"/>
      <c r="B1000" s="3"/>
      <c r="C1000" s="3"/>
      <c r="D1000" s="3"/>
      <c r="E1000" s="3"/>
      <c r="F1000" s="3"/>
      <c r="G1000" s="23"/>
      <c r="H1000" s="24"/>
      <c r="I1000" s="3"/>
      <c r="J1000" s="3"/>
      <c r="K1000" s="3"/>
      <c r="L1000" s="3"/>
      <c r="M1000" s="3"/>
      <c r="N1000" s="3"/>
      <c r="O1000" s="3"/>
      <c r="P1000" s="3"/>
      <c r="Q1000" s="3"/>
      <c r="R1000" s="3"/>
      <c r="S1000" s="3"/>
      <c r="T1000" s="3"/>
      <c r="U1000" s="3"/>
      <c r="V1000" s="3"/>
      <c r="W1000" s="3"/>
      <c r="X1000" s="3"/>
      <c r="Y1000" s="3"/>
    </row>
  </sheetData>
  <autoFilter ref="$A$1:$G$151"/>
  <hyperlinks>
    <hyperlink r:id="rId1" ref="I4"/>
    <hyperlink r:id="rId2" ref="I6"/>
    <hyperlink r:id="rId3" ref="I7"/>
    <hyperlink r:id="rId4" ref="I10"/>
    <hyperlink r:id="rId5" ref="I12"/>
    <hyperlink r:id="rId6" ref="I13"/>
    <hyperlink r:id="rId7" ref="I14"/>
    <hyperlink r:id="rId8" ref="I15"/>
    <hyperlink r:id="rId9" ref="I16"/>
    <hyperlink r:id="rId10" ref="I18"/>
    <hyperlink r:id="rId11" ref="I19"/>
    <hyperlink r:id="rId12" ref="I20"/>
    <hyperlink r:id="rId13" ref="I21"/>
    <hyperlink r:id="rId14" ref="I22"/>
    <hyperlink r:id="rId15" ref="I23"/>
    <hyperlink r:id="rId16" ref="I24"/>
    <hyperlink r:id="rId17" ref="I25"/>
    <hyperlink r:id="rId18" ref="I26"/>
    <hyperlink r:id="rId19" ref="I27"/>
    <hyperlink r:id="rId20" ref="I28"/>
    <hyperlink r:id="rId21" ref="I29"/>
    <hyperlink r:id="rId22" ref="I30"/>
    <hyperlink r:id="rId23" ref="I31"/>
    <hyperlink r:id="rId24" ref="I32"/>
    <hyperlink r:id="rId25" ref="I38"/>
    <hyperlink r:id="rId26" ref="I43"/>
    <hyperlink r:id="rId27" ref="I44"/>
    <hyperlink r:id="rId28" ref="I45"/>
    <hyperlink r:id="rId29" ref="I46"/>
    <hyperlink r:id="rId30" ref="I47"/>
    <hyperlink r:id="rId31" ref="I49"/>
    <hyperlink r:id="rId32" ref="I50"/>
    <hyperlink r:id="rId33" ref="I51"/>
    <hyperlink r:id="rId34" ref="I53"/>
    <hyperlink r:id="rId35" ref="I55"/>
    <hyperlink r:id="rId36" ref="I56"/>
    <hyperlink r:id="rId37" ref="I57"/>
    <hyperlink r:id="rId38" ref="I58"/>
    <hyperlink r:id="rId39" ref="I59"/>
    <hyperlink r:id="rId40" ref="I60"/>
    <hyperlink r:id="rId41" ref="I63"/>
    <hyperlink r:id="rId42" ref="I65"/>
    <hyperlink r:id="rId43" ref="I67"/>
    <hyperlink r:id="rId44" ref="I68"/>
    <hyperlink r:id="rId45" ref="I70"/>
    <hyperlink r:id="rId46" ref="I71"/>
    <hyperlink r:id="rId47" ref="I72"/>
    <hyperlink r:id="rId48" ref="I73"/>
    <hyperlink r:id="rId49" ref="I74"/>
    <hyperlink r:id="rId50" ref="I75"/>
    <hyperlink r:id="rId51" ref="I77"/>
    <hyperlink r:id="rId52" ref="I78"/>
    <hyperlink r:id="rId53" ref="I79"/>
    <hyperlink r:id="rId54" ref="I80"/>
    <hyperlink r:id="rId55" ref="I81"/>
    <hyperlink r:id="rId56" ref="I82"/>
    <hyperlink r:id="rId57" ref="I83"/>
    <hyperlink r:id="rId58" ref="I84"/>
    <hyperlink r:id="rId59" ref="I85"/>
    <hyperlink r:id="rId60" ref="I86"/>
    <hyperlink r:id="rId61" ref="I87"/>
    <hyperlink r:id="rId62" ref="I88"/>
    <hyperlink r:id="rId63" ref="I89"/>
    <hyperlink r:id="rId64" ref="I90"/>
    <hyperlink r:id="rId65" ref="I91"/>
    <hyperlink r:id="rId66" ref="I96"/>
    <hyperlink r:id="rId67" ref="I97"/>
    <hyperlink r:id="rId68" ref="I98"/>
    <hyperlink r:id="rId69" ref="I99"/>
    <hyperlink r:id="rId70" ref="I100"/>
    <hyperlink r:id="rId71" ref="I101"/>
    <hyperlink r:id="rId72" ref="I102"/>
    <hyperlink r:id="rId73" ref="I103"/>
    <hyperlink r:id="rId74" ref="I104"/>
    <hyperlink r:id="rId75" ref="I105"/>
    <hyperlink r:id="rId76" ref="H106"/>
    <hyperlink r:id="rId77" ref="I106"/>
    <hyperlink r:id="rId78" ref="I107"/>
    <hyperlink r:id="rId79" ref="I108"/>
    <hyperlink r:id="rId80" ref="I109"/>
    <hyperlink r:id="rId81" ref="I110"/>
    <hyperlink r:id="rId82" ref="I112"/>
    <hyperlink r:id="rId83" ref="I113"/>
    <hyperlink r:id="rId84" ref="I116"/>
    <hyperlink r:id="rId85" ref="I117"/>
    <hyperlink r:id="rId86" ref="I121"/>
    <hyperlink r:id="rId87" ref="I123"/>
    <hyperlink r:id="rId88" ref="H125"/>
    <hyperlink r:id="rId89" ref="I125"/>
    <hyperlink r:id="rId90" ref="I129"/>
    <hyperlink r:id="rId91" ref="I130"/>
    <hyperlink r:id="rId92" ref="I132"/>
    <hyperlink r:id="rId93" ref="I134"/>
    <hyperlink r:id="rId94" ref="I135"/>
    <hyperlink r:id="rId95" ref="I139"/>
    <hyperlink r:id="rId96" location="1" ref="I144"/>
    <hyperlink r:id="rId97" ref="I145"/>
    <hyperlink r:id="rId98" ref="I146"/>
  </hyperlinks>
  <printOptions/>
  <pageMargins bottom="0.75" footer="0.0" header="0.0" left="0.7" right="0.7" top="0.75"/>
  <pageSetup paperSize="9" orientation="portrait"/>
  <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9" width="8.71"/>
    <col customWidth="1" min="10" max="10" width="11.14"/>
    <col customWidth="1" min="11" max="23" width="8.71"/>
    <col customWidth="1" min="24" max="24" width="11.14"/>
    <col customWidth="1" min="25" max="26" width="8.71"/>
  </cols>
  <sheetData>
    <row r="1" ht="14.25" customHeight="1">
      <c r="A1" s="77" t="s">
        <v>350</v>
      </c>
      <c r="S1" s="77" t="s">
        <v>351</v>
      </c>
    </row>
    <row r="2" ht="14.25" customHeight="1">
      <c r="A2" s="78" t="s">
        <v>23</v>
      </c>
      <c r="B2" s="79" t="s">
        <v>352</v>
      </c>
      <c r="C2" s="79" t="s">
        <v>10</v>
      </c>
      <c r="D2" s="79" t="s">
        <v>11</v>
      </c>
      <c r="E2" s="79" t="s">
        <v>12</v>
      </c>
      <c r="F2" s="79" t="s">
        <v>13</v>
      </c>
      <c r="G2" s="79" t="s">
        <v>14</v>
      </c>
      <c r="H2" s="79" t="s">
        <v>15</v>
      </c>
      <c r="J2" s="78" t="s">
        <v>130</v>
      </c>
      <c r="K2" s="79" t="s">
        <v>352</v>
      </c>
      <c r="L2" s="79" t="s">
        <v>10</v>
      </c>
      <c r="M2" s="79" t="s">
        <v>11</v>
      </c>
      <c r="N2" s="79" t="s">
        <v>12</v>
      </c>
      <c r="O2" s="79" t="s">
        <v>13</v>
      </c>
      <c r="P2" s="79" t="s">
        <v>14</v>
      </c>
      <c r="Q2" s="79" t="s">
        <v>15</v>
      </c>
      <c r="S2" s="78"/>
      <c r="T2" s="78" t="s">
        <v>85</v>
      </c>
      <c r="U2" s="78" t="s">
        <v>130</v>
      </c>
      <c r="V2" s="78" t="s">
        <v>192</v>
      </c>
      <c r="W2" s="78" t="s">
        <v>244</v>
      </c>
      <c r="X2" s="78" t="s">
        <v>353</v>
      </c>
    </row>
    <row r="3" ht="14.25" customHeight="1">
      <c r="A3" s="78">
        <v>2014.0</v>
      </c>
      <c r="B3" s="80">
        <f>SUM('1.1) Рег. уровень_безопис'!J4+'1.1) Рег. уровень_безопис'!J5+'1.1) Рег. уровень_безопис'!J6)</f>
        <v>35</v>
      </c>
      <c r="C3" s="80">
        <f>SUM('1.1) Рег. уровень_безопис'!K4+'1.1) Рег. уровень_безопис'!K5+'1.1) Рег. уровень_безопис'!K6)</f>
        <v>0</v>
      </c>
      <c r="D3" s="80">
        <f>SUM('1.1) Рег. уровень_безопис'!L4+'1.1) Рег. уровень_безопис'!L5+'1.1) Рег. уровень_безопис'!L6)</f>
        <v>38</v>
      </c>
      <c r="E3" s="80">
        <f>SUM('1.1) Рег. уровень_безопис'!M4+'1.1) Рег. уровень_безопис'!M5+'1.1) Рег. уровень_безопис'!M6)</f>
        <v>1</v>
      </c>
      <c r="F3" s="80">
        <f>SUM('1.1) Рег. уровень_безопис'!N4+'1.1) Рег. уровень_безопис'!N5+'1.1) Рег. уровень_безопис'!N6)</f>
        <v>0</v>
      </c>
      <c r="G3" s="80">
        <f>SUM('1.1) Рег. уровень_безопис'!O4+'1.1) Рег. уровень_безопис'!O5+'1.1) Рег. уровень_безопис'!O6)</f>
        <v>52</v>
      </c>
      <c r="H3" s="80">
        <f>SUM('1.1) Рег. уровень_безопис'!P4+'1.1) Рег. уровень_безопис'!P5+'1.1) Рег. уровень_безопис'!P6)</f>
        <v>2</v>
      </c>
      <c r="J3" s="78">
        <v>2014.0</v>
      </c>
      <c r="K3" s="78">
        <f>SUM('1.1) Рег. уровень_безопис'!J34+'1.1) Рег. уровень_безопис'!J35+'1.1) Рег. уровень_безопис'!J36)</f>
        <v>12</v>
      </c>
      <c r="L3" s="78">
        <f>SUM('1.1) Рег. уровень_безопис'!K34+'1.1) Рег. уровень_безопис'!K35+'1.1) Рег. уровень_безопис'!K36)</f>
        <v>1</v>
      </c>
      <c r="M3" s="78">
        <f>SUM('1.1) Рег. уровень_безопис'!L34+'1.1) Рег. уровень_безопис'!L35+'1.1) Рег. уровень_безопис'!L36)</f>
        <v>5</v>
      </c>
      <c r="N3" s="78">
        <f>SUM('1.1) Рег. уровень_безопис'!M34+'1.1) Рег. уровень_безопис'!M35+'1.1) Рег. уровень_безопис'!M36)</f>
        <v>1</v>
      </c>
      <c r="O3" s="78">
        <f>SUM('1.1) Рег. уровень_безопис'!N34+'1.1) Рег. уровень_безопис'!N35+'1.1) Рег. уровень_безопис'!N36)</f>
        <v>0</v>
      </c>
      <c r="P3" s="78">
        <f>SUM('1.1) Рег. уровень_безопис'!O34+'1.1) Рег. уровень_безопис'!O35+'1.1) Рег. уровень_безопис'!O36)</f>
        <v>23</v>
      </c>
      <c r="Q3" s="78">
        <f>SUM('1.1) Рег. уровень_безопис'!P34+'1.1) Рег. уровень_безопис'!P35+'1.1) Рег. уровень_безопис'!P36)</f>
        <v>2</v>
      </c>
      <c r="S3" s="78">
        <v>2014.0</v>
      </c>
      <c r="T3" s="78">
        <f>SUM(B3)</f>
        <v>35</v>
      </c>
      <c r="U3" s="78">
        <f t="shared" ref="U3:U14" si="1">K3</f>
        <v>12</v>
      </c>
      <c r="V3" s="78">
        <f t="shared" ref="V3:V14" si="2">B18</f>
        <v>3</v>
      </c>
      <c r="W3" s="78">
        <f t="shared" ref="W3:W14" si="3">K18</f>
        <v>0</v>
      </c>
      <c r="X3" s="78">
        <f t="shared" ref="X3:X14" si="4">B33</f>
        <v>9</v>
      </c>
    </row>
    <row r="4" ht="14.25" customHeight="1">
      <c r="A4" s="78">
        <v>2015.0</v>
      </c>
      <c r="B4" s="80">
        <f>SUM('1.1) Рег. уровень_безопис'!J7)</f>
        <v>15</v>
      </c>
      <c r="C4" s="80">
        <f>SUM('1.1) Рег. уровень_безопис'!K7)</f>
        <v>0</v>
      </c>
      <c r="D4" s="80">
        <f>SUM('1.1) Рег. уровень_безопис'!L7)</f>
        <v>6</v>
      </c>
      <c r="E4" s="80">
        <f>SUM('1.1) Рег. уровень_безопис'!M7)</f>
        <v>0</v>
      </c>
      <c r="F4" s="80">
        <f>SUM('1.1) Рег. уровень_безопис'!N7)</f>
        <v>0</v>
      </c>
      <c r="G4" s="80">
        <f>SUM('1.1) Рег. уровень_безопис'!O7)</f>
        <v>10</v>
      </c>
      <c r="H4" s="80">
        <f>SUM('1.1) Рег. уровень_безопис'!P7)</f>
        <v>0</v>
      </c>
      <c r="J4" s="78">
        <v>2015.0</v>
      </c>
      <c r="K4" s="78">
        <f>SUM('1.1) Рег. уровень_безопис'!J40+'1.1) Рег. уровень_безопис'!J39+'1.1) Рег. уровень_безопис'!J38)</f>
        <v>6</v>
      </c>
      <c r="L4" s="78">
        <f>SUM('1.1) Рег. уровень_безопис'!K40+'1.1) Рег. уровень_безопис'!K39+'1.1) Рег. уровень_безопис'!K38)</f>
        <v>1</v>
      </c>
      <c r="M4" s="78">
        <f>SUM('1.1) Рег. уровень_безопис'!L40+'1.1) Рег. уровень_безопис'!L39+'1.1) Рег. уровень_безопис'!L38)</f>
        <v>5</v>
      </c>
      <c r="N4" s="78">
        <f>SUM('1.1) Рег. уровень_безопис'!M40+'1.1) Рег. уровень_безопис'!M39+'1.1) Рег. уровень_безопис'!M38)</f>
        <v>0</v>
      </c>
      <c r="O4" s="78">
        <f>SUM('1.1) Рег. уровень_безопис'!N40+'1.1) Рег. уровень_безопис'!N39+'1.1) Рег. уровень_безопис'!N38)</f>
        <v>0</v>
      </c>
      <c r="P4" s="78">
        <f>SUM('1.1) Рег. уровень_безопис'!O40+'1.1) Рег. уровень_безопис'!O39+'1.1) Рег. уровень_безопис'!O38)</f>
        <v>14</v>
      </c>
      <c r="Q4" s="78">
        <f>SUM('1.1) Рег. уровень_безопис'!P40+'1.1) Рег. уровень_безопис'!P39+'1.1) Рег. уровень_безопис'!P38)</f>
        <v>0</v>
      </c>
      <c r="S4" s="78">
        <v>2015.0</v>
      </c>
      <c r="T4" s="78">
        <f t="shared" ref="T4:T14" si="5">B4</f>
        <v>15</v>
      </c>
      <c r="U4" s="78">
        <f t="shared" si="1"/>
        <v>6</v>
      </c>
      <c r="V4" s="78">
        <f t="shared" si="2"/>
        <v>6</v>
      </c>
      <c r="W4" s="78">
        <f t="shared" si="3"/>
        <v>9</v>
      </c>
      <c r="X4" s="78">
        <f t="shared" si="4"/>
        <v>8</v>
      </c>
    </row>
    <row r="5" ht="14.25" customHeight="1">
      <c r="A5" s="78">
        <v>2016.0</v>
      </c>
      <c r="B5" s="81">
        <f>SUM('1.1) Рег. уровень_безопис'!J10+'1.1) Рег. уровень_безопис'!J11)</f>
        <v>21</v>
      </c>
      <c r="C5" s="81">
        <f>SUM('1.1) Рег. уровень_безопис'!K10+'1.1) Рег. уровень_безопис'!K11)</f>
        <v>0</v>
      </c>
      <c r="D5" s="81">
        <f>SUM('1.1) Рег. уровень_безопис'!L10+'1.1) Рег. уровень_безопис'!L11)</f>
        <v>19</v>
      </c>
      <c r="E5" s="81">
        <f>SUM('1.1) Рег. уровень_безопис'!M10+'1.1) Рег. уровень_безопис'!M11)</f>
        <v>0</v>
      </c>
      <c r="F5" s="81">
        <f>SUM('1.1) Рег. уровень_безопис'!N10+'1.1) Рег. уровень_безопис'!N11)</f>
        <v>0</v>
      </c>
      <c r="G5" s="81">
        <f>SUM('1.1) Рег. уровень_безопис'!O10+'1.1) Рег. уровень_безопис'!O11)</f>
        <v>26</v>
      </c>
      <c r="H5" s="81">
        <f>SUM('1.1) Рег. уровень_безопис'!P10+'1.1) Рег. уровень_безопис'!P11)</f>
        <v>1</v>
      </c>
      <c r="J5" s="78">
        <v>2016.0</v>
      </c>
      <c r="K5" s="78">
        <f>SUM('1.1) Рег. уровень_безопис'!J43+'1.1) Рег. уровень_безопис'!J42)</f>
        <v>4</v>
      </c>
      <c r="L5" s="78">
        <f>SUM('1.1) Рег. уровень_безопис'!K43+'1.1) Рег. уровень_безопис'!K42)</f>
        <v>0</v>
      </c>
      <c r="M5" s="78">
        <f>SUM('1.1) Рег. уровень_безопис'!L43+'1.1) Рег. уровень_безопис'!L42)</f>
        <v>6</v>
      </c>
      <c r="N5" s="78">
        <f>SUM('1.1) Рег. уровень_безопис'!M43+'1.1) Рег. уровень_безопис'!M42)</f>
        <v>0</v>
      </c>
      <c r="O5" s="78">
        <f>SUM('1.1) Рег. уровень_безопис'!N43+'1.1) Рег. уровень_безопис'!N42)</f>
        <v>0</v>
      </c>
      <c r="P5" s="78">
        <f>SUM('1.1) Рег. уровень_безопис'!O43+'1.1) Рег. уровень_безопис'!O42)</f>
        <v>5</v>
      </c>
      <c r="Q5" s="78">
        <f>SUM('1.1) Рег. уровень_безопис'!P43+'1.1) Рег. уровень_безопис'!P42)</f>
        <v>0</v>
      </c>
      <c r="S5" s="78">
        <v>2016.0</v>
      </c>
      <c r="T5" s="78">
        <f t="shared" si="5"/>
        <v>21</v>
      </c>
      <c r="U5" s="78">
        <f t="shared" si="1"/>
        <v>4</v>
      </c>
      <c r="V5" s="78">
        <f t="shared" si="2"/>
        <v>7</v>
      </c>
      <c r="W5" s="78">
        <f t="shared" si="3"/>
        <v>7</v>
      </c>
      <c r="X5" s="78">
        <f t="shared" si="4"/>
        <v>8</v>
      </c>
    </row>
    <row r="6" ht="14.25" customHeight="1">
      <c r="A6" s="78">
        <v>2017.0</v>
      </c>
      <c r="B6" s="81">
        <f>SUM('1.1) Рег. уровень_безопис'!J12+'1.1) Рег. уровень_безопис'!J13)</f>
        <v>23</v>
      </c>
      <c r="C6" s="81">
        <f>SUM('1.1) Рег. уровень_безопис'!K12+'1.1) Рег. уровень_безопис'!K13)</f>
        <v>1</v>
      </c>
      <c r="D6" s="81">
        <f>SUM('1.1) Рег. уровень_безопис'!L12+'1.1) Рег. уровень_безопис'!L13)</f>
        <v>23</v>
      </c>
      <c r="E6" s="81">
        <f>SUM('1.1) Рег. уровень_безопис'!M12+'1.1) Рег. уровень_безопис'!M13)</f>
        <v>0</v>
      </c>
      <c r="F6" s="81">
        <f>SUM('1.1) Рег. уровень_безопис'!N12+'1.1) Рег. уровень_безопис'!N13)</f>
        <v>0</v>
      </c>
      <c r="G6" s="81">
        <f>SUM('1.1) Рег. уровень_безопис'!O12+'1.1) Рег. уровень_безопис'!O13)</f>
        <v>27</v>
      </c>
      <c r="H6" s="81">
        <f>SUM('1.1) Рег. уровень_безопис'!P12+'1.1) Рег. уровень_безопис'!P13)</f>
        <v>0</v>
      </c>
      <c r="J6" s="78">
        <v>2017.0</v>
      </c>
      <c r="K6" s="78">
        <f>SUM('1.1) Рег. уровень_безопис'!J45+'1.1) Рег. уровень_безопис'!J44)</f>
        <v>4</v>
      </c>
      <c r="L6" s="78">
        <f>SUM('1.1) Рег. уровень_безопис'!K45+'1.1) Рег. уровень_безопис'!K44)</f>
        <v>0</v>
      </c>
      <c r="M6" s="78">
        <f>SUM('1.1) Рег. уровень_безопис'!L45+'1.1) Рег. уровень_безопис'!L44)</f>
        <v>6</v>
      </c>
      <c r="N6" s="78">
        <f>SUM('1.1) Рег. уровень_безопис'!M45+'1.1) Рег. уровень_безопис'!M44)</f>
        <v>0</v>
      </c>
      <c r="O6" s="78">
        <f>SUM('1.1) Рег. уровень_безопис'!N45+'1.1) Рег. уровень_безопис'!N44)</f>
        <v>0</v>
      </c>
      <c r="P6" s="78">
        <f>SUM('1.1) Рег. уровень_безопис'!O45+'1.1) Рег. уровень_безопис'!O44)</f>
        <v>5</v>
      </c>
      <c r="Q6" s="78">
        <f>SUM('1.1) Рег. уровень_безопис'!P45+'1.1) Рег. уровень_безопис'!P44)</f>
        <v>0</v>
      </c>
      <c r="S6" s="78">
        <v>2017.0</v>
      </c>
      <c r="T6" s="78">
        <f t="shared" si="5"/>
        <v>23</v>
      </c>
      <c r="U6" s="78">
        <f t="shared" si="1"/>
        <v>4</v>
      </c>
      <c r="V6" s="78">
        <f t="shared" si="2"/>
        <v>2</v>
      </c>
      <c r="W6" s="78">
        <f t="shared" si="3"/>
        <v>10</v>
      </c>
      <c r="X6" s="78">
        <f t="shared" si="4"/>
        <v>11</v>
      </c>
    </row>
    <row r="7" ht="14.25" customHeight="1">
      <c r="A7" s="78">
        <v>2018.0</v>
      </c>
      <c r="B7" s="80">
        <f>SUM('1.1) Рег. уровень_безопис'!J14+'1.1) Рег. уровень_безопис'!J15)</f>
        <v>22</v>
      </c>
      <c r="C7" s="80">
        <f>SUM('1.1) Рег. уровень_безопис'!K14+'1.1) Рег. уровень_безопис'!K15)</f>
        <v>0</v>
      </c>
      <c r="D7" s="80">
        <f>SUM('1.1) Рег. уровень_безопис'!L14+'1.1) Рег. уровень_безопис'!L15)</f>
        <v>14</v>
      </c>
      <c r="E7" s="80">
        <f>SUM('1.1) Рег. уровень_безопис'!M14+'1.1) Рег. уровень_безопис'!M15)</f>
        <v>1</v>
      </c>
      <c r="F7" s="80">
        <f>SUM('1.1) Рег. уровень_безопис'!N14+'1.1) Рег. уровень_безопис'!N15)</f>
        <v>0</v>
      </c>
      <c r="G7" s="80">
        <f>SUM('1.1) Рег. уровень_безопис'!O14+'1.1) Рег. уровень_безопис'!O15)</f>
        <v>26</v>
      </c>
      <c r="H7" s="80">
        <f>SUM('1.1) Рег. уровень_безопис'!P14+'1.1) Рег. уровень_безопис'!P15)</f>
        <v>0</v>
      </c>
      <c r="J7" s="78">
        <v>2018.0</v>
      </c>
      <c r="K7" s="78">
        <f>SUM('1.1) Рег. уровень_безопис'!J47+'1.1) Рег. уровень_безопис'!J46)</f>
        <v>9</v>
      </c>
      <c r="L7" s="78">
        <f>SUM('1.1) Рег. уровень_безопис'!K47+'1.1) Рег. уровень_безопис'!K46)</f>
        <v>0</v>
      </c>
      <c r="M7" s="78">
        <f>SUM('1.1) Рег. уровень_безопис'!L47+'1.1) Рег. уровень_безопис'!L46)</f>
        <v>3</v>
      </c>
      <c r="N7" s="78">
        <f>SUM('1.1) Рег. уровень_безопис'!M47+'1.1) Рег. уровень_безопис'!M46)</f>
        <v>0</v>
      </c>
      <c r="O7" s="78">
        <f>SUM('1.1) Рег. уровень_безопис'!N47+'1.1) Рег. уровень_безопис'!N46)</f>
        <v>0</v>
      </c>
      <c r="P7" s="78">
        <f>SUM('1.1) Рег. уровень_безопис'!O47+'1.1) Рег. уровень_безопис'!O46)</f>
        <v>38</v>
      </c>
      <c r="Q7" s="78">
        <f>SUM('1.1) Рег. уровень_безопис'!P47+'1.1) Рег. уровень_безопис'!P46)</f>
        <v>1</v>
      </c>
      <c r="S7" s="78">
        <v>2018.0</v>
      </c>
      <c r="T7" s="78">
        <f t="shared" si="5"/>
        <v>22</v>
      </c>
      <c r="U7" s="78">
        <f t="shared" si="1"/>
        <v>9</v>
      </c>
      <c r="V7" s="78">
        <f t="shared" si="2"/>
        <v>6</v>
      </c>
      <c r="W7" s="78">
        <f t="shared" si="3"/>
        <v>9</v>
      </c>
      <c r="X7" s="78">
        <f t="shared" si="4"/>
        <v>10</v>
      </c>
    </row>
    <row r="8" ht="14.25" customHeight="1">
      <c r="A8" s="78">
        <v>2019.0</v>
      </c>
      <c r="B8" s="80">
        <f>SUM('1.1) Рег. уровень_безопис'!J16+'1.1) Рег. уровень_безопис'!J17+'1.1) Рег. уровень_безопис'!J18)</f>
        <v>40</v>
      </c>
      <c r="C8" s="80">
        <f>SUM('1.1) Рег. уровень_безопис'!K16+'1.1) Рег. уровень_безопис'!K17+'1.1) Рег. уровень_безопис'!K18)</f>
        <v>1</v>
      </c>
      <c r="D8" s="80">
        <f>SUM('1.1) Рег. уровень_безопис'!L16+'1.1) Рег. уровень_безопис'!L17+'1.1) Рег. уровень_безопис'!L18)</f>
        <v>16</v>
      </c>
      <c r="E8" s="80">
        <f>SUM('1.1) Рег. уровень_безопис'!M16+'1.1) Рег. уровень_безопис'!M17+'1.1) Рег. уровень_безопис'!M18)</f>
        <v>0</v>
      </c>
      <c r="F8" s="80">
        <f>SUM('1.1) Рег. уровень_безопис'!N16+'1.1) Рег. уровень_безопис'!N17+'1.1) Рег. уровень_безопис'!N18)</f>
        <v>0</v>
      </c>
      <c r="G8" s="80">
        <f>SUM('1.1) Рег. уровень_безопис'!O16+'1.1) Рег. уровень_безопис'!O17+'1.1) Рег. уровень_безопис'!O18)</f>
        <v>28</v>
      </c>
      <c r="H8" s="80">
        <f>SUM('1.1) Рег. уровень_безопис'!P16+'1.1) Рег. уровень_безопис'!P17+'1.1) Рег. уровень_безопис'!P18)</f>
        <v>0</v>
      </c>
      <c r="J8" s="78">
        <v>2019.0</v>
      </c>
      <c r="K8" s="78">
        <f>SUM('1.1) Рег. уровень_безопис'!J50+'1.1) Рег. уровень_безопис'!J49+'1.1) Рег. уровень_безопис'!J48)</f>
        <v>18</v>
      </c>
      <c r="L8" s="78">
        <f>SUM('1.1) Рег. уровень_безопис'!K50+'1.1) Рег. уровень_безопис'!K49+'1.1) Рег. уровень_безопис'!K48)</f>
        <v>0</v>
      </c>
      <c r="M8" s="78">
        <f>SUM('1.1) Рег. уровень_безопис'!L50+'1.1) Рег. уровень_безопис'!L49+'1.1) Рег. уровень_безопис'!L48)</f>
        <v>13</v>
      </c>
      <c r="N8" s="78">
        <f>SUM('1.1) Рег. уровень_безопис'!M50+'1.1) Рег. уровень_безопис'!M49+'1.1) Рег. уровень_безопис'!M48)</f>
        <v>0</v>
      </c>
      <c r="O8" s="78">
        <f>SUM('1.1) Рег. уровень_безопис'!N50+'1.1) Рег. уровень_безопис'!N49+'1.1) Рег. уровень_безопис'!N48)</f>
        <v>0</v>
      </c>
      <c r="P8" s="78">
        <f>SUM('1.1) Рег. уровень_безопис'!O50+'1.1) Рег. уровень_безопис'!O49+'1.1) Рег. уровень_безопис'!O48)</f>
        <v>20</v>
      </c>
      <c r="Q8" s="78">
        <f>SUM('1.1) Рег. уровень_безопис'!P50+'1.1) Рег. уровень_безопис'!P49+'1.1) Рег. уровень_безопис'!P48)</f>
        <v>1</v>
      </c>
      <c r="S8" s="78">
        <v>2019.0</v>
      </c>
      <c r="T8" s="78">
        <f t="shared" si="5"/>
        <v>40</v>
      </c>
      <c r="U8" s="78">
        <f t="shared" si="1"/>
        <v>18</v>
      </c>
      <c r="V8" s="78">
        <f t="shared" si="2"/>
        <v>9</v>
      </c>
      <c r="W8" s="78">
        <f t="shared" si="3"/>
        <v>16</v>
      </c>
      <c r="X8" s="78">
        <f t="shared" si="4"/>
        <v>11</v>
      </c>
    </row>
    <row r="9" ht="14.25" customHeight="1">
      <c r="A9" s="78">
        <v>2020.0</v>
      </c>
      <c r="B9" s="80">
        <f>SUM('1.1) Рег. уровень_безопис'!J19+'1.1) Рег. уровень_безопис'!J20+'1.1) Рег. уровень_безопис'!J21)</f>
        <v>49</v>
      </c>
      <c r="C9" s="80">
        <f>SUM('1.1) Рег. уровень_безопис'!K19+'1.1) Рег. уровень_безопис'!K20+'1.1) Рег. уровень_безопис'!K21)</f>
        <v>1</v>
      </c>
      <c r="D9" s="80">
        <f>SUM('1.1) Рег. уровень_безопис'!L19+'1.1) Рег. уровень_безопис'!L20+'1.1) Рег. уровень_безопис'!L21)</f>
        <v>17</v>
      </c>
      <c r="E9" s="80">
        <f>SUM('1.1) Рег. уровень_безопис'!M19+'1.1) Рег. уровень_безопис'!M20+'1.1) Рег. уровень_безопис'!M21)</f>
        <v>2</v>
      </c>
      <c r="F9" s="80">
        <f>SUM('1.1) Рег. уровень_безопис'!N19+'1.1) Рег. уровень_безопис'!N20+'1.1) Рег. уровень_безопис'!N21)</f>
        <v>0</v>
      </c>
      <c r="G9" s="80">
        <f>SUM('1.1) Рег. уровень_безопис'!O19+'1.1) Рег. уровень_безопис'!O20+'1.1) Рег. уровень_безопис'!O21)</f>
        <v>37</v>
      </c>
      <c r="H9" s="80">
        <f>SUM('1.1) Рег. уровень_безопис'!P19+'1.1) Рег. уровень_безопис'!P20+'1.1) Рег. уровень_безопис'!P21)</f>
        <v>2</v>
      </c>
      <c r="J9" s="78">
        <v>2020.0</v>
      </c>
      <c r="K9" s="78">
        <f>SUM('1.1) Рег. уровень_безопис'!J52+'1.1) Рег. уровень_безопис'!J51)</f>
        <v>18</v>
      </c>
      <c r="L9" s="78">
        <f>SUM('1.1) Рег. уровень_безопис'!K52+'1.1) Рег. уровень_безопис'!K51)</f>
        <v>1</v>
      </c>
      <c r="M9" s="78">
        <f>SUM('1.1) Рег. уровень_безопис'!L52+'1.1) Рег. уровень_безопис'!L51)</f>
        <v>5</v>
      </c>
      <c r="N9" s="78">
        <f>SUM('1.1) Рег. уровень_безопис'!M52+'1.1) Рег. уровень_безопис'!M51)</f>
        <v>1</v>
      </c>
      <c r="O9" s="78">
        <f>SUM('1.1) Рег. уровень_безопис'!N52+'1.1) Рег. уровень_безопис'!N51)</f>
        <v>0</v>
      </c>
      <c r="P9" s="78">
        <f>SUM('1.1) Рег. уровень_безопис'!O52+'1.1) Рег. уровень_безопис'!O51)</f>
        <v>45</v>
      </c>
      <c r="Q9" s="78">
        <f>SUM('1.1) Рег. уровень_безопис'!P52+'1.1) Рег. уровень_безопис'!P51)</f>
        <v>0</v>
      </c>
      <c r="S9" s="78">
        <v>2020.0</v>
      </c>
      <c r="T9" s="78">
        <f t="shared" si="5"/>
        <v>49</v>
      </c>
      <c r="U9" s="78">
        <f t="shared" si="1"/>
        <v>18</v>
      </c>
      <c r="V9" s="78">
        <f t="shared" si="2"/>
        <v>8</v>
      </c>
      <c r="W9" s="78">
        <f t="shared" si="3"/>
        <v>9</v>
      </c>
      <c r="X9" s="78">
        <f t="shared" si="4"/>
        <v>12</v>
      </c>
    </row>
    <row r="10" ht="14.25" customHeight="1">
      <c r="A10" s="78">
        <v>2021.0</v>
      </c>
      <c r="B10" s="78">
        <f>SUM('1.1) Рег. уровень_безопис'!J22+'1.1) Рег. уровень_безопис'!J23+'1.1) Рег. уровень_безопис'!J24)</f>
        <v>60</v>
      </c>
      <c r="C10" s="78">
        <f>SUM('1.1) Рег. уровень_безопис'!K22+'1.1) Рег. уровень_безопис'!K23+'1.1) Рег. уровень_безопис'!K24)</f>
        <v>1</v>
      </c>
      <c r="D10" s="78">
        <f>SUM('1.1) Рег. уровень_безопис'!L22+'1.1) Рег. уровень_безопис'!L23+'1.1) Рег. уровень_безопис'!L24)</f>
        <v>21</v>
      </c>
      <c r="E10" s="78">
        <f>SUM('1.1) Рег. уровень_безопис'!M22+'1.1) Рег. уровень_безопис'!M23+'1.1) Рег. уровень_безопис'!M24)</f>
        <v>1</v>
      </c>
      <c r="F10" s="78">
        <f>SUM('1.1) Рег. уровень_безопис'!N22+'1.1) Рег. уровень_безопис'!N23+'1.1) Рег. уровень_безопис'!N24)</f>
        <v>0</v>
      </c>
      <c r="G10" s="78">
        <f>SUM('1.1) Рег. уровень_безопис'!O22+'1.1) Рег. уровень_безопис'!O23+'1.1) Рег. уровень_безопис'!O24)</f>
        <v>32</v>
      </c>
      <c r="H10" s="78">
        <f>SUM('1.1) Рег. уровень_безопис'!P22+'1.1) Рег. уровень_безопис'!P23+'1.1) Рег. уровень_безопис'!P24)</f>
        <v>2</v>
      </c>
      <c r="J10" s="78">
        <v>2021.0</v>
      </c>
      <c r="K10" s="78">
        <f>SUM('1.1) Рег. уровень_безопис'!J55+'1.1) Рег. уровень_безопис'!J54+'1.1) Рег. уровень_безопис'!J53)</f>
        <v>16</v>
      </c>
      <c r="L10" s="78">
        <f>SUM('1.1) Рег. уровень_безопис'!K55+'1.1) Рег. уровень_безопис'!K54+'1.1) Рег. уровень_безопис'!K53)</f>
        <v>6</v>
      </c>
      <c r="M10" s="78">
        <f>SUM('1.1) Рег. уровень_безопис'!L55+'1.1) Рег. уровень_безопис'!L54+'1.1) Рег. уровень_безопис'!L53)</f>
        <v>10</v>
      </c>
      <c r="N10" s="78">
        <f>SUM('1.1) Рег. уровень_безопис'!M55+'1.1) Рег. уровень_безопис'!M54+'1.1) Рег. уровень_безопис'!M53)</f>
        <v>1</v>
      </c>
      <c r="O10" s="78">
        <f>SUM('1.1) Рег. уровень_безопис'!N55+'1.1) Рег. уровень_безопис'!N54+'1.1) Рег. уровень_безопис'!N53)</f>
        <v>0</v>
      </c>
      <c r="P10" s="78">
        <f>SUM('1.1) Рег. уровень_безопис'!O55+'1.1) Рег. уровень_безопис'!O54+'1.1) Рег. уровень_безопис'!O53)</f>
        <v>21</v>
      </c>
      <c r="Q10" s="78">
        <f>SUM('1.1) Рег. уровень_безопис'!P55+'1.1) Рег. уровень_безопис'!P54+'1.1) Рег. уровень_безопис'!P53)</f>
        <v>0</v>
      </c>
      <c r="S10" s="78">
        <v>2021.0</v>
      </c>
      <c r="T10" s="78">
        <f t="shared" si="5"/>
        <v>60</v>
      </c>
      <c r="U10" s="78">
        <f t="shared" si="1"/>
        <v>16</v>
      </c>
      <c r="V10" s="78">
        <f t="shared" si="2"/>
        <v>7</v>
      </c>
      <c r="W10" s="78">
        <f t="shared" si="3"/>
        <v>14</v>
      </c>
      <c r="X10" s="78">
        <f t="shared" si="4"/>
        <v>13</v>
      </c>
    </row>
    <row r="11" ht="14.25" customHeight="1">
      <c r="A11" s="78">
        <v>2022.0</v>
      </c>
      <c r="B11" s="78">
        <f>SUM(('1.1) Рег. уровень_безопис'!J25+'1.1) Рег. уровень_безопис'!J26))</f>
        <v>41</v>
      </c>
      <c r="C11" s="78">
        <f>SUM(('1.1) Рег. уровень_безопис'!K25+'1.1) Рег. уровень_безопис'!K26))</f>
        <v>1</v>
      </c>
      <c r="D11" s="78">
        <f>SUM(('1.1) Рег. уровень_безопис'!L25+'1.1) Рег. уровень_безопис'!L26))</f>
        <v>19</v>
      </c>
      <c r="E11" s="78">
        <f>SUM(('1.1) Рег. уровень_безопис'!M25+'1.1) Рег. уровень_безопис'!M26))</f>
        <v>2</v>
      </c>
      <c r="F11" s="78">
        <f>SUM(('1.1) Рег. уровень_безопис'!N25+'1.1) Рег. уровень_безопис'!N26))</f>
        <v>0</v>
      </c>
      <c r="G11" s="78">
        <f>SUM(('1.1) Рег. уровень_безопис'!O25+'1.1) Рег. уровень_безопис'!O26))</f>
        <v>32</v>
      </c>
      <c r="H11" s="78">
        <f>SUM(('1.1) Рег. уровень_безопис'!P25+'1.1) Рег. уровень_безопис'!P26))</f>
        <v>1</v>
      </c>
      <c r="J11" s="78">
        <v>2022.0</v>
      </c>
      <c r="K11" s="78">
        <f>SUM('1.1) Рег. уровень_безопис'!J57+'1.1) Рег. уровень_безопис'!J56)</f>
        <v>7</v>
      </c>
      <c r="L11" s="78">
        <f>SUM('1.1) Рег. уровень_безопис'!K57+'1.1) Рег. уровень_безопис'!K56)</f>
        <v>1</v>
      </c>
      <c r="M11" s="78">
        <f>SUM('1.1) Рег. уровень_безопис'!L57+'1.1) Рег. уровень_безопис'!L56)</f>
        <v>8</v>
      </c>
      <c r="N11" s="78">
        <f>SUM('1.1) Рег. уровень_безопис'!M57+'1.1) Рег. уровень_безопис'!M56)</f>
        <v>2</v>
      </c>
      <c r="O11" s="78">
        <f>SUM('1.1) Рег. уровень_безопис'!N57+'1.1) Рег. уровень_безопис'!N56)</f>
        <v>0</v>
      </c>
      <c r="P11" s="78">
        <f>SUM('1.1) Рег. уровень_безопис'!O57+'1.1) Рег. уровень_безопис'!O56)</f>
        <v>16</v>
      </c>
      <c r="Q11" s="78">
        <f>SUM('1.1) Рег. уровень_безопис'!P57+'1.1) Рег. уровень_безопис'!P56)</f>
        <v>0</v>
      </c>
      <c r="S11" s="78">
        <v>2022.0</v>
      </c>
      <c r="T11" s="78">
        <f t="shared" si="5"/>
        <v>41</v>
      </c>
      <c r="U11" s="78">
        <f t="shared" si="1"/>
        <v>7</v>
      </c>
      <c r="V11" s="78">
        <f t="shared" si="2"/>
        <v>13</v>
      </c>
      <c r="W11" s="78">
        <f t="shared" si="3"/>
        <v>12</v>
      </c>
      <c r="X11" s="78">
        <f t="shared" si="4"/>
        <v>28</v>
      </c>
    </row>
    <row r="12" ht="14.25" customHeight="1">
      <c r="A12" s="78">
        <v>2023.0</v>
      </c>
      <c r="B12" s="78">
        <f>SUM('1.1) Рег. уровень_безопис'!J27+'1.1) Рег. уровень_безопис'!J28)</f>
        <v>59</v>
      </c>
      <c r="C12" s="78">
        <f>SUM('1.1) Рег. уровень_безопис'!K27+'1.1) Рег. уровень_безопис'!K28)</f>
        <v>0</v>
      </c>
      <c r="D12" s="78">
        <f>SUM('1.1) Рег. уровень_безопис'!L27+'1.1) Рег. уровень_безопис'!L28)</f>
        <v>13</v>
      </c>
      <c r="E12" s="78">
        <f>SUM('1.1) Рег. уровень_безопис'!M27+'1.1) Рег. уровень_безопис'!M28)</f>
        <v>5</v>
      </c>
      <c r="F12" s="78">
        <f>SUM('1.1) Рег. уровень_безопис'!N27+'1.1) Рег. уровень_безопис'!N28)</f>
        <v>0</v>
      </c>
      <c r="G12" s="78">
        <f>SUM('1.1) Рег. уровень_безопис'!O27+'1.1) Рег. уровень_безопис'!O28)</f>
        <v>40</v>
      </c>
      <c r="H12" s="78">
        <f>SUM('1.1) Рег. уровень_безопис'!P27+'1.1) Рег. уровень_безопис'!P28)</f>
        <v>1</v>
      </c>
      <c r="J12" s="78">
        <v>2023.0</v>
      </c>
      <c r="K12" s="78">
        <f>SUM('1.1) Рег. уровень_безопис'!J59+'1.1) Рег. уровень_безопис'!J58)</f>
        <v>12</v>
      </c>
      <c r="L12" s="78">
        <f>SUM('1.1) Рег. уровень_безопис'!K59+'1.1) Рег. уровень_безопис'!K58)</f>
        <v>1</v>
      </c>
      <c r="M12" s="78">
        <f>SUM('1.1) Рег. уровень_безопис'!L59+'1.1) Рег. уровень_безопис'!L58)</f>
        <v>11</v>
      </c>
      <c r="N12" s="78">
        <f>SUM('1.1) Рег. уровень_безопис'!M59+'1.1) Рег. уровень_безопис'!M58)</f>
        <v>5</v>
      </c>
      <c r="O12" s="78">
        <f>SUM('1.1) Рег. уровень_безопис'!N59+'1.1) Рег. уровень_безопис'!N58)</f>
        <v>0</v>
      </c>
      <c r="P12" s="78">
        <f>SUM('1.1) Рег. уровень_безопис'!O59+'1.1) Рег. уровень_безопис'!O58)</f>
        <v>18</v>
      </c>
      <c r="Q12" s="78">
        <f>SUM('1.1) Рег. уровень_безопис'!P59+'1.1) Рег. уровень_безопис'!P58)</f>
        <v>0</v>
      </c>
      <c r="S12" s="78">
        <v>2023.0</v>
      </c>
      <c r="T12" s="78">
        <f t="shared" si="5"/>
        <v>59</v>
      </c>
      <c r="U12" s="78">
        <f t="shared" si="1"/>
        <v>12</v>
      </c>
      <c r="V12" s="78">
        <f t="shared" si="2"/>
        <v>12</v>
      </c>
      <c r="W12" s="78">
        <f t="shared" si="3"/>
        <v>4</v>
      </c>
      <c r="X12" s="78">
        <f t="shared" si="4"/>
        <v>13</v>
      </c>
    </row>
    <row r="13" ht="14.25" customHeight="1">
      <c r="A13" s="78">
        <v>2024.0</v>
      </c>
      <c r="B13" s="78">
        <f>SUM('1.1) Рег. уровень_безопис'!J29+'1.1) Рег. уровень_безопис'!J30)</f>
        <v>28</v>
      </c>
      <c r="C13" s="78">
        <f>SUM('1.1) Рег. уровень_безопис'!K29+'1.1) Рег. уровень_безопис'!K30)</f>
        <v>1</v>
      </c>
      <c r="D13" s="78">
        <f>SUM('1.1) Рег. уровень_безопис'!L29+'1.1) Рег. уровень_безопис'!L30)</f>
        <v>6</v>
      </c>
      <c r="E13" s="78">
        <f>SUM('1.1) Рег. уровень_безопис'!M29+'1.1) Рег. уровень_безопис'!M30)</f>
        <v>1</v>
      </c>
      <c r="F13" s="78">
        <f>SUM('1.1) Рег. уровень_безопис'!N29+'1.1) Рег. уровень_безопис'!N30)</f>
        <v>0</v>
      </c>
      <c r="G13" s="78">
        <f>SUM('1.1) Рег. уровень_безопис'!O29+'1.1) Рег. уровень_безопис'!O30)</f>
        <v>19</v>
      </c>
      <c r="H13" s="78">
        <f>SUM('1.1) Рег. уровень_безопис'!P29+'1.1) Рег. уровень_безопис'!P30)</f>
        <v>0</v>
      </c>
      <c r="J13" s="78">
        <v>2024.0</v>
      </c>
      <c r="K13" s="78">
        <f>SUM('1.1) Рег. уровень_безопис'!J61+'1.1) Рег. уровень_безопис'!J60)</f>
        <v>12</v>
      </c>
      <c r="L13" s="78">
        <f>SUM('1.1) Рег. уровень_безопис'!K61+'1.1) Рег. уровень_безопис'!K60)</f>
        <v>1</v>
      </c>
      <c r="M13" s="78">
        <f>SUM('1.1) Рег. уровень_безопис'!L61+'1.1) Рег. уровень_безопис'!L60)</f>
        <v>7</v>
      </c>
      <c r="N13" s="78">
        <f>SUM('1.1) Рег. уровень_безопис'!M61+'1.1) Рег. уровень_безопис'!M60)</f>
        <v>4</v>
      </c>
      <c r="O13" s="78">
        <f>SUM('1.1) Рег. уровень_безопис'!N61+'1.1) Рег. уровень_безопис'!N60)</f>
        <v>0</v>
      </c>
      <c r="P13" s="78">
        <f>SUM('1.1) Рег. уровень_безопис'!O61+'1.1) Рег. уровень_безопис'!O60)</f>
        <v>20</v>
      </c>
      <c r="Q13" s="78">
        <f>SUM('1.1) Рег. уровень_безопис'!P61+'1.1) Рег. уровень_безопис'!P60)</f>
        <v>0</v>
      </c>
      <c r="S13" s="78">
        <v>2024.0</v>
      </c>
      <c r="T13" s="78">
        <f t="shared" si="5"/>
        <v>28</v>
      </c>
      <c r="U13" s="78">
        <f t="shared" si="1"/>
        <v>12</v>
      </c>
      <c r="V13" s="78">
        <f t="shared" si="2"/>
        <v>19</v>
      </c>
      <c r="W13" s="78">
        <f t="shared" si="3"/>
        <v>4</v>
      </c>
      <c r="X13" s="78">
        <f t="shared" si="4"/>
        <v>9</v>
      </c>
    </row>
    <row r="14" ht="14.25" customHeight="1">
      <c r="A14" s="82">
        <v>2025.0</v>
      </c>
      <c r="B14" s="82">
        <f>SUM('1.1) Рег. уровень_безопис'!J31+'1.1) Рег. уровень_безопис'!J32)</f>
        <v>19</v>
      </c>
      <c r="C14" s="82">
        <f>SUM('1.1) Рег. уровень_безопис'!K31+'1.1) Рег. уровень_безопис'!K32)</f>
        <v>1</v>
      </c>
      <c r="D14" s="82">
        <f>SUM('1.1) Рег. уровень_безопис'!L31+'1.1) Рег. уровень_безопис'!L32)</f>
        <v>11</v>
      </c>
      <c r="E14" s="82">
        <f>SUM('1.1) Рег. уровень_безопис'!M31+'1.1) Рег. уровень_безопис'!M32)</f>
        <v>0</v>
      </c>
      <c r="F14" s="82">
        <f>SUM('1.1) Рег. уровень_безопис'!N31+'1.1) Рег. уровень_безопис'!N32)</f>
        <v>0</v>
      </c>
      <c r="G14" s="82">
        <f>SUM('1.1) Рег. уровень_безопис'!O31+'1.1) Рег. уровень_безопис'!O32)</f>
        <v>11</v>
      </c>
      <c r="H14" s="82">
        <f>SUM('1.1) Рег. уровень_безопис'!P31+'1.1) Рег. уровень_безопис'!P32)</f>
        <v>0</v>
      </c>
      <c r="J14" s="82">
        <v>2025.0</v>
      </c>
      <c r="K14" s="82">
        <f>SUM('1.1) Рег. уровень_безопис'!J63+'1.1) Рег. уровень_безопис'!J62)</f>
        <v>25</v>
      </c>
      <c r="L14" s="82">
        <f>SUM('1.1) Рег. уровень_безопис'!K63+'1.1) Рег. уровень_безопис'!K62)</f>
        <v>0</v>
      </c>
      <c r="M14" s="82">
        <f>SUM('1.1) Рег. уровень_безопис'!L63+'1.1) Рег. уровень_безопис'!L62)</f>
        <v>14</v>
      </c>
      <c r="N14" s="82">
        <f>SUM('1.1) Рег. уровень_безопис'!M63+'1.1) Рег. уровень_безопис'!M62)</f>
        <v>4</v>
      </c>
      <c r="O14" s="82">
        <f>SUM('1.1) Рег. уровень_безопис'!N63+'1.1) Рег. уровень_безопис'!N62)</f>
        <v>0</v>
      </c>
      <c r="P14" s="82">
        <f>SUM('1.1) Рег. уровень_безопис'!O63+'1.1) Рег. уровень_безопис'!O62)</f>
        <v>37</v>
      </c>
      <c r="Q14" s="82">
        <f>SUM('1.1) Рег. уровень_безопис'!P63+'1.1) Рег. уровень_безопис'!P62)</f>
        <v>1</v>
      </c>
      <c r="S14" s="78">
        <v>2025.0</v>
      </c>
      <c r="T14" s="78">
        <f t="shared" si="5"/>
        <v>19</v>
      </c>
      <c r="U14" s="78">
        <f t="shared" si="1"/>
        <v>25</v>
      </c>
      <c r="V14" s="78">
        <f t="shared" si="2"/>
        <v>5</v>
      </c>
      <c r="W14" s="78">
        <f t="shared" si="3"/>
        <v>4</v>
      </c>
      <c r="X14" s="78">
        <f t="shared" si="4"/>
        <v>0</v>
      </c>
    </row>
    <row r="15" ht="14.25" customHeight="1">
      <c r="A15" s="83" t="s">
        <v>354</v>
      </c>
      <c r="B15" s="84">
        <f t="shared" ref="B15:H15" si="6">SUM(B3:B14)</f>
        <v>412</v>
      </c>
      <c r="C15" s="84">
        <f t="shared" si="6"/>
        <v>7</v>
      </c>
      <c r="D15" s="84">
        <f t="shared" si="6"/>
        <v>203</v>
      </c>
      <c r="E15" s="84">
        <f t="shared" si="6"/>
        <v>13</v>
      </c>
      <c r="F15" s="84">
        <f t="shared" si="6"/>
        <v>0</v>
      </c>
      <c r="G15" s="84">
        <f t="shared" si="6"/>
        <v>340</v>
      </c>
      <c r="H15" s="85">
        <f t="shared" si="6"/>
        <v>9</v>
      </c>
      <c r="J15" s="83" t="s">
        <v>354</v>
      </c>
      <c r="K15" s="84">
        <f>SUM('1.2) Рег. ур_динам_по странам'!K3:K14)</f>
        <v>143</v>
      </c>
      <c r="L15" s="84">
        <f>SUM('1.2) Рег. ур_динам_по странам'!L3:L14)</f>
        <v>12</v>
      </c>
      <c r="M15" s="84">
        <f>SUM('1.2) Рег. ур_динам_по странам'!M3:M14)</f>
        <v>93</v>
      </c>
      <c r="N15" s="84">
        <f>SUM('1.2) Рег. ур_динам_по странам'!N3:N14)</f>
        <v>18</v>
      </c>
      <c r="O15" s="84">
        <f>SUM('1.2) Рег. ур_динам_по странам'!O3:O14)</f>
        <v>0</v>
      </c>
      <c r="P15" s="84">
        <f>SUM('1.2) Рег. ур_динам_по странам'!P3:P14)</f>
        <v>262</v>
      </c>
      <c r="Q15" s="85">
        <f>SUM('1.2) Рег. ур_динам_по странам'!Q3:Q14)</f>
        <v>5</v>
      </c>
      <c r="S15" s="86" t="s">
        <v>354</v>
      </c>
      <c r="T15" s="78">
        <f t="shared" ref="T15:X15" si="7">SUM(T3:T14)</f>
        <v>412</v>
      </c>
      <c r="U15" s="78">
        <f t="shared" si="7"/>
        <v>143</v>
      </c>
      <c r="V15" s="78">
        <f t="shared" si="7"/>
        <v>97</v>
      </c>
      <c r="W15" s="78">
        <f t="shared" si="7"/>
        <v>98</v>
      </c>
      <c r="X15" s="78">
        <f t="shared" si="7"/>
        <v>132</v>
      </c>
    </row>
    <row r="16" ht="14.25" customHeight="1"/>
    <row r="17" ht="14.25" customHeight="1">
      <c r="A17" s="78" t="s">
        <v>192</v>
      </c>
      <c r="B17" s="79" t="s">
        <v>352</v>
      </c>
      <c r="C17" s="79" t="s">
        <v>10</v>
      </c>
      <c r="D17" s="79" t="s">
        <v>11</v>
      </c>
      <c r="E17" s="79" t="s">
        <v>12</v>
      </c>
      <c r="F17" s="79" t="s">
        <v>13</v>
      </c>
      <c r="G17" s="79" t="s">
        <v>14</v>
      </c>
      <c r="H17" s="79" t="s">
        <v>15</v>
      </c>
      <c r="J17" s="78" t="s">
        <v>244</v>
      </c>
      <c r="K17" s="79" t="s">
        <v>352</v>
      </c>
      <c r="L17" s="79" t="s">
        <v>10</v>
      </c>
      <c r="M17" s="79" t="s">
        <v>11</v>
      </c>
      <c r="N17" s="79" t="s">
        <v>12</v>
      </c>
      <c r="O17" s="79" t="s">
        <v>13</v>
      </c>
      <c r="P17" s="79" t="s">
        <v>14</v>
      </c>
      <c r="Q17" s="79" t="s">
        <v>15</v>
      </c>
    </row>
    <row r="18" ht="14.25" customHeight="1">
      <c r="A18" s="78">
        <v>2014.0</v>
      </c>
      <c r="B18" s="80">
        <f>SUM('1.1) Рег. уровень_безопис'!J65+'1.1) Рег. уровень_безопис'!J66+'1.1) Рег. уровень_безопис'!J67)</f>
        <v>3</v>
      </c>
      <c r="C18" s="80">
        <f>SUM('1.1) Рег. уровень_безопис'!K65+'1.1) Рег. уровень_безопис'!K66+'1.1) Рег. уровень_безопис'!K67)</f>
        <v>0</v>
      </c>
      <c r="D18" s="80">
        <f>SUM('1.1) Рег. уровень_безопис'!L65+'1.1) Рег. уровень_безопис'!L66+'1.1) Рег. уровень_безопис'!L67)</f>
        <v>1</v>
      </c>
      <c r="E18" s="80">
        <f>SUM('1.1) Рег. уровень_безопис'!M65+'1.1) Рег. уровень_безопис'!M66+'1.1) Рег. уровень_безопис'!M67)</f>
        <v>0</v>
      </c>
      <c r="F18" s="80">
        <f>SUM('1.1) Рег. уровень_безопис'!N65+'1.1) Рег. уровень_безопис'!N66+'1.1) Рег. уровень_безопис'!N67)</f>
        <v>0</v>
      </c>
      <c r="G18" s="80">
        <f>SUM('1.1) Рег. уровень_безопис'!O65+'1.1) Рег. уровень_безопис'!O66+'1.1) Рег. уровень_безопис'!O67)</f>
        <v>19</v>
      </c>
      <c r="H18" s="80">
        <f>SUM('1.1) Рег. уровень_безопис'!P65+'1.1) Рег. уровень_безопис'!P66+'1.1) Рег. уровень_безопис'!P67)</f>
        <v>0</v>
      </c>
      <c r="J18" s="78">
        <v>2014.0</v>
      </c>
      <c r="K18" s="80">
        <f>SUM('1.1) Рег. уровень_безопис'!J93+'1.1) Рег. уровень_безопис'!J94+'1.1) Рег. уровень_безопис'!J95)</f>
        <v>0</v>
      </c>
      <c r="L18" s="80">
        <f>SUM('1.1) Рег. уровень_безопис'!K93+'1.1) Рег. уровень_безопис'!K94+'1.1) Рег. уровень_безопис'!K95)</f>
        <v>0</v>
      </c>
      <c r="M18" s="80">
        <f>SUM('1.1) Рег. уровень_безопис'!L93+'1.1) Рег. уровень_безопис'!L94+'1.1) Рег. уровень_безопис'!L95)</f>
        <v>0</v>
      </c>
      <c r="N18" s="80">
        <f>SUM('1.1) Рег. уровень_безопис'!M93+'1.1) Рег. уровень_безопис'!M94+'1.1) Рег. уровень_безопис'!M95)</f>
        <v>0</v>
      </c>
      <c r="O18" s="80">
        <f>SUM('1.1) Рег. уровень_безопис'!N93+'1.1) Рег. уровень_безопис'!N94+'1.1) Рег. уровень_безопис'!N95)</f>
        <v>0</v>
      </c>
      <c r="P18" s="80">
        <f>SUM('1.1) Рег. уровень_безопис'!O93+'1.1) Рег. уровень_безопис'!O94+'1.1) Рег. уровень_безопис'!O95)</f>
        <v>0</v>
      </c>
      <c r="Q18" s="80">
        <f>SUM('1.1) Рег. уровень_безопис'!P93+'1.1) Рег. уровень_безопис'!P94+'1.1) Рег. уровень_безопис'!P95)</f>
        <v>0</v>
      </c>
    </row>
    <row r="19" ht="14.25" customHeight="1">
      <c r="A19" s="78">
        <v>2015.0</v>
      </c>
      <c r="B19" s="80">
        <f>SUM('1.1) Рег. уровень_безопис'!J68+'1.1) Рег. уровень_безопис'!J69+'1.1) Рег. уровень_безопис'!J70)</f>
        <v>6</v>
      </c>
      <c r="C19" s="80">
        <f>SUM('1.1) Рег. уровень_безопис'!K68+'1.1) Рег. уровень_безопис'!K69+'1.1) Рег. уровень_безопис'!K70)</f>
        <v>0</v>
      </c>
      <c r="D19" s="80">
        <f>SUM('1.1) Рег. уровень_безопис'!L68+'1.1) Рег. уровень_безопис'!L69+'1.1) Рег. уровень_безопис'!L70)</f>
        <v>3</v>
      </c>
      <c r="E19" s="80">
        <f>SUM('1.1) Рег. уровень_безопис'!M68+'1.1) Рег. уровень_безопис'!M69+'1.1) Рег. уровень_безопис'!M70)</f>
        <v>0</v>
      </c>
      <c r="F19" s="80">
        <f>SUM('1.1) Рег. уровень_безопис'!N68+'1.1) Рег. уровень_безопис'!N69+'1.1) Рег. уровень_безопис'!N70)</f>
        <v>0</v>
      </c>
      <c r="G19" s="80">
        <f>SUM('1.1) Рег. уровень_безопис'!O68+'1.1) Рег. уровень_безопис'!O69+'1.1) Рег. уровень_безопис'!O70)</f>
        <v>29</v>
      </c>
      <c r="H19" s="80">
        <f>SUM('1.1) Рег. уровень_безопис'!P68+'1.1) Рег. уровень_безопис'!P69+'1.1) Рег. уровень_безопис'!P70)</f>
        <v>1</v>
      </c>
      <c r="J19" s="78">
        <v>2015.0</v>
      </c>
      <c r="K19" s="80">
        <f>SUM('1.1) Рег. уровень_безопис'!J96+'1.1) Рег. уровень_безопис'!J97+'1.1) Рег. уровень_безопис'!J98)</f>
        <v>9</v>
      </c>
      <c r="L19" s="80">
        <f>SUM('1.1) Рег. уровень_безопис'!K96+'1.1) Рег. уровень_безопис'!K97+'1.1) Рег. уровень_безопис'!K98)</f>
        <v>0</v>
      </c>
      <c r="M19" s="80">
        <f>SUM('1.1) Рег. уровень_безопис'!L96+'1.1) Рег. уровень_безопис'!L97+'1.1) Рег. уровень_безопис'!L98)</f>
        <v>6</v>
      </c>
      <c r="N19" s="80">
        <f>SUM('1.1) Рег. уровень_безопис'!M96+'1.1) Рег. уровень_безопис'!M97+'1.1) Рег. уровень_безопис'!M98)</f>
        <v>1</v>
      </c>
      <c r="O19" s="80">
        <f>SUM('1.1) Рег. уровень_безопис'!N96+'1.1) Рег. уровень_безопис'!N97+'1.1) Рег. уровень_безопис'!N98)</f>
        <v>1</v>
      </c>
      <c r="P19" s="80">
        <f>SUM('1.1) Рег. уровень_безопис'!O96+'1.1) Рег. уровень_безопис'!O97+'1.1) Рег. уровень_безопис'!O98)</f>
        <v>10</v>
      </c>
      <c r="Q19" s="80">
        <f>SUM('1.1) Рег. уровень_безопис'!P96+'1.1) Рег. уровень_безопис'!P97+'1.1) Рег. уровень_безопис'!P98)</f>
        <v>0</v>
      </c>
    </row>
    <row r="20" ht="14.25" customHeight="1">
      <c r="A20" s="78">
        <v>2016.0</v>
      </c>
      <c r="B20" s="81">
        <f>SUM('1.1) Рег. уровень_безопис'!J71+'1.1) Рег. уровень_безопис'!J72)</f>
        <v>7</v>
      </c>
      <c r="C20" s="81">
        <f>SUM('1.1) Рег. уровень_безопис'!K71+'1.1) Рег. уровень_безопис'!K72)</f>
        <v>0</v>
      </c>
      <c r="D20" s="81">
        <f>SUM('1.1) Рег. уровень_безопис'!L71+'1.1) Рег. уровень_безопис'!L72)</f>
        <v>4</v>
      </c>
      <c r="E20" s="81">
        <f>SUM('1.1) Рег. уровень_безопис'!M71+'1.1) Рег. уровень_безопис'!M72)</f>
        <v>0</v>
      </c>
      <c r="F20" s="81">
        <f>SUM('1.1) Рег. уровень_безопис'!N71+'1.1) Рег. уровень_безопис'!N72)</f>
        <v>0</v>
      </c>
      <c r="G20" s="81">
        <f>SUM('1.1) Рег. уровень_безопис'!O71+'1.1) Рег. уровень_безопис'!O72)</f>
        <v>15</v>
      </c>
      <c r="H20" s="81">
        <f>SUM('1.1) Рег. уровень_безопис'!P71+'1.1) Рег. уровень_безопис'!P72)</f>
        <v>0</v>
      </c>
      <c r="J20" s="78">
        <v>2016.0</v>
      </c>
      <c r="K20" s="81">
        <f>SUM('1.1) Рег. уровень_безопис'!J99+'1.1) Рег. уровень_безопис'!J100)</f>
        <v>7</v>
      </c>
      <c r="L20" s="81">
        <f>SUM('1.1) Рег. уровень_безопис'!K99+'1.1) Рег. уровень_безопис'!K100)</f>
        <v>2</v>
      </c>
      <c r="M20" s="81">
        <f>SUM('1.1) Рег. уровень_безопис'!L99+'1.1) Рег. уровень_безопис'!L100)</f>
        <v>11</v>
      </c>
      <c r="N20" s="81">
        <f>SUM('1.1) Рег. уровень_безопис'!M99+'1.1) Рег. уровень_безопис'!M100)</f>
        <v>1</v>
      </c>
      <c r="O20" s="81">
        <f>SUM('1.1) Рег. уровень_безопис'!N99+'1.1) Рег. уровень_безопис'!N100)</f>
        <v>0</v>
      </c>
      <c r="P20" s="81">
        <f>SUM('1.1) Рег. уровень_безопис'!O99+'1.1) Рег. уровень_безопис'!O100)</f>
        <v>20</v>
      </c>
      <c r="Q20" s="81">
        <f>SUM('1.1) Рег. уровень_безопис'!P99+'1.1) Рег. уровень_безопис'!P100)</f>
        <v>0</v>
      </c>
    </row>
    <row r="21" ht="14.25" customHeight="1">
      <c r="A21" s="78">
        <v>2017.0</v>
      </c>
      <c r="B21" s="81">
        <f>SUM('1.1) Рег. уровень_безопис'!J73+'1.1) Рег. уровень_безопис'!J74)</f>
        <v>2</v>
      </c>
      <c r="C21" s="81">
        <f>SUM('1.1) Рег. уровень_безопис'!K73+'1.1) Рег. уровень_безопис'!K74)</f>
        <v>1</v>
      </c>
      <c r="D21" s="81">
        <f>SUM('1.1) Рег. уровень_безопис'!L73+'1.1) Рег. уровень_безопис'!L74)</f>
        <v>8</v>
      </c>
      <c r="E21" s="81">
        <f>SUM('1.1) Рег. уровень_безопис'!M73+'1.1) Рег. уровень_безопис'!M74)</f>
        <v>0</v>
      </c>
      <c r="F21" s="81">
        <f>SUM('1.1) Рег. уровень_безопис'!N73+'1.1) Рег. уровень_безопис'!N74)</f>
        <v>0</v>
      </c>
      <c r="G21" s="81">
        <f>SUM('1.1) Рег. уровень_безопис'!O73+'1.1) Рег. уровень_безопис'!O74)</f>
        <v>17</v>
      </c>
      <c r="H21" s="81">
        <f>SUM('1.1) Рег. уровень_безопис'!P73+'1.1) Рег. уровень_безопис'!P74)</f>
        <v>0</v>
      </c>
      <c r="J21" s="78">
        <v>2017.0</v>
      </c>
      <c r="K21" s="81">
        <f>SUM('1.1) Рег. уровень_безопис'!J101+'1.1) Рег. уровень_безопис'!J102)</f>
        <v>10</v>
      </c>
      <c r="L21" s="81">
        <f>SUM('1.1) Рег. уровень_безопис'!K101+'1.1) Рег. уровень_безопис'!K102)</f>
        <v>0</v>
      </c>
      <c r="M21" s="81">
        <f>SUM('1.1) Рег. уровень_безопис'!L101+'1.1) Рег. уровень_безопис'!L102)</f>
        <v>11</v>
      </c>
      <c r="N21" s="81">
        <f>SUM('1.1) Рег. уровень_безопис'!M101+'1.1) Рег. уровень_безопис'!M102)</f>
        <v>0</v>
      </c>
      <c r="O21" s="81">
        <f>SUM('1.1) Рег. уровень_безопис'!N101+'1.1) Рег. уровень_безопис'!N102)</f>
        <v>0</v>
      </c>
      <c r="P21" s="81">
        <f>SUM('1.1) Рег. уровень_безопис'!O101+'1.1) Рег. уровень_безопис'!O102)</f>
        <v>18</v>
      </c>
      <c r="Q21" s="81">
        <f>SUM('1.1) Рег. уровень_безопис'!P101+'1.1) Рег. уровень_безопис'!P102)</f>
        <v>0</v>
      </c>
    </row>
    <row r="22" ht="14.25" customHeight="1">
      <c r="A22" s="78">
        <v>2018.0</v>
      </c>
      <c r="B22" s="80">
        <f>SUM('1.1) Рег. уровень_безопис'!J75+'1.1) Рег. уровень_безопис'!J76)</f>
        <v>6</v>
      </c>
      <c r="C22" s="80">
        <f>SUM('1.1) Рег. уровень_безопис'!K75+'1.1) Рег. уровень_безопис'!K76)</f>
        <v>1</v>
      </c>
      <c r="D22" s="80">
        <f>SUM('1.1) Рег. уровень_безопис'!L75+'1.1) Рег. уровень_безопис'!L76)</f>
        <v>8</v>
      </c>
      <c r="E22" s="80">
        <f>SUM('1.1) Рег. уровень_безопис'!M75+'1.1) Рег. уровень_безопис'!M76)</f>
        <v>3</v>
      </c>
      <c r="F22" s="80">
        <f>SUM('1.1) Рег. уровень_безопис'!N75+'1.1) Рег. уровень_безопис'!N76)</f>
        <v>0</v>
      </c>
      <c r="G22" s="80">
        <f>SUM('1.1) Рег. уровень_безопис'!O75+'1.1) Рег. уровень_безопис'!O76)</f>
        <v>12</v>
      </c>
      <c r="H22" s="80">
        <f>SUM('1.1) Рег. уровень_безопис'!P75+'1.1) Рег. уровень_безопис'!P76)</f>
        <v>0</v>
      </c>
      <c r="J22" s="78">
        <v>2018.0</v>
      </c>
      <c r="K22" s="81">
        <f>SUM('1.1) Рег. уровень_безопис'!J103+'1.1) Рег. уровень_безопис'!J104)</f>
        <v>9</v>
      </c>
      <c r="L22" s="81">
        <f>SUM('1.1) Рег. уровень_безопис'!K103+'1.1) Рег. уровень_безопис'!K104)</f>
        <v>0</v>
      </c>
      <c r="M22" s="81">
        <f>SUM('1.1) Рег. уровень_безопис'!L103+'1.1) Рег. уровень_безопис'!L104)</f>
        <v>8</v>
      </c>
      <c r="N22" s="81">
        <f>SUM('1.1) Рег. уровень_безопис'!M103+'1.1) Рег. уровень_безопис'!M104)</f>
        <v>0</v>
      </c>
      <c r="O22" s="81">
        <f>SUM('1.1) Рег. уровень_безопис'!N103+'1.1) Рег. уровень_безопис'!N104)</f>
        <v>0</v>
      </c>
      <c r="P22" s="81">
        <f>SUM('1.1) Рег. уровень_безопис'!O103+'1.1) Рег. уровень_безопис'!O104)</f>
        <v>23</v>
      </c>
      <c r="Q22" s="81">
        <f>SUM('1.1) Рег. уровень_безопис'!P103+'1.1) Рег. уровень_безопис'!P104)</f>
        <v>2</v>
      </c>
    </row>
    <row r="23" ht="14.25" customHeight="1">
      <c r="A23" s="78">
        <v>2019.0</v>
      </c>
      <c r="B23" s="80">
        <f>SUM('1.1) Рег. уровень_безопис'!J77+'1.1) Рег. уровень_безопис'!J78+'1.1) Рег. уровень_безопис'!J79)</f>
        <v>9</v>
      </c>
      <c r="C23" s="80">
        <f>SUM('1.1) Рег. уровень_безопис'!K77+'1.1) Рег. уровень_безопис'!K78+'1.1) Рег. уровень_безопис'!K79)</f>
        <v>5</v>
      </c>
      <c r="D23" s="80">
        <f>SUM('1.1) Рег. уровень_безопис'!L77+'1.1) Рег. уровень_безопис'!L78+'1.1) Рег. уровень_безопис'!L79)</f>
        <v>10</v>
      </c>
      <c r="E23" s="80">
        <f>SUM('1.1) Рег. уровень_безопис'!M77+'1.1) Рег. уровень_безопис'!M78+'1.1) Рег. уровень_безопис'!M79)</f>
        <v>0</v>
      </c>
      <c r="F23" s="80">
        <f>SUM('1.1) Рег. уровень_безопис'!N77+'1.1) Рег. уровень_безопис'!N78+'1.1) Рег. уровень_безопис'!N79)</f>
        <v>0</v>
      </c>
      <c r="G23" s="80">
        <f>SUM('1.1) Рег. уровень_безопис'!O77+'1.1) Рег. уровень_безопис'!O78+'1.1) Рег. уровень_безопис'!O79)</f>
        <v>8</v>
      </c>
      <c r="H23" s="80">
        <f>SUM('1.1) Рег. уровень_безопис'!P77+'1.1) Рег. уровень_безопис'!P78+'1.1) Рег. уровень_безопис'!P79)</f>
        <v>1</v>
      </c>
      <c r="J23" s="78">
        <v>2019.0</v>
      </c>
      <c r="K23" s="81">
        <f>SUM('1.1) Рег. уровень_безопис'!J105+'1.1) Рег. уровень_безопис'!J106+'1.1) Рег. уровень_безопис'!J107)</f>
        <v>16</v>
      </c>
      <c r="L23" s="81">
        <f>SUM('1.1) Рег. уровень_безопис'!K105+'1.1) Рег. уровень_безопис'!K106+'1.1) Рег. уровень_безопис'!K107)</f>
        <v>2</v>
      </c>
      <c r="M23" s="81">
        <f>SUM('1.1) Рег. уровень_безопис'!L105+'1.1) Рег. уровень_безопис'!L106+'1.1) Рег. уровень_безопис'!L107)</f>
        <v>5</v>
      </c>
      <c r="N23" s="81">
        <f>SUM('1.1) Рег. уровень_безопис'!M105+'1.1) Рег. уровень_безопис'!M106+'1.1) Рег. уровень_безопис'!M107)</f>
        <v>1</v>
      </c>
      <c r="O23" s="81">
        <f>SUM('1.1) Рег. уровень_безопис'!N105+'1.1) Рег. уровень_безопис'!N106+'1.1) Рег. уровень_безопис'!N107)</f>
        <v>0</v>
      </c>
      <c r="P23" s="81">
        <f>SUM('1.1) Рег. уровень_безопис'!O105+'1.1) Рег. уровень_безопис'!O106+'1.1) Рег. уровень_безопис'!O107)</f>
        <v>22</v>
      </c>
      <c r="Q23" s="81">
        <f>SUM('1.1) Рег. уровень_безопис'!P105+'1.1) Рег. уровень_безопис'!P106+'1.1) Рег. уровень_безопис'!P107)</f>
        <v>2</v>
      </c>
    </row>
    <row r="24" ht="14.25" customHeight="1">
      <c r="A24" s="78">
        <v>2020.0</v>
      </c>
      <c r="B24" s="80">
        <f>SUM('1.1) Рег. уровень_безопис'!J80+'1.1) Рег. уровень_безопис'!J81)</f>
        <v>8</v>
      </c>
      <c r="C24" s="80">
        <f>SUM('1.1) Рег. уровень_безопис'!K80+'1.1) Рег. уровень_безопис'!K81)</f>
        <v>3</v>
      </c>
      <c r="D24" s="80">
        <f>SUM('1.1) Рег. уровень_безопис'!L80+'1.1) Рег. уровень_безопис'!L81)</f>
        <v>14</v>
      </c>
      <c r="E24" s="80">
        <f>SUM('1.1) Рег. уровень_безопис'!M80+'1.1) Рег. уровень_безопис'!M81)</f>
        <v>1</v>
      </c>
      <c r="F24" s="80">
        <f>SUM('1.1) Рег. уровень_безопис'!N80+'1.1) Рег. уровень_безопис'!N81)</f>
        <v>0</v>
      </c>
      <c r="G24" s="80">
        <f>SUM('1.1) Рег. уровень_безопис'!O80+'1.1) Рег. уровень_безопис'!O81)</f>
        <v>11</v>
      </c>
      <c r="H24" s="80">
        <f>SUM('1.1) Рег. уровень_безопис'!P80+'1.1) Рег. уровень_безопис'!P81)</f>
        <v>3</v>
      </c>
      <c r="J24" s="78">
        <v>2020.0</v>
      </c>
      <c r="K24" s="81">
        <f>SUM('1.1) Рег. уровень_безопис'!J108+'1.1) Рег. уровень_безопис'!J109+'1.1) Рег. уровень_безопис'!J110)</f>
        <v>9</v>
      </c>
      <c r="L24" s="81">
        <f>SUM('1.1) Рег. уровень_безопис'!K108+'1.1) Рег. уровень_безопис'!K109+'1.1) Рег. уровень_безопис'!K110)</f>
        <v>1</v>
      </c>
      <c r="M24" s="81">
        <f>SUM('1.1) Рег. уровень_безопис'!L108+'1.1) Рег. уровень_безопис'!L109+'1.1) Рег. уровень_безопис'!L110)</f>
        <v>11</v>
      </c>
      <c r="N24" s="81">
        <f>SUM('1.1) Рег. уровень_безопис'!M108+'1.1) Рег. уровень_безопис'!M109+'1.1) Рег. уровень_безопис'!M110)</f>
        <v>0</v>
      </c>
      <c r="O24" s="81">
        <f>SUM('1.1) Рег. уровень_безопис'!N108+'1.1) Рег. уровень_безопис'!N109+'1.1) Рег. уровень_безопис'!N110)</f>
        <v>0</v>
      </c>
      <c r="P24" s="81">
        <f>SUM('1.1) Рег. уровень_безопис'!O108+'1.1) Рег. уровень_безопис'!O109+'1.1) Рег. уровень_безопис'!O110)</f>
        <v>19</v>
      </c>
      <c r="Q24" s="81">
        <f>SUM('1.1) Рег. уровень_безопис'!P108+'1.1) Рег. уровень_безопис'!P109+'1.1) Рег. уровень_безопис'!P110)</f>
        <v>0</v>
      </c>
    </row>
    <row r="25" ht="14.25" customHeight="1">
      <c r="A25" s="78">
        <v>2021.0</v>
      </c>
      <c r="B25" s="78">
        <f>SUM('1.1) Рег. уровень_безопис'!J82+'1.1) Рег. уровень_безопис'!J83)</f>
        <v>7</v>
      </c>
      <c r="C25" s="78">
        <f>SUM('1.1) Рег. уровень_безопис'!K82+'1.1) Рег. уровень_безопис'!K83)</f>
        <v>2</v>
      </c>
      <c r="D25" s="78">
        <f>SUM('1.1) Рег. уровень_безопис'!L82+'1.1) Рег. уровень_безопис'!L83)</f>
        <v>10</v>
      </c>
      <c r="E25" s="78">
        <f>SUM('1.1) Рег. уровень_безопис'!M82+'1.1) Рег. уровень_безопис'!M83)</f>
        <v>0</v>
      </c>
      <c r="F25" s="78">
        <f>SUM('1.1) Рег. уровень_безопис'!N82+'1.1) Рег. уровень_безопис'!N83)</f>
        <v>0</v>
      </c>
      <c r="G25" s="78">
        <f>SUM('1.1) Рег. уровень_безопис'!O82+'1.1) Рег. уровень_безопис'!O83)</f>
        <v>6</v>
      </c>
      <c r="H25" s="78">
        <f>SUM('1.1) Рег. уровень_безопис'!P82+'1.1) Рег. уровень_безопис'!P83)</f>
        <v>0</v>
      </c>
      <c r="J25" s="78">
        <v>2021.0</v>
      </c>
      <c r="K25" s="81">
        <f>SUM('1.1) Рег. уровень_безопис'!J112+'1.1) Рег. уровень_безопис'!J111+'1.1) Рег. уровень_безопис'!J113)</f>
        <v>14</v>
      </c>
      <c r="L25" s="81">
        <f>SUM('1.1) Рег. уровень_безопис'!K112+'1.1) Рег. уровень_безопис'!K111+'1.1) Рег. уровень_безопис'!K113)</f>
        <v>1</v>
      </c>
      <c r="M25" s="81">
        <f>SUM('1.1) Рег. уровень_безопис'!L112+'1.1) Рег. уровень_безопис'!L111+'1.1) Рег. уровень_безопис'!L113)</f>
        <v>9</v>
      </c>
      <c r="N25" s="81">
        <f>SUM('1.1) Рег. уровень_безопис'!M112+'1.1) Рег. уровень_безопис'!M111+'1.1) Рег. уровень_безопис'!M113)</f>
        <v>0</v>
      </c>
      <c r="O25" s="81">
        <f>SUM('1.1) Рег. уровень_безопис'!N112+'1.1) Рег. уровень_безопис'!N111+'1.1) Рег. уровень_безопис'!N113)</f>
        <v>0</v>
      </c>
      <c r="P25" s="81">
        <f>SUM('1.1) Рег. уровень_безопис'!O112+'1.1) Рег. уровень_безопис'!O111+'1.1) Рег. уровень_безопис'!O113)</f>
        <v>23</v>
      </c>
      <c r="Q25" s="81">
        <f>SUM('1.1) Рег. уровень_безопис'!P112+'1.1) Рег. уровень_безопис'!P111+'1.1) Рег. уровень_безопис'!P113)</f>
        <v>0</v>
      </c>
    </row>
    <row r="26" ht="14.25" customHeight="1">
      <c r="A26" s="78">
        <v>2022.0</v>
      </c>
      <c r="B26" s="78">
        <f>SUM('1.1) Рег. уровень_безопис'!J84+'1.1) Рег. уровень_безопис'!J85)</f>
        <v>13</v>
      </c>
      <c r="C26" s="78">
        <f>SUM('1.1) Рег. уровень_безопис'!K84+'1.1) Рег. уровень_безопис'!K85)</f>
        <v>4</v>
      </c>
      <c r="D26" s="78">
        <f>SUM('1.1) Рег. уровень_безопис'!L84+'1.1) Рег. уровень_безопис'!L85)</f>
        <v>10</v>
      </c>
      <c r="E26" s="78">
        <f>SUM('1.1) Рег. уровень_безопис'!M84+'1.1) Рег. уровень_безопис'!M85)</f>
        <v>2</v>
      </c>
      <c r="F26" s="78">
        <f>SUM('1.1) Рег. уровень_безопис'!N84+'1.1) Рег. уровень_безопис'!N85)</f>
        <v>0</v>
      </c>
      <c r="G26" s="78">
        <f>SUM('1.1) Рег. уровень_безопис'!O84+'1.1) Рег. уровень_безопис'!O85)</f>
        <v>20</v>
      </c>
      <c r="H26" s="78">
        <f>SUM('1.1) Рег. уровень_безопис'!P84+'1.1) Рег. уровень_безопис'!P85)</f>
        <v>1</v>
      </c>
      <c r="J26" s="78">
        <v>2022.0</v>
      </c>
      <c r="K26" s="81">
        <f>SUM('1.1) Рег. уровень_безопис'!J115+'1.1) Рег. уровень_безопис'!J114)</f>
        <v>12</v>
      </c>
      <c r="L26" s="81">
        <f>SUM('1.1) Рег. уровень_безопис'!K115+'1.1) Рег. уровень_безопис'!K114)</f>
        <v>0</v>
      </c>
      <c r="M26" s="81">
        <f>SUM('1.1) Рег. уровень_безопис'!L115+'1.1) Рег. уровень_безопис'!L114)</f>
        <v>8</v>
      </c>
      <c r="N26" s="81">
        <f>SUM('1.1) Рег. уровень_безопис'!M115+'1.1) Рег. уровень_безопис'!M114)</f>
        <v>3</v>
      </c>
      <c r="O26" s="81">
        <f>SUM('1.1) Рег. уровень_безопис'!N115+'1.1) Рег. уровень_безопис'!N114)</f>
        <v>0</v>
      </c>
      <c r="P26" s="81">
        <f>SUM('1.1) Рег. уровень_безопис'!O115+'1.1) Рег. уровень_безопис'!O114)</f>
        <v>17</v>
      </c>
      <c r="Q26" s="81">
        <f>SUM('1.1) Рег. уровень_безопис'!P115+'1.1) Рег. уровень_безопис'!P114)</f>
        <v>0</v>
      </c>
    </row>
    <row r="27" ht="14.25" customHeight="1">
      <c r="A27" s="78">
        <v>2023.0</v>
      </c>
      <c r="B27" s="78">
        <f>SUM('1.1) Рег. уровень_безопис'!J86+'1.1) Рег. уровень_безопис'!J87)</f>
        <v>12</v>
      </c>
      <c r="C27" s="78">
        <f>SUM('1.1) Рег. уровень_безопис'!K86+'1.1) Рег. уровень_безопис'!K87)</f>
        <v>6</v>
      </c>
      <c r="D27" s="78">
        <f>SUM('1.1) Рег. уровень_безопис'!L86+'1.1) Рег. уровень_безопис'!L87)</f>
        <v>16</v>
      </c>
      <c r="E27" s="78">
        <f>SUM('1.1) Рег. уровень_безопис'!M86+'1.1) Рег. уровень_безопис'!M87)</f>
        <v>3</v>
      </c>
      <c r="F27" s="78">
        <f>SUM('1.1) Рег. уровень_безопис'!N86+'1.1) Рег. уровень_безопис'!N87)</f>
        <v>0</v>
      </c>
      <c r="G27" s="78">
        <f>SUM('1.1) Рег. уровень_безопис'!O86+'1.1) Рег. уровень_безопис'!O87)</f>
        <v>14</v>
      </c>
      <c r="H27" s="78">
        <f>SUM('1.1) Рег. уровень_безопис'!P86+'1.1) Рег. уровень_безопис'!P87)</f>
        <v>1</v>
      </c>
      <c r="J27" s="78">
        <v>2023.0</v>
      </c>
      <c r="K27" s="81">
        <f>SUM('1.1) Рег. уровень_безопис'!J117+'1.1) Рег. уровень_безопис'!J116)</f>
        <v>4</v>
      </c>
      <c r="L27" s="81">
        <f>SUM('1.1) Рег. уровень_безопис'!K117+'1.1) Рег. уровень_безопис'!K116)</f>
        <v>1</v>
      </c>
      <c r="M27" s="81">
        <f>SUM('1.1) Рег. уровень_безопис'!L117+'1.1) Рег. уровень_безопис'!L116)</f>
        <v>2</v>
      </c>
      <c r="N27" s="81">
        <f>SUM('1.1) Рег. уровень_безопис'!M117+'1.1) Рег. уровень_безопис'!M116)</f>
        <v>2</v>
      </c>
      <c r="O27" s="81">
        <f>SUM('1.1) Рег. уровень_безопис'!N117+'1.1) Рег. уровень_безопис'!N116)</f>
        <v>0</v>
      </c>
      <c r="P27" s="81">
        <f>SUM('1.1) Рег. уровень_безопис'!O117+'1.1) Рег. уровень_безопис'!O116)</f>
        <v>13</v>
      </c>
      <c r="Q27" s="81">
        <f>SUM('1.1) Рег. уровень_безопис'!P117+'1.1) Рег. уровень_безопис'!P116)</f>
        <v>0</v>
      </c>
    </row>
    <row r="28" ht="14.25" customHeight="1">
      <c r="A28" s="78">
        <v>2024.0</v>
      </c>
      <c r="B28" s="78">
        <f>SUM('1.1) Рег. уровень_безопис'!J88)</f>
        <v>19</v>
      </c>
      <c r="C28" s="78">
        <f>SUM('1.1) Рег. уровень_безопис'!K88)</f>
        <v>1</v>
      </c>
      <c r="D28" s="78">
        <f>SUM('1.1) Рег. уровень_безопис'!L88)</f>
        <v>7</v>
      </c>
      <c r="E28" s="78">
        <f>SUM('1.1) Рег. уровень_безопис'!M88)</f>
        <v>1</v>
      </c>
      <c r="F28" s="78">
        <f>SUM('1.1) Рег. уровень_безопис'!N88)</f>
        <v>0</v>
      </c>
      <c r="G28" s="78">
        <f>SUM('1.1) Рег. уровень_безопис'!O88)</f>
        <v>11</v>
      </c>
      <c r="H28" s="78">
        <f>SUM('1.1) Рег. уровень_безопис'!P88)</f>
        <v>0</v>
      </c>
      <c r="J28" s="78">
        <v>2024.0</v>
      </c>
      <c r="K28" s="81">
        <f>SUM('1.1) Рег. уровень_безопис'!J119+'1.1) Рег. уровень_безопис'!J118)</f>
        <v>4</v>
      </c>
      <c r="L28" s="81">
        <f>SUM('1.1) Рег. уровень_безопис'!K119+'1.1) Рег. уровень_безопис'!K118)</f>
        <v>0</v>
      </c>
      <c r="M28" s="81">
        <f>SUM('1.1) Рег. уровень_безопис'!L119+'1.1) Рег. уровень_безопис'!L118)</f>
        <v>3</v>
      </c>
      <c r="N28" s="81">
        <f>SUM('1.1) Рег. уровень_безопис'!M119+'1.1) Рег. уровень_безопис'!M118)</f>
        <v>1</v>
      </c>
      <c r="O28" s="81">
        <f>SUM('1.1) Рег. уровень_безопис'!N119+'1.1) Рег. уровень_безопис'!N118)</f>
        <v>0</v>
      </c>
      <c r="P28" s="81">
        <f>SUM('1.1) Рег. уровень_безопис'!O119+'1.1) Рег. уровень_безопис'!O118)</f>
        <v>12</v>
      </c>
      <c r="Q28" s="81">
        <f>SUM('1.1) Рег. уровень_безопис'!P119+'1.1) Рег. уровень_безопис'!P118)</f>
        <v>0</v>
      </c>
    </row>
    <row r="29" ht="14.25" customHeight="1">
      <c r="A29" s="82">
        <v>2025.0</v>
      </c>
      <c r="B29" s="82">
        <f>SUM('1.1) Рег. уровень_безопис'!J91)</f>
        <v>5</v>
      </c>
      <c r="C29" s="82">
        <f>SUM('1.1) Рег. уровень_безопис'!K91)</f>
        <v>3</v>
      </c>
      <c r="D29" s="82">
        <f>SUM('1.1) Рег. уровень_безопис'!L91)</f>
        <v>6</v>
      </c>
      <c r="E29" s="82">
        <f>SUM('1.1) Рег. уровень_безопис'!M91)</f>
        <v>0</v>
      </c>
      <c r="F29" s="82">
        <f>SUM('1.1) Рег. уровень_безопис'!N91)</f>
        <v>0</v>
      </c>
      <c r="G29" s="82">
        <f>SUM('1.1) Рег. уровень_безопис'!O91)</f>
        <v>7</v>
      </c>
      <c r="H29" s="82">
        <f>SUM('1.1) Рег. уровень_безопис'!P91)</f>
        <v>2</v>
      </c>
      <c r="J29" s="82">
        <v>2025.0</v>
      </c>
      <c r="K29" s="87">
        <f>SUM('1.1) Рег. уровень_безопис'!J121+'1.1) Рег. уровень_безопис'!J120)</f>
        <v>4</v>
      </c>
      <c r="L29" s="87">
        <f>SUM('1.1) Рег. уровень_безопис'!K121+'1.1) Рег. уровень_безопис'!K120)</f>
        <v>1</v>
      </c>
      <c r="M29" s="87">
        <f>SUM('1.1) Рег. уровень_безопис'!L121+'1.1) Рег. уровень_безопис'!L120)</f>
        <v>7</v>
      </c>
      <c r="N29" s="87">
        <f>SUM('1.1) Рег. уровень_безопис'!M121+'1.1) Рег. уровень_безопис'!M120)</f>
        <v>1</v>
      </c>
      <c r="O29" s="87">
        <f>SUM('1.1) Рег. уровень_безопис'!N121+'1.1) Рег. уровень_безопис'!N120)</f>
        <v>0</v>
      </c>
      <c r="P29" s="87">
        <f>SUM('1.1) Рег. уровень_безопис'!O121+'1.1) Рег. уровень_безопис'!O120)</f>
        <v>6</v>
      </c>
      <c r="Q29" s="87">
        <f>SUM('1.1) Рег. уровень_безопис'!P121+'1.1) Рег. уровень_безопис'!P120)</f>
        <v>0</v>
      </c>
    </row>
    <row r="30" ht="14.25" customHeight="1">
      <c r="A30" s="83" t="s">
        <v>354</v>
      </c>
      <c r="B30" s="84">
        <f t="shared" ref="B30:H30" si="8">SUM(B18:B29)</f>
        <v>97</v>
      </c>
      <c r="C30" s="84">
        <f t="shared" si="8"/>
        <v>26</v>
      </c>
      <c r="D30" s="84">
        <f t="shared" si="8"/>
        <v>97</v>
      </c>
      <c r="E30" s="84">
        <f t="shared" si="8"/>
        <v>10</v>
      </c>
      <c r="F30" s="84">
        <f t="shared" si="8"/>
        <v>0</v>
      </c>
      <c r="G30" s="84">
        <f t="shared" si="8"/>
        <v>169</v>
      </c>
      <c r="H30" s="85">
        <f t="shared" si="8"/>
        <v>9</v>
      </c>
      <c r="J30" s="83" t="s">
        <v>354</v>
      </c>
      <c r="K30" s="84">
        <f t="shared" ref="K30:Q30" si="9">SUM(K18:K29)</f>
        <v>98</v>
      </c>
      <c r="L30" s="84">
        <f t="shared" si="9"/>
        <v>8</v>
      </c>
      <c r="M30" s="84">
        <f t="shared" si="9"/>
        <v>81</v>
      </c>
      <c r="N30" s="84">
        <f t="shared" si="9"/>
        <v>10</v>
      </c>
      <c r="O30" s="84">
        <f t="shared" si="9"/>
        <v>1</v>
      </c>
      <c r="P30" s="84">
        <f t="shared" si="9"/>
        <v>183</v>
      </c>
      <c r="Q30" s="85">
        <f t="shared" si="9"/>
        <v>4</v>
      </c>
    </row>
    <row r="31" ht="13.5" customHeight="1"/>
    <row r="32" ht="14.25" customHeight="1">
      <c r="A32" s="78" t="s">
        <v>353</v>
      </c>
      <c r="B32" s="79" t="s">
        <v>352</v>
      </c>
      <c r="C32" s="79" t="s">
        <v>10</v>
      </c>
      <c r="D32" s="79" t="s">
        <v>11</v>
      </c>
      <c r="E32" s="79" t="s">
        <v>12</v>
      </c>
      <c r="F32" s="79" t="s">
        <v>13</v>
      </c>
      <c r="G32" s="79" t="s">
        <v>14</v>
      </c>
      <c r="H32" s="79" t="s">
        <v>15</v>
      </c>
      <c r="J32" s="78"/>
      <c r="K32" s="79" t="s">
        <v>352</v>
      </c>
      <c r="L32" s="79" t="s">
        <v>10</v>
      </c>
      <c r="M32" s="79" t="s">
        <v>11</v>
      </c>
      <c r="N32" s="79" t="s">
        <v>12</v>
      </c>
      <c r="O32" s="79" t="s">
        <v>13</v>
      </c>
      <c r="P32" s="79" t="s">
        <v>14</v>
      </c>
      <c r="Q32" s="79" t="s">
        <v>15</v>
      </c>
    </row>
    <row r="33" ht="14.25" customHeight="1">
      <c r="A33" s="78">
        <v>2014.0</v>
      </c>
      <c r="B33" s="80">
        <f>SUM('1.1) Рег. уровень_безопис'!J123+'1.1) Рег. уровень_безопис'!J124+'1.1) Рег. уровень_безопис'!J125)</f>
        <v>9</v>
      </c>
      <c r="C33" s="80">
        <f>SUM('1.1) Рег. уровень_безопис'!K123+'1.1) Рег. уровень_безопис'!K124+'1.1) Рег. уровень_безопис'!K125)</f>
        <v>0</v>
      </c>
      <c r="D33" s="80">
        <f>SUM('1.1) Рег. уровень_безопис'!L123+'1.1) Рег. уровень_безопис'!L124+'1.1) Рег. уровень_безопис'!L125)</f>
        <v>2</v>
      </c>
      <c r="E33" s="80">
        <f>SUM('1.1) Рег. уровень_безопис'!M123+'1.1) Рег. уровень_безопис'!M124+'1.1) Рег. уровень_безопис'!M125)</f>
        <v>1</v>
      </c>
      <c r="F33" s="80">
        <f>SUM('1.1) Рег. уровень_безопис'!N123+'1.1) Рег. уровень_безопис'!N124+'1.1) Рег. уровень_безопис'!N125)</f>
        <v>0</v>
      </c>
      <c r="G33" s="80">
        <f>SUM('1.1) Рег. уровень_безопис'!O123+'1.1) Рег. уровень_безопис'!O124+'1.1) Рег. уровень_безопис'!O125)</f>
        <v>5</v>
      </c>
      <c r="H33" s="80">
        <f>SUM('1.1) Рег. уровень_безопис'!P123+'1.1) Рег. уровень_безопис'!P124+'1.1) Рег. уровень_безопис'!P125)</f>
        <v>0</v>
      </c>
      <c r="J33" s="78" t="s">
        <v>85</v>
      </c>
      <c r="K33" s="78">
        <f>'1.1) Рег. уровень_безопис'!J33</f>
        <v>412</v>
      </c>
      <c r="L33" s="78">
        <f>'1.1) Рег. уровень_безопис'!K33</f>
        <v>7</v>
      </c>
      <c r="M33" s="78">
        <f>'1.1) Рег. уровень_безопис'!L33</f>
        <v>203</v>
      </c>
      <c r="N33" s="78">
        <f>'1.1) Рег. уровень_безопис'!M33</f>
        <v>13</v>
      </c>
      <c r="O33" s="78">
        <f>'1.1) Рег. уровень_безопис'!N33</f>
        <v>0</v>
      </c>
      <c r="P33" s="78">
        <f>'1.1) Рег. уровень_безопис'!O33</f>
        <v>340</v>
      </c>
      <c r="Q33" s="78">
        <f>'1.1) Рег. уровень_безопис'!P33</f>
        <v>9</v>
      </c>
    </row>
    <row r="34" ht="14.25" customHeight="1">
      <c r="A34" s="78">
        <v>2015.0</v>
      </c>
      <c r="B34" s="80">
        <f>SUM('1.1) Рег. уровень_безопис'!J126+'1.1) Рег. уровень_безопис'!J127+'1.1) Рег. уровень_безопис'!J128)</f>
        <v>8</v>
      </c>
      <c r="C34" s="80">
        <f>SUM('1.1) Рег. уровень_безопис'!K126+'1.1) Рег. уровень_безопис'!K127+'1.1) Рег. уровень_безопис'!K128)</f>
        <v>0</v>
      </c>
      <c r="D34" s="80">
        <f>SUM('1.1) Рег. уровень_безопис'!L126+'1.1) Рег. уровень_безопис'!L127+'1.1) Рег. уровень_безопис'!L128)</f>
        <v>3</v>
      </c>
      <c r="E34" s="80">
        <f>SUM('1.1) Рег. уровень_безопис'!M126+'1.1) Рег. уровень_безопис'!M127+'1.1) Рег. уровень_безопис'!M128)</f>
        <v>0</v>
      </c>
      <c r="F34" s="80">
        <f>SUM('1.1) Рег. уровень_безопис'!N126+'1.1) Рег. уровень_безопис'!N127+'1.1) Рег. уровень_безопис'!N128)</f>
        <v>0</v>
      </c>
      <c r="G34" s="80">
        <f>SUM('1.1) Рег. уровень_безопис'!O126+'1.1) Рег. уровень_безопис'!O127+'1.1) Рег. уровень_безопис'!O128)</f>
        <v>9</v>
      </c>
      <c r="H34" s="80">
        <f>SUM('1.1) Рег. уровень_безопис'!P126+'1.1) Рег. уровень_безопис'!P127+'1.1) Рег. уровень_безопис'!P128)</f>
        <v>1</v>
      </c>
      <c r="J34" s="78" t="s">
        <v>130</v>
      </c>
      <c r="K34" s="78">
        <f>'1.1) Рег. уровень_безопис'!J64</f>
        <v>143</v>
      </c>
      <c r="L34" s="78">
        <f>'1.1) Рег. уровень_безопис'!K64</f>
        <v>12</v>
      </c>
      <c r="M34" s="78">
        <f>'1.1) Рег. уровень_безопис'!L64</f>
        <v>93</v>
      </c>
      <c r="N34" s="78">
        <f>'1.1) Рег. уровень_безопис'!M64</f>
        <v>18</v>
      </c>
      <c r="O34" s="78">
        <f>'1.1) Рег. уровень_безопис'!N64</f>
        <v>0</v>
      </c>
      <c r="P34" s="78">
        <f>'1.1) Рег. уровень_безопис'!O64</f>
        <v>262</v>
      </c>
      <c r="Q34" s="78">
        <f>'1.1) Рег. уровень_безопис'!P64</f>
        <v>5</v>
      </c>
    </row>
    <row r="35" ht="14.25" customHeight="1">
      <c r="A35" s="78">
        <v>2016.0</v>
      </c>
      <c r="B35" s="81">
        <f>SUM('1.1) Рег. уровень_безопис'!J130+'1.1) Рег. уровень_безопис'!J129)</f>
        <v>8</v>
      </c>
      <c r="C35" s="81">
        <f>SUM('1.1) Рег. уровень_безопис'!K130+'1.1) Рег. уровень_безопис'!K129)</f>
        <v>1</v>
      </c>
      <c r="D35" s="81">
        <f>SUM('1.1) Рег. уровень_безопис'!L130+'1.1) Рег. уровень_безопис'!L129)</f>
        <v>2</v>
      </c>
      <c r="E35" s="81">
        <f>SUM('1.1) Рег. уровень_безопис'!M130+'1.1) Рег. уровень_безопис'!M129)</f>
        <v>0</v>
      </c>
      <c r="F35" s="81">
        <f>SUM('1.1) Рег. уровень_безопис'!N130+'1.1) Рег. уровень_безопис'!N129)</f>
        <v>0</v>
      </c>
      <c r="G35" s="81">
        <f>SUM('1.1) Рег. уровень_безопис'!O130+'1.1) Рег. уровень_безопис'!O129)</f>
        <v>5</v>
      </c>
      <c r="H35" s="81">
        <f>SUM('1.1) Рег. уровень_безопис'!P130+'1.1) Рег. уровень_безопис'!P129)</f>
        <v>0</v>
      </c>
      <c r="J35" s="78" t="s">
        <v>192</v>
      </c>
      <c r="K35" s="78">
        <f>'1.1) Рег. уровень_безопис'!J92</f>
        <v>97</v>
      </c>
      <c r="L35" s="78">
        <f>'1.1) Рег. уровень_безопис'!K92</f>
        <v>26</v>
      </c>
      <c r="M35" s="88">
        <v>97.0</v>
      </c>
      <c r="N35" s="78">
        <f>'1.1) Рег. уровень_безопис'!M92</f>
        <v>10</v>
      </c>
      <c r="O35" s="78">
        <f>'1.1) Рег. уровень_безопис'!N92</f>
        <v>0</v>
      </c>
      <c r="P35" s="78">
        <f>'1.1) Рег. уровень_безопис'!O92</f>
        <v>169</v>
      </c>
      <c r="Q35" s="78">
        <f>'1.1) Рег. уровень_безопис'!P92</f>
        <v>9</v>
      </c>
    </row>
    <row r="36" ht="14.25" customHeight="1">
      <c r="A36" s="78">
        <v>2017.0</v>
      </c>
      <c r="B36" s="81">
        <f>SUM('1.1) Рег. уровень_безопис'!J131+'1.1) Рег. уровень_безопис'!J132)</f>
        <v>11</v>
      </c>
      <c r="C36" s="81">
        <f>SUM('1.1) Рег. уровень_безопис'!K131+'1.1) Рег. уровень_безопис'!K132)</f>
        <v>0</v>
      </c>
      <c r="D36" s="81">
        <f>SUM('1.1) Рег. уровень_безопис'!L131+'1.1) Рег. уровень_безопис'!L132)</f>
        <v>9</v>
      </c>
      <c r="E36" s="81">
        <f>SUM('1.1) Рег. уровень_безопис'!M131+'1.1) Рег. уровень_безопис'!M132)</f>
        <v>0</v>
      </c>
      <c r="F36" s="81">
        <f>SUM('1.1) Рег. уровень_безопис'!N131+'1.1) Рег. уровень_безопис'!N132)</f>
        <v>0</v>
      </c>
      <c r="G36" s="81">
        <f>SUM('1.1) Рег. уровень_безопис'!O131+'1.1) Рег. уровень_безопис'!O132)</f>
        <v>14</v>
      </c>
      <c r="H36" s="81">
        <f>SUM('1.1) Рег. уровень_безопис'!P131+'1.1) Рег. уровень_безопис'!P132)</f>
        <v>0</v>
      </c>
      <c r="J36" s="78" t="s">
        <v>244</v>
      </c>
      <c r="K36" s="78">
        <f>'1.1) Рег. уровень_безопис'!J122</f>
        <v>98</v>
      </c>
      <c r="L36" s="78">
        <f>'1.1) Рег. уровень_безопис'!K122</f>
        <v>8</v>
      </c>
      <c r="M36" s="78">
        <f>'1.1) Рег. уровень_безопис'!L122</f>
        <v>81</v>
      </c>
      <c r="N36" s="78">
        <f>'1.1) Рег. уровень_безопис'!M122</f>
        <v>10</v>
      </c>
      <c r="O36" s="78">
        <f>'1.1) Рег. уровень_безопис'!N122</f>
        <v>1</v>
      </c>
      <c r="P36" s="78">
        <f>'1.1) Рег. уровень_безопис'!O122</f>
        <v>183</v>
      </c>
      <c r="Q36" s="78">
        <f>'1.1) Рег. уровень_безопис'!P122</f>
        <v>4</v>
      </c>
    </row>
    <row r="37" ht="14.25" customHeight="1">
      <c r="A37" s="78">
        <v>2018.0</v>
      </c>
      <c r="B37" s="80">
        <f>SUM('1.1) Рег. уровень_безопис'!J133+'1.1) Рег. уровень_безопис'!J134)</f>
        <v>10</v>
      </c>
      <c r="C37" s="80">
        <f>SUM('1.1) Рег. уровень_безопис'!K133+'1.1) Рег. уровень_безопис'!K134)</f>
        <v>0</v>
      </c>
      <c r="D37" s="80">
        <f>SUM('1.1) Рег. уровень_безопис'!L133+'1.1) Рег. уровень_безопис'!L134)</f>
        <v>8</v>
      </c>
      <c r="E37" s="80">
        <f>SUM('1.1) Рег. уровень_безопис'!M133+'1.1) Рег. уровень_безопис'!M134)</f>
        <v>0</v>
      </c>
      <c r="F37" s="80">
        <f>SUM('1.1) Рег. уровень_безопис'!N133+'1.1) Рег. уровень_безопис'!N134)</f>
        <v>0</v>
      </c>
      <c r="G37" s="80">
        <f>SUM('1.1) Рег. уровень_безопис'!O133+'1.1) Рег. уровень_безопис'!O134)</f>
        <v>16</v>
      </c>
      <c r="H37" s="80">
        <f>SUM('1.1) Рег. уровень_безопис'!P133+'1.1) Рег. уровень_безопис'!P134)</f>
        <v>0</v>
      </c>
      <c r="J37" s="78" t="s">
        <v>353</v>
      </c>
      <c r="K37" s="78">
        <f>'1.1) Рег. уровень_безопис'!J152</f>
        <v>132</v>
      </c>
      <c r="L37" s="78">
        <f>'1.1) Рег. уровень_безопис'!K152</f>
        <v>4</v>
      </c>
      <c r="M37" s="78">
        <f>'1.1) Рег. уровень_безопис'!L152</f>
        <v>117</v>
      </c>
      <c r="N37" s="78">
        <f>'1.1) Рег. уровень_безопис'!M152</f>
        <v>8</v>
      </c>
      <c r="O37" s="78">
        <f>'1.1) Рег. уровень_безопис'!N152</f>
        <v>0</v>
      </c>
      <c r="P37" s="78">
        <f>'1.1) Рег. уровень_безопис'!O152</f>
        <v>203</v>
      </c>
      <c r="Q37" s="78">
        <f>'1.1) Рег. уровень_безопис'!P152</f>
        <v>9</v>
      </c>
    </row>
    <row r="38" ht="14.25" customHeight="1">
      <c r="A38" s="78">
        <v>2019.0</v>
      </c>
      <c r="B38" s="80">
        <f>SUM('1.1) Рег. уровень_безопис'!J135+'1.1) Рег. уровень_безопис'!J136+'1.1) Рег. уровень_безопис'!J137)</f>
        <v>11</v>
      </c>
      <c r="C38" s="80">
        <f>SUM('1.1) Рег. уровень_безопис'!K135+'1.1) Рег. уровень_безопис'!K136+'1.1) Рег. уровень_безопис'!K137)</f>
        <v>0</v>
      </c>
      <c r="D38" s="80">
        <f>SUM('1.1) Рег. уровень_безопис'!L135+'1.1) Рег. уровень_безопис'!L136+'1.1) Рег. уровень_безопис'!L137)</f>
        <v>5</v>
      </c>
      <c r="E38" s="80">
        <f>SUM('1.1) Рег. уровень_безопис'!M135+'1.1) Рег. уровень_безопис'!M136+'1.1) Рег. уровень_безопис'!M137)</f>
        <v>0</v>
      </c>
      <c r="F38" s="80">
        <f>SUM('1.1) Рег. уровень_безопис'!N135+'1.1) Рег. уровень_безопис'!N136+'1.1) Рег. уровень_безопис'!N137)</f>
        <v>0</v>
      </c>
      <c r="G38" s="80">
        <f>SUM('1.1) Рег. уровень_безопис'!O135+'1.1) Рег. уровень_безопис'!O136+'1.1) Рег. уровень_безопис'!O137)</f>
        <v>13</v>
      </c>
      <c r="H38" s="80">
        <f>SUM('1.1) Рег. уровень_безопис'!P135+'1.1) Рег. уровень_безопис'!P136+'1.1) Рег. уровень_безопис'!P137)</f>
        <v>1</v>
      </c>
    </row>
    <row r="39" ht="14.25" customHeight="1">
      <c r="A39" s="78">
        <v>2020.0</v>
      </c>
      <c r="B39" s="80">
        <f>SUM('1.1) Рег. уровень_безопис'!J138+'1.1) Рег. уровень_безопис'!J139+'1.1) Рег. уровень_безопис'!J140)</f>
        <v>12</v>
      </c>
      <c r="C39" s="80">
        <f>SUM('1.1) Рег. уровень_безопис'!K138+'1.1) Рег. уровень_безопис'!K139+'1.1) Рег. уровень_безопис'!K140)</f>
        <v>0</v>
      </c>
      <c r="D39" s="80">
        <f>SUM('1.1) Рег. уровень_безопис'!L138+'1.1) Рег. уровень_безопис'!L139+'1.1) Рег. уровень_безопис'!L140)</f>
        <v>15</v>
      </c>
      <c r="E39" s="80">
        <f>SUM('1.1) Рег. уровень_безопис'!M138+'1.1) Рег. уровень_безопис'!M139+'1.1) Рег. уровень_безопис'!M140)</f>
        <v>0</v>
      </c>
      <c r="F39" s="80">
        <f>SUM('1.1) Рег. уровень_безопис'!N138+'1.1) Рег. уровень_безопис'!N139+'1.1) Рег. уровень_безопис'!N140)</f>
        <v>0</v>
      </c>
      <c r="G39" s="80">
        <f>SUM('1.1) Рег. уровень_безопис'!O138+'1.1) Рег. уровень_безопис'!O139+'1.1) Рег. уровень_безопис'!O140)</f>
        <v>26</v>
      </c>
      <c r="H39" s="80">
        <f>SUM('1.1) Рег. уровень_безопис'!P138+'1.1) Рег. уровень_безопис'!P139+'1.1) Рег. уровень_безопис'!P140)</f>
        <v>0</v>
      </c>
    </row>
    <row r="40" ht="14.25" customHeight="1">
      <c r="A40" s="78">
        <v>2021.0</v>
      </c>
      <c r="B40" s="78">
        <f>SUM('1.1) Рег. уровень_безопис'!J141+'1.1) Рег. уровень_безопис'!J142+'1.1) Рег. уровень_безопис'!J143)</f>
        <v>13</v>
      </c>
      <c r="C40" s="78">
        <f>SUM('1.1) Рег. уровень_безопис'!K141+'1.1) Рег. уровень_безопис'!K142+'1.1) Рег. уровень_безопис'!K143)</f>
        <v>1</v>
      </c>
      <c r="D40" s="78">
        <f>SUM('1.1) Рег. уровень_безопис'!L141+'1.1) Рег. уровень_безопис'!L142+'1.1) Рег. уровень_безопис'!L143)</f>
        <v>12</v>
      </c>
      <c r="E40" s="78">
        <f>SUM('1.1) Рег. уровень_безопис'!M141+'1.1) Рег. уровень_безопис'!M142+'1.1) Рег. уровень_безопис'!M143)</f>
        <v>5</v>
      </c>
      <c r="F40" s="78">
        <f>SUM('1.1) Рег. уровень_безопис'!N141+'1.1) Рег. уровень_безопис'!N142+'1.1) Рег. уровень_безопис'!N143)</f>
        <v>0</v>
      </c>
      <c r="G40" s="78">
        <f>SUM('1.1) Рег. уровень_безопис'!O141+'1.1) Рег. уровень_безопис'!O142+'1.1) Рег. уровень_безопис'!O143)</f>
        <v>30</v>
      </c>
      <c r="H40" s="78">
        <f>SUM('1.1) Рег. уровень_безопис'!P141+'1.1) Рег. уровень_безопис'!P142+'1.1) Рег. уровень_безопис'!P143)</f>
        <v>1</v>
      </c>
    </row>
    <row r="41" ht="14.25" customHeight="1">
      <c r="A41" s="78">
        <v>2022.0</v>
      </c>
      <c r="B41" s="78">
        <f>SUM('1.1) Рег. уровень_безопис'!J144+'1.1) Рег. уровень_безопис'!J145)</f>
        <v>28</v>
      </c>
      <c r="C41" s="78">
        <f>SUM('1.1) Рег. уровень_безопис'!K144+'1.1) Рег. уровень_безопис'!K145)</f>
        <v>0</v>
      </c>
      <c r="D41" s="78">
        <f>SUM('1.1) Рег. уровень_безопис'!L144+'1.1) Рег. уровень_безопис'!L145)</f>
        <v>22</v>
      </c>
      <c r="E41" s="78">
        <f>SUM('1.1) Рег. уровень_безопис'!M144+'1.1) Рег. уровень_безопис'!M145)</f>
        <v>1</v>
      </c>
      <c r="F41" s="78">
        <f>SUM('1.1) Рег. уровень_безопис'!N144+'1.1) Рег. уровень_безопис'!N145)</f>
        <v>0</v>
      </c>
      <c r="G41" s="78">
        <f>SUM('1.1) Рег. уровень_безопис'!O144+'1.1) Рег. уровень_безопис'!O145)</f>
        <v>30</v>
      </c>
      <c r="H41" s="78">
        <f>SUM('1.1) Рег. уровень_безопис'!P144+'1.1) Рег. уровень_безопис'!P145)</f>
        <v>2</v>
      </c>
    </row>
    <row r="42" ht="14.25" customHeight="1">
      <c r="A42" s="78">
        <v>2023.0</v>
      </c>
      <c r="B42" s="78">
        <f>SUM('1.1) Рег. уровень_безопис'!J146+'1.1) Рег. уровень_безопис'!J147)</f>
        <v>13</v>
      </c>
      <c r="C42" s="78">
        <f>SUM('1.1) Рег. уровень_безопис'!K146+'1.1) Рег. уровень_безопис'!K147)</f>
        <v>2</v>
      </c>
      <c r="D42" s="78">
        <f>SUM('1.1) Рег. уровень_безопис'!L146+'1.1) Рег. уровень_безопис'!L147)</f>
        <v>9</v>
      </c>
      <c r="E42" s="78">
        <f>SUM('1.1) Рег. уровень_безопис'!M146+'1.1) Рег. уровень_безопис'!M147)</f>
        <v>0</v>
      </c>
      <c r="F42" s="78">
        <f>SUM('1.1) Рег. уровень_безопис'!N146+'1.1) Рег. уровень_безопис'!N147)</f>
        <v>0</v>
      </c>
      <c r="G42" s="78">
        <f>SUM('1.1) Рег. уровень_безопис'!O146+'1.1) Рег. уровень_безопис'!O147)</f>
        <v>36</v>
      </c>
      <c r="H42" s="78">
        <f>SUM('1.1) Рег. уровень_безопис'!P146+'1.1) Рег. уровень_безопис'!P147)</f>
        <v>3</v>
      </c>
    </row>
    <row r="43" ht="14.25" customHeight="1">
      <c r="A43" s="78">
        <v>2024.0</v>
      </c>
      <c r="B43" s="78">
        <f>SUM('1.1) Рег. уровень_безопис'!J148+'1.1) Рег. уровень_безопис'!J149)</f>
        <v>9</v>
      </c>
      <c r="C43" s="78">
        <f>SUM('1.1) Рег. уровень_безопис'!K148+'1.1) Рег. уровень_безопис'!K149)</f>
        <v>0</v>
      </c>
      <c r="D43" s="78">
        <f>SUM('1.1) Рег. уровень_безопис'!L148+'1.1) Рег. уровень_безопис'!L149)</f>
        <v>24</v>
      </c>
      <c r="E43" s="78">
        <f>SUM('1.1) Рег. уровень_безопис'!M148+'1.1) Рег. уровень_безопис'!M149)</f>
        <v>1</v>
      </c>
      <c r="F43" s="78">
        <f>SUM('1.1) Рег. уровень_безопис'!N148+'1.1) Рег. уровень_безопис'!N149)</f>
        <v>0</v>
      </c>
      <c r="G43" s="78">
        <f>SUM('1.1) Рег. уровень_безопис'!O148+'1.1) Рег. уровень_безопис'!O149)</f>
        <v>16</v>
      </c>
      <c r="H43" s="78">
        <f>SUM('1.1) Рег. уровень_безопис'!P148+'1.1) Рег. уровень_безопис'!P149)</f>
        <v>0</v>
      </c>
    </row>
    <row r="44" ht="14.25" customHeight="1">
      <c r="A44" s="82">
        <v>2025.0</v>
      </c>
      <c r="B44" s="82">
        <f>SUM('1.1) Рег. уровень_безопис'!J150+'1.1) Рег. уровень_безопис'!J151)</f>
        <v>0</v>
      </c>
      <c r="C44" s="82">
        <f>SUM('1.1) Рег. уровень_безопис'!K150+'1.1) Рег. уровень_безопис'!K151)</f>
        <v>0</v>
      </c>
      <c r="D44" s="82">
        <f>SUM('1.1) Рег. уровень_безопис'!L150+'1.1) Рег. уровень_безопис'!L151)</f>
        <v>6</v>
      </c>
      <c r="E44" s="82">
        <f>SUM('1.1) Рег. уровень_безопис'!M150+'1.1) Рег. уровень_безопис'!M151)</f>
        <v>0</v>
      </c>
      <c r="F44" s="82">
        <f>SUM('1.1) Рег. уровень_безопис'!N150+'1.1) Рег. уровень_безопис'!N151)</f>
        <v>0</v>
      </c>
      <c r="G44" s="82">
        <f>SUM('1.1) Рег. уровень_безопис'!O150+'1.1) Рег. уровень_безопис'!O151)</f>
        <v>3</v>
      </c>
      <c r="H44" s="82">
        <f>SUM('1.1) Рег. уровень_безопис'!P150+'1.1) Рег. уровень_безопис'!P151)</f>
        <v>1</v>
      </c>
    </row>
    <row r="45" ht="14.25" customHeight="1">
      <c r="A45" s="83" t="s">
        <v>354</v>
      </c>
      <c r="B45" s="84">
        <f t="shared" ref="B45:H45" si="10">SUM(B33:B44)</f>
        <v>132</v>
      </c>
      <c r="C45" s="84">
        <f t="shared" si="10"/>
        <v>4</v>
      </c>
      <c r="D45" s="84">
        <f t="shared" si="10"/>
        <v>117</v>
      </c>
      <c r="E45" s="84">
        <f t="shared" si="10"/>
        <v>8</v>
      </c>
      <c r="F45" s="84">
        <f t="shared" si="10"/>
        <v>0</v>
      </c>
      <c r="G45" s="84">
        <f t="shared" si="10"/>
        <v>203</v>
      </c>
      <c r="H45" s="85">
        <f t="shared" si="10"/>
        <v>9</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Q1"/>
    <mergeCell ref="S1:X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71"/>
    <col customWidth="1" min="2" max="2" width="8.71"/>
    <col customWidth="1" min="3" max="3" width="13.29"/>
    <col customWidth="1" min="4" max="4" width="44.29"/>
    <col customWidth="1" min="5" max="5" width="171.29"/>
    <col customWidth="1" min="6" max="6" width="19.71"/>
    <col customWidth="1" min="7" max="7" width="24.71"/>
    <col customWidth="1" min="8" max="12" width="19.71"/>
    <col customWidth="1" min="13" max="13" width="170.14"/>
    <col customWidth="1" min="14" max="14" width="19.71"/>
    <col customWidth="1" min="15" max="26" width="8.71"/>
  </cols>
  <sheetData>
    <row r="1" ht="14.25" customHeight="1">
      <c r="A1" s="89" t="s">
        <v>0</v>
      </c>
      <c r="B1" s="89" t="s">
        <v>1</v>
      </c>
      <c r="C1" s="89" t="s">
        <v>355</v>
      </c>
      <c r="D1" s="89" t="s">
        <v>5</v>
      </c>
      <c r="E1" s="89" t="s">
        <v>356</v>
      </c>
      <c r="F1" s="90" t="s">
        <v>357</v>
      </c>
      <c r="G1" s="91" t="s">
        <v>10</v>
      </c>
      <c r="H1" s="91" t="s">
        <v>11</v>
      </c>
      <c r="I1" s="91" t="s">
        <v>12</v>
      </c>
      <c r="J1" s="91" t="s">
        <v>13</v>
      </c>
      <c r="K1" s="92" t="s">
        <v>14</v>
      </c>
      <c r="L1" s="91" t="s">
        <v>15</v>
      </c>
      <c r="M1" s="89" t="s">
        <v>8</v>
      </c>
      <c r="N1" s="89" t="s">
        <v>6</v>
      </c>
      <c r="O1" s="93"/>
      <c r="P1" s="93"/>
      <c r="Q1" s="93"/>
      <c r="R1" s="93"/>
      <c r="S1" s="93"/>
      <c r="T1" s="93"/>
      <c r="U1" s="93"/>
      <c r="V1" s="93"/>
      <c r="W1" s="93"/>
      <c r="X1" s="93"/>
      <c r="Y1" s="93"/>
      <c r="Z1" s="93"/>
    </row>
    <row r="2" ht="15.75" customHeight="1">
      <c r="A2" s="93" t="s">
        <v>23</v>
      </c>
      <c r="B2" s="93">
        <v>2015.0</v>
      </c>
      <c r="C2" s="93" t="s">
        <v>25</v>
      </c>
      <c r="D2" s="93" t="s">
        <v>358</v>
      </c>
      <c r="E2" s="94" t="s">
        <v>359</v>
      </c>
      <c r="F2" s="93">
        <v>3.0</v>
      </c>
      <c r="G2" s="93">
        <v>0.0</v>
      </c>
      <c r="H2" s="93">
        <v>3.0</v>
      </c>
      <c r="I2" s="93">
        <v>3.0</v>
      </c>
      <c r="J2" s="93">
        <v>0.0</v>
      </c>
      <c r="K2" s="93">
        <v>22.0</v>
      </c>
      <c r="L2" s="93">
        <v>1.0</v>
      </c>
      <c r="M2" s="95" t="s">
        <v>360</v>
      </c>
      <c r="N2" s="93" t="s">
        <v>361</v>
      </c>
      <c r="O2" s="93"/>
      <c r="P2" s="93"/>
      <c r="Q2" s="93"/>
      <c r="R2" s="93"/>
      <c r="S2" s="93"/>
      <c r="T2" s="93"/>
      <c r="U2" s="93"/>
      <c r="V2" s="93"/>
      <c r="W2" s="93"/>
      <c r="X2" s="93"/>
      <c r="Y2" s="93"/>
      <c r="Z2" s="93"/>
    </row>
    <row r="3" ht="14.25" customHeight="1">
      <c r="A3" s="93" t="s">
        <v>23</v>
      </c>
      <c r="B3" s="93">
        <v>2016.0</v>
      </c>
      <c r="C3" s="93" t="s">
        <v>362</v>
      </c>
      <c r="D3" s="93" t="s">
        <v>358</v>
      </c>
      <c r="E3" s="96" t="s">
        <v>363</v>
      </c>
      <c r="F3" s="93">
        <v>2.0</v>
      </c>
      <c r="G3" s="93">
        <v>0.0</v>
      </c>
      <c r="H3" s="93">
        <v>1.0</v>
      </c>
      <c r="I3" s="93">
        <v>5.0</v>
      </c>
      <c r="J3" s="93">
        <v>0.0</v>
      </c>
      <c r="K3" s="93">
        <v>17.0</v>
      </c>
      <c r="L3" s="93">
        <v>2.0</v>
      </c>
      <c r="M3" s="95" t="s">
        <v>364</v>
      </c>
      <c r="N3" s="93" t="s">
        <v>361</v>
      </c>
      <c r="O3" s="93"/>
      <c r="P3" s="93"/>
      <c r="Q3" s="93"/>
      <c r="R3" s="93"/>
      <c r="S3" s="93"/>
      <c r="T3" s="93"/>
      <c r="U3" s="93"/>
      <c r="V3" s="93"/>
      <c r="W3" s="93"/>
      <c r="X3" s="93"/>
      <c r="Y3" s="93"/>
      <c r="Z3" s="93"/>
    </row>
    <row r="4" ht="14.25" customHeight="1">
      <c r="A4" s="93" t="s">
        <v>23</v>
      </c>
      <c r="B4" s="93">
        <v>2017.0</v>
      </c>
      <c r="C4" s="93" t="s">
        <v>362</v>
      </c>
      <c r="D4" s="93" t="s">
        <v>358</v>
      </c>
      <c r="E4" s="96" t="s">
        <v>365</v>
      </c>
      <c r="F4" s="93">
        <v>2.0</v>
      </c>
      <c r="G4" s="93">
        <v>0.0</v>
      </c>
      <c r="H4" s="93">
        <v>1.0</v>
      </c>
      <c r="I4" s="93">
        <v>8.0</v>
      </c>
      <c r="J4" s="93">
        <v>1.0</v>
      </c>
      <c r="K4" s="93">
        <v>16.0</v>
      </c>
      <c r="L4" s="93">
        <v>2.0</v>
      </c>
      <c r="M4" s="95" t="s">
        <v>366</v>
      </c>
      <c r="N4" s="93" t="s">
        <v>361</v>
      </c>
      <c r="O4" s="93"/>
      <c r="P4" s="93"/>
      <c r="Q4" s="93"/>
      <c r="R4" s="93"/>
      <c r="S4" s="93"/>
      <c r="T4" s="93"/>
      <c r="U4" s="93"/>
      <c r="V4" s="93"/>
      <c r="W4" s="93"/>
      <c r="X4" s="93"/>
      <c r="Y4" s="93"/>
      <c r="Z4" s="93"/>
    </row>
    <row r="5" ht="14.25" customHeight="1">
      <c r="A5" s="93" t="s">
        <v>23</v>
      </c>
      <c r="B5" s="93">
        <v>2018.0</v>
      </c>
      <c r="C5" s="93" t="s">
        <v>362</v>
      </c>
      <c r="D5" s="93" t="s">
        <v>358</v>
      </c>
      <c r="E5" s="96" t="s">
        <v>367</v>
      </c>
      <c r="F5" s="93">
        <v>2.0</v>
      </c>
      <c r="G5" s="93">
        <v>0.0</v>
      </c>
      <c r="H5" s="93">
        <v>0.0</v>
      </c>
      <c r="I5" s="93">
        <v>3.0</v>
      </c>
      <c r="J5" s="93">
        <v>1.0</v>
      </c>
      <c r="K5" s="93">
        <v>20.0</v>
      </c>
      <c r="L5" s="93">
        <v>1.0</v>
      </c>
      <c r="M5" s="95" t="s">
        <v>368</v>
      </c>
      <c r="N5" s="93" t="s">
        <v>361</v>
      </c>
      <c r="O5" s="93"/>
      <c r="P5" s="93"/>
      <c r="Q5" s="93"/>
      <c r="R5" s="93"/>
      <c r="S5" s="93"/>
      <c r="T5" s="93"/>
      <c r="U5" s="93"/>
      <c r="V5" s="93"/>
      <c r="W5" s="93"/>
      <c r="X5" s="93"/>
      <c r="Y5" s="93"/>
      <c r="Z5" s="93"/>
    </row>
    <row r="6" ht="14.25" customHeight="1">
      <c r="A6" s="93" t="s">
        <v>23</v>
      </c>
      <c r="B6" s="93">
        <v>2019.0</v>
      </c>
      <c r="C6" s="93" t="s">
        <v>362</v>
      </c>
      <c r="D6" s="93" t="s">
        <v>358</v>
      </c>
      <c r="E6" s="96" t="s">
        <v>369</v>
      </c>
      <c r="F6" s="93">
        <v>2.0</v>
      </c>
      <c r="G6" s="93">
        <v>0.0</v>
      </c>
      <c r="H6" s="93">
        <v>0.0</v>
      </c>
      <c r="I6" s="93">
        <v>5.0</v>
      </c>
      <c r="J6" s="93">
        <v>0.0</v>
      </c>
      <c r="K6" s="93">
        <v>33.0</v>
      </c>
      <c r="L6" s="93">
        <v>1.0</v>
      </c>
      <c r="M6" s="95" t="s">
        <v>370</v>
      </c>
      <c r="N6" s="93" t="s">
        <v>361</v>
      </c>
      <c r="O6" s="93"/>
      <c r="P6" s="93"/>
      <c r="Q6" s="93"/>
      <c r="R6" s="93"/>
      <c r="S6" s="93"/>
      <c r="T6" s="93"/>
      <c r="U6" s="93"/>
      <c r="V6" s="93"/>
      <c r="W6" s="93"/>
      <c r="X6" s="93"/>
      <c r="Y6" s="93"/>
      <c r="Z6" s="93"/>
    </row>
    <row r="7" ht="14.25" customHeight="1">
      <c r="A7" s="93" t="s">
        <v>23</v>
      </c>
      <c r="B7" s="93">
        <v>2020.0</v>
      </c>
      <c r="C7" s="93" t="s">
        <v>25</v>
      </c>
      <c r="D7" s="93" t="s">
        <v>358</v>
      </c>
      <c r="E7" s="96" t="s">
        <v>371</v>
      </c>
      <c r="F7" s="93">
        <v>1.0</v>
      </c>
      <c r="G7" s="93">
        <v>0.0</v>
      </c>
      <c r="H7" s="93">
        <v>1.0</v>
      </c>
      <c r="I7" s="93">
        <v>3.0</v>
      </c>
      <c r="J7" s="93">
        <v>0.0</v>
      </c>
      <c r="K7" s="93">
        <v>17.0</v>
      </c>
      <c r="L7" s="93">
        <v>2.0</v>
      </c>
      <c r="M7" s="95" t="s">
        <v>372</v>
      </c>
      <c r="N7" s="93" t="s">
        <v>373</v>
      </c>
      <c r="O7" s="93"/>
      <c r="P7" s="93"/>
      <c r="Q7" s="93"/>
      <c r="R7" s="93"/>
      <c r="S7" s="93"/>
      <c r="T7" s="93"/>
      <c r="U7" s="93"/>
      <c r="V7" s="93"/>
      <c r="W7" s="93"/>
      <c r="X7" s="93"/>
      <c r="Y7" s="93"/>
      <c r="Z7" s="93"/>
    </row>
    <row r="8" ht="14.25" customHeight="1">
      <c r="A8" s="93" t="s">
        <v>23</v>
      </c>
      <c r="B8" s="93">
        <v>2021.0</v>
      </c>
      <c r="C8" s="93" t="s">
        <v>374</v>
      </c>
      <c r="D8" s="93" t="s">
        <v>358</v>
      </c>
      <c r="E8" s="96" t="s">
        <v>375</v>
      </c>
      <c r="F8" s="93">
        <v>1.0</v>
      </c>
      <c r="G8" s="93">
        <v>0.0</v>
      </c>
      <c r="H8" s="93">
        <v>0.0</v>
      </c>
      <c r="I8" s="93">
        <v>1.0</v>
      </c>
      <c r="J8" s="93">
        <v>0.0</v>
      </c>
      <c r="K8" s="93">
        <v>18.0</v>
      </c>
      <c r="L8" s="93">
        <v>1.0</v>
      </c>
      <c r="M8" s="95" t="s">
        <v>376</v>
      </c>
      <c r="N8" s="93" t="s">
        <v>361</v>
      </c>
      <c r="O8" s="93"/>
      <c r="P8" s="93"/>
      <c r="Q8" s="93"/>
      <c r="R8" s="93"/>
      <c r="S8" s="93"/>
      <c r="T8" s="93"/>
      <c r="U8" s="93"/>
      <c r="V8" s="93"/>
      <c r="W8" s="93"/>
      <c r="X8" s="93"/>
      <c r="Y8" s="93"/>
      <c r="Z8" s="93"/>
    </row>
    <row r="9" ht="14.25" customHeight="1">
      <c r="A9" s="93" t="s">
        <v>23</v>
      </c>
      <c r="B9" s="93">
        <v>2022.0</v>
      </c>
      <c r="C9" s="93" t="s">
        <v>374</v>
      </c>
      <c r="D9" s="93" t="s">
        <v>358</v>
      </c>
      <c r="E9" s="96" t="s">
        <v>377</v>
      </c>
      <c r="F9" s="93">
        <v>2.0</v>
      </c>
      <c r="G9" s="93">
        <v>0.0</v>
      </c>
      <c r="H9" s="93">
        <v>1.0</v>
      </c>
      <c r="I9" s="93">
        <v>4.0</v>
      </c>
      <c r="J9" s="93">
        <v>0.0</v>
      </c>
      <c r="K9" s="93">
        <v>33.0</v>
      </c>
      <c r="L9" s="93">
        <v>4.0</v>
      </c>
      <c r="M9" s="95" t="s">
        <v>378</v>
      </c>
      <c r="N9" s="93" t="s">
        <v>361</v>
      </c>
      <c r="O9" s="93"/>
      <c r="P9" s="93"/>
      <c r="Q9" s="93"/>
      <c r="R9" s="93"/>
      <c r="S9" s="93"/>
      <c r="T9" s="93"/>
      <c r="U9" s="93"/>
      <c r="V9" s="93"/>
      <c r="W9" s="93"/>
      <c r="X9" s="93"/>
      <c r="Y9" s="93"/>
      <c r="Z9" s="93"/>
    </row>
    <row r="10" ht="14.25" customHeight="1">
      <c r="A10" s="93" t="s">
        <v>23</v>
      </c>
      <c r="B10" s="93">
        <v>2023.0</v>
      </c>
      <c r="C10" s="93" t="s">
        <v>362</v>
      </c>
      <c r="D10" s="93" t="s">
        <v>358</v>
      </c>
      <c r="E10" s="96" t="s">
        <v>379</v>
      </c>
      <c r="F10" s="93">
        <v>2.0</v>
      </c>
      <c r="G10" s="93">
        <v>0.0</v>
      </c>
      <c r="H10" s="93">
        <v>2.0</v>
      </c>
      <c r="I10" s="93">
        <v>10.0</v>
      </c>
      <c r="J10" s="93">
        <v>0.0</v>
      </c>
      <c r="K10" s="93">
        <v>23.0</v>
      </c>
      <c r="L10" s="93">
        <v>1.0</v>
      </c>
      <c r="M10" s="95" t="s">
        <v>380</v>
      </c>
      <c r="N10" s="93" t="s">
        <v>361</v>
      </c>
      <c r="O10" s="93"/>
      <c r="P10" s="93"/>
      <c r="Q10" s="93"/>
      <c r="R10" s="93"/>
      <c r="S10" s="93"/>
      <c r="T10" s="93"/>
      <c r="U10" s="93"/>
      <c r="V10" s="93"/>
      <c r="W10" s="93"/>
      <c r="X10" s="93"/>
      <c r="Y10" s="93"/>
      <c r="Z10" s="93"/>
    </row>
    <row r="11" ht="14.25" customHeight="1">
      <c r="A11" s="93" t="s">
        <v>23</v>
      </c>
      <c r="B11" s="93">
        <v>2024.0</v>
      </c>
      <c r="C11" s="93" t="s">
        <v>362</v>
      </c>
      <c r="D11" s="93" t="s">
        <v>358</v>
      </c>
      <c r="E11" s="96" t="s">
        <v>381</v>
      </c>
      <c r="F11" s="93">
        <v>4.0</v>
      </c>
      <c r="G11" s="93">
        <v>1.0</v>
      </c>
      <c r="H11" s="93">
        <v>2.0</v>
      </c>
      <c r="I11" s="93">
        <v>1.0</v>
      </c>
      <c r="J11" s="93">
        <v>0.0</v>
      </c>
      <c r="K11" s="93">
        <v>20.0</v>
      </c>
      <c r="L11" s="93">
        <v>6.0</v>
      </c>
      <c r="M11" s="95" t="s">
        <v>382</v>
      </c>
      <c r="N11" s="93" t="s">
        <v>361</v>
      </c>
      <c r="O11" s="93"/>
      <c r="P11" s="93"/>
      <c r="Q11" s="93"/>
      <c r="R11" s="93"/>
      <c r="S11" s="93"/>
      <c r="T11" s="93"/>
      <c r="U11" s="93"/>
      <c r="V11" s="93"/>
      <c r="W11" s="93"/>
      <c r="X11" s="93"/>
      <c r="Y11" s="93"/>
      <c r="Z11" s="93"/>
    </row>
    <row r="12" ht="14.25" customHeight="1">
      <c r="A12" s="93" t="s">
        <v>23</v>
      </c>
      <c r="B12" s="93">
        <v>2025.0</v>
      </c>
      <c r="C12" s="93" t="s">
        <v>362</v>
      </c>
      <c r="D12" s="93" t="s">
        <v>358</v>
      </c>
      <c r="E12" s="96" t="s">
        <v>383</v>
      </c>
      <c r="F12" s="93">
        <v>3.0</v>
      </c>
      <c r="G12" s="93">
        <v>0.0</v>
      </c>
      <c r="H12" s="93">
        <v>0.0</v>
      </c>
      <c r="I12" s="93">
        <v>4.0</v>
      </c>
      <c r="J12" s="93">
        <v>1.0</v>
      </c>
      <c r="K12" s="93">
        <v>20.0</v>
      </c>
      <c r="L12" s="93">
        <v>4.0</v>
      </c>
      <c r="M12" s="95" t="s">
        <v>384</v>
      </c>
      <c r="N12" s="93" t="s">
        <v>361</v>
      </c>
      <c r="O12" s="93"/>
      <c r="P12" s="93"/>
      <c r="Q12" s="93"/>
      <c r="R12" s="93"/>
      <c r="S12" s="93"/>
      <c r="T12" s="93"/>
      <c r="U12" s="93"/>
      <c r="V12" s="93"/>
      <c r="W12" s="93"/>
      <c r="X12" s="93"/>
      <c r="Y12" s="93"/>
      <c r="Z12" s="93"/>
    </row>
    <row r="13" ht="14.25" customHeight="1">
      <c r="A13" s="97" t="s">
        <v>130</v>
      </c>
      <c r="B13" s="97">
        <v>2015.0</v>
      </c>
      <c r="C13" s="97" t="s">
        <v>131</v>
      </c>
      <c r="D13" s="97" t="s">
        <v>358</v>
      </c>
      <c r="E13" s="96" t="s">
        <v>385</v>
      </c>
      <c r="F13" s="97">
        <v>1.0</v>
      </c>
      <c r="G13" s="97">
        <v>0.0</v>
      </c>
      <c r="H13" s="97">
        <v>2.0</v>
      </c>
      <c r="I13" s="97">
        <v>1.0</v>
      </c>
      <c r="J13" s="97">
        <v>1.0</v>
      </c>
      <c r="K13" s="97">
        <v>12.0</v>
      </c>
      <c r="L13" s="97">
        <v>3.0</v>
      </c>
      <c r="M13" s="98" t="s">
        <v>386</v>
      </c>
      <c r="N13" s="97" t="s">
        <v>361</v>
      </c>
      <c r="O13" s="93"/>
      <c r="P13" s="93"/>
      <c r="Q13" s="93"/>
      <c r="R13" s="93"/>
      <c r="S13" s="93"/>
      <c r="T13" s="93"/>
      <c r="U13" s="93"/>
      <c r="V13" s="93"/>
      <c r="W13" s="93"/>
      <c r="X13" s="93"/>
      <c r="Y13" s="93"/>
      <c r="Z13" s="93"/>
    </row>
    <row r="14" ht="14.25" customHeight="1">
      <c r="A14" s="93" t="s">
        <v>130</v>
      </c>
      <c r="B14" s="93">
        <v>2016.0</v>
      </c>
      <c r="C14" s="93" t="s">
        <v>387</v>
      </c>
      <c r="D14" s="93" t="s">
        <v>358</v>
      </c>
      <c r="E14" s="96" t="s">
        <v>388</v>
      </c>
      <c r="F14" s="93">
        <v>0.0</v>
      </c>
      <c r="G14" s="93">
        <v>0.0</v>
      </c>
      <c r="H14" s="93">
        <v>0.0</v>
      </c>
      <c r="I14" s="93">
        <v>1.0</v>
      </c>
      <c r="J14" s="93">
        <v>0.0</v>
      </c>
      <c r="K14" s="93">
        <v>7.0</v>
      </c>
      <c r="L14" s="93">
        <v>3.0</v>
      </c>
      <c r="M14" s="95" t="s">
        <v>389</v>
      </c>
      <c r="N14" s="93" t="s">
        <v>361</v>
      </c>
      <c r="O14" s="93"/>
      <c r="P14" s="93"/>
      <c r="Q14" s="93"/>
      <c r="R14" s="93"/>
      <c r="S14" s="93"/>
      <c r="T14" s="93"/>
      <c r="U14" s="93"/>
      <c r="V14" s="93"/>
      <c r="W14" s="93"/>
      <c r="X14" s="93"/>
      <c r="Y14" s="93"/>
      <c r="Z14" s="93"/>
    </row>
    <row r="15" ht="14.25" customHeight="1">
      <c r="A15" s="93" t="s">
        <v>130</v>
      </c>
      <c r="B15" s="93">
        <v>2017.0</v>
      </c>
      <c r="C15" s="93" t="s">
        <v>387</v>
      </c>
      <c r="D15" s="93" t="s">
        <v>358</v>
      </c>
      <c r="E15" s="96" t="s">
        <v>390</v>
      </c>
      <c r="F15" s="93">
        <v>1.0</v>
      </c>
      <c r="G15" s="93">
        <v>0.0</v>
      </c>
      <c r="H15" s="93">
        <v>1.0</v>
      </c>
      <c r="I15" s="93">
        <v>1.0</v>
      </c>
      <c r="J15" s="93">
        <v>0.0</v>
      </c>
      <c r="K15" s="93">
        <v>13.0</v>
      </c>
      <c r="L15" s="93">
        <v>0.0</v>
      </c>
      <c r="M15" s="95" t="s">
        <v>391</v>
      </c>
      <c r="N15" s="93" t="s">
        <v>361</v>
      </c>
      <c r="O15" s="93"/>
      <c r="P15" s="93"/>
      <c r="Q15" s="93"/>
      <c r="R15" s="93"/>
      <c r="S15" s="93"/>
      <c r="T15" s="93"/>
      <c r="U15" s="93"/>
      <c r="V15" s="93"/>
      <c r="W15" s="93"/>
      <c r="X15" s="93"/>
      <c r="Y15" s="93"/>
      <c r="Z15" s="93"/>
    </row>
    <row r="16" ht="14.25" customHeight="1">
      <c r="A16" s="93" t="s">
        <v>130</v>
      </c>
      <c r="B16" s="93">
        <v>2018.0</v>
      </c>
      <c r="C16" s="93" t="s">
        <v>387</v>
      </c>
      <c r="D16" s="93" t="s">
        <v>358</v>
      </c>
      <c r="E16" s="96" t="s">
        <v>392</v>
      </c>
      <c r="F16" s="93">
        <v>3.0</v>
      </c>
      <c r="G16" s="93">
        <v>0.0</v>
      </c>
      <c r="H16" s="93">
        <v>4.0</v>
      </c>
      <c r="I16" s="93">
        <v>3.0</v>
      </c>
      <c r="J16" s="93">
        <v>1.0</v>
      </c>
      <c r="K16" s="93">
        <v>11.0</v>
      </c>
      <c r="L16" s="93">
        <v>2.0</v>
      </c>
      <c r="M16" s="95" t="s">
        <v>393</v>
      </c>
      <c r="N16" s="93" t="s">
        <v>361</v>
      </c>
      <c r="O16" s="93"/>
      <c r="P16" s="93"/>
      <c r="Q16" s="93"/>
      <c r="R16" s="93"/>
      <c r="S16" s="93"/>
      <c r="T16" s="93"/>
      <c r="U16" s="93"/>
      <c r="V16" s="93"/>
      <c r="W16" s="93"/>
      <c r="X16" s="93"/>
      <c r="Y16" s="93"/>
      <c r="Z16" s="93"/>
    </row>
    <row r="17" ht="14.25" customHeight="1">
      <c r="A17" s="93" t="s">
        <v>130</v>
      </c>
      <c r="B17" s="93">
        <v>2019.0</v>
      </c>
      <c r="C17" s="93" t="s">
        <v>387</v>
      </c>
      <c r="D17" s="93" t="s">
        <v>358</v>
      </c>
      <c r="E17" s="96" t="s">
        <v>394</v>
      </c>
      <c r="F17" s="93">
        <v>4.0</v>
      </c>
      <c r="G17" s="93">
        <v>0.0</v>
      </c>
      <c r="H17" s="93">
        <v>3.0</v>
      </c>
      <c r="I17" s="93">
        <v>3.0</v>
      </c>
      <c r="J17" s="93">
        <v>0.0</v>
      </c>
      <c r="K17" s="93">
        <v>14.0</v>
      </c>
      <c r="L17" s="93">
        <v>1.0</v>
      </c>
      <c r="M17" s="95" t="s">
        <v>395</v>
      </c>
      <c r="N17" s="93" t="s">
        <v>361</v>
      </c>
      <c r="O17" s="93"/>
      <c r="P17" s="93"/>
      <c r="Q17" s="93"/>
      <c r="R17" s="93"/>
      <c r="S17" s="93"/>
      <c r="T17" s="93"/>
      <c r="U17" s="93"/>
      <c r="V17" s="93"/>
      <c r="W17" s="93"/>
      <c r="X17" s="93"/>
      <c r="Y17" s="93"/>
      <c r="Z17" s="93"/>
    </row>
    <row r="18" ht="14.25" customHeight="1">
      <c r="A18" s="93" t="s">
        <v>130</v>
      </c>
      <c r="B18" s="93">
        <v>2020.0</v>
      </c>
      <c r="C18" s="93" t="s">
        <v>387</v>
      </c>
      <c r="D18" s="93" t="s">
        <v>358</v>
      </c>
      <c r="E18" s="96" t="s">
        <v>396</v>
      </c>
      <c r="F18" s="93">
        <v>0.0</v>
      </c>
      <c r="G18" s="93">
        <v>0.0</v>
      </c>
      <c r="H18" s="93">
        <v>0.0</v>
      </c>
      <c r="I18" s="93">
        <v>3.0</v>
      </c>
      <c r="J18" s="93">
        <v>0.0</v>
      </c>
      <c r="K18" s="93">
        <v>13.0</v>
      </c>
      <c r="L18" s="93">
        <v>2.0</v>
      </c>
      <c r="M18" s="95" t="s">
        <v>397</v>
      </c>
      <c r="N18" s="93" t="s">
        <v>373</v>
      </c>
      <c r="O18" s="93"/>
      <c r="P18" s="93"/>
      <c r="Q18" s="93"/>
      <c r="R18" s="93"/>
      <c r="S18" s="93"/>
      <c r="T18" s="93"/>
      <c r="U18" s="93"/>
      <c r="V18" s="93"/>
      <c r="W18" s="93"/>
      <c r="X18" s="93"/>
      <c r="Y18" s="93"/>
      <c r="Z18" s="93"/>
    </row>
    <row r="19" ht="14.25" customHeight="1">
      <c r="A19" s="93" t="s">
        <v>130</v>
      </c>
      <c r="B19" s="93">
        <v>2021.0</v>
      </c>
      <c r="C19" s="93" t="s">
        <v>387</v>
      </c>
      <c r="D19" s="93" t="s">
        <v>358</v>
      </c>
      <c r="E19" s="96" t="s">
        <v>398</v>
      </c>
      <c r="F19" s="93">
        <v>0.0</v>
      </c>
      <c r="G19" s="93">
        <v>0.0</v>
      </c>
      <c r="H19" s="93">
        <v>4.0</v>
      </c>
      <c r="I19" s="93">
        <v>2.0</v>
      </c>
      <c r="J19" s="93">
        <v>0.0</v>
      </c>
      <c r="K19" s="93">
        <v>10.0</v>
      </c>
      <c r="L19" s="93">
        <v>1.0</v>
      </c>
      <c r="M19" s="95" t="s">
        <v>399</v>
      </c>
      <c r="N19" s="93" t="s">
        <v>361</v>
      </c>
      <c r="O19" s="93"/>
      <c r="P19" s="93"/>
      <c r="Q19" s="93"/>
      <c r="R19" s="93"/>
      <c r="S19" s="93"/>
      <c r="T19" s="93"/>
      <c r="U19" s="93"/>
      <c r="V19" s="93"/>
      <c r="W19" s="93"/>
      <c r="X19" s="93"/>
      <c r="Y19" s="93"/>
      <c r="Z19" s="93"/>
    </row>
    <row r="20" ht="14.25" customHeight="1">
      <c r="A20" s="93" t="s">
        <v>130</v>
      </c>
      <c r="B20" s="93">
        <v>2022.0</v>
      </c>
      <c r="C20" s="93" t="s">
        <v>387</v>
      </c>
      <c r="D20" s="93" t="s">
        <v>358</v>
      </c>
      <c r="E20" s="96" t="s">
        <v>400</v>
      </c>
      <c r="F20" s="93">
        <v>0.0</v>
      </c>
      <c r="G20" s="93">
        <v>0.0</v>
      </c>
      <c r="H20" s="93">
        <v>1.0</v>
      </c>
      <c r="I20" s="93">
        <v>1.0</v>
      </c>
      <c r="J20" s="93">
        <v>0.0</v>
      </c>
      <c r="K20" s="93">
        <v>13.0</v>
      </c>
      <c r="L20" s="93">
        <v>4.0</v>
      </c>
      <c r="M20" s="95" t="s">
        <v>401</v>
      </c>
      <c r="N20" s="93" t="s">
        <v>361</v>
      </c>
      <c r="O20" s="93"/>
      <c r="P20" s="93"/>
      <c r="Q20" s="93"/>
      <c r="R20" s="93"/>
      <c r="S20" s="93"/>
      <c r="T20" s="93"/>
      <c r="U20" s="93"/>
      <c r="V20" s="93"/>
      <c r="W20" s="93"/>
      <c r="X20" s="93"/>
      <c r="Y20" s="93"/>
      <c r="Z20" s="93"/>
    </row>
    <row r="21" ht="14.25" customHeight="1">
      <c r="A21" s="93" t="s">
        <v>130</v>
      </c>
      <c r="B21" s="93">
        <v>2023.0</v>
      </c>
      <c r="C21" s="93" t="s">
        <v>402</v>
      </c>
      <c r="D21" s="93" t="s">
        <v>358</v>
      </c>
      <c r="E21" s="96" t="s">
        <v>403</v>
      </c>
      <c r="F21" s="93">
        <v>1.0</v>
      </c>
      <c r="G21" s="93">
        <v>0.0</v>
      </c>
      <c r="H21" s="93">
        <v>3.0</v>
      </c>
      <c r="I21" s="93">
        <v>1.0</v>
      </c>
      <c r="J21" s="93">
        <v>0.0</v>
      </c>
      <c r="K21" s="93">
        <v>21.0</v>
      </c>
      <c r="L21" s="93">
        <v>2.0</v>
      </c>
      <c r="M21" s="95" t="s">
        <v>404</v>
      </c>
      <c r="N21" s="93" t="s">
        <v>361</v>
      </c>
      <c r="O21" s="93"/>
      <c r="P21" s="93"/>
      <c r="Q21" s="93"/>
      <c r="R21" s="93"/>
      <c r="S21" s="93"/>
      <c r="T21" s="93"/>
      <c r="U21" s="93"/>
      <c r="V21" s="93"/>
      <c r="W21" s="93"/>
      <c r="X21" s="93"/>
      <c r="Y21" s="93"/>
      <c r="Z21" s="93"/>
    </row>
    <row r="22" ht="14.25" customHeight="1">
      <c r="A22" s="93" t="s">
        <v>130</v>
      </c>
      <c r="B22" s="93">
        <v>2024.0</v>
      </c>
      <c r="C22" s="93" t="s">
        <v>405</v>
      </c>
      <c r="D22" s="93" t="s">
        <v>358</v>
      </c>
      <c r="E22" s="96" t="s">
        <v>406</v>
      </c>
      <c r="F22" s="93">
        <v>2.0</v>
      </c>
      <c r="G22" s="93">
        <v>0.0</v>
      </c>
      <c r="H22" s="93">
        <v>2.0</v>
      </c>
      <c r="I22" s="93">
        <v>1.0</v>
      </c>
      <c r="J22" s="93">
        <v>0.0</v>
      </c>
      <c r="K22" s="93">
        <v>19.0</v>
      </c>
      <c r="L22" s="93">
        <v>2.0</v>
      </c>
      <c r="M22" s="95" t="s">
        <v>407</v>
      </c>
      <c r="N22" s="93" t="s">
        <v>361</v>
      </c>
      <c r="O22" s="93"/>
      <c r="P22" s="93"/>
      <c r="Q22" s="93"/>
      <c r="R22" s="93"/>
      <c r="S22" s="93"/>
      <c r="T22" s="93"/>
      <c r="U22" s="93"/>
      <c r="V22" s="93"/>
      <c r="W22" s="93"/>
      <c r="X22" s="93"/>
      <c r="Y22" s="93"/>
      <c r="Z22" s="93"/>
    </row>
    <row r="23" ht="14.25" customHeight="1">
      <c r="A23" s="93" t="s">
        <v>130</v>
      </c>
      <c r="B23" s="93">
        <v>2025.0</v>
      </c>
      <c r="C23" s="93" t="s">
        <v>408</v>
      </c>
      <c r="D23" s="93" t="s">
        <v>358</v>
      </c>
      <c r="E23" s="96" t="s">
        <v>409</v>
      </c>
      <c r="F23" s="93">
        <v>4.0</v>
      </c>
      <c r="G23" s="93">
        <v>0.0</v>
      </c>
      <c r="H23" s="93">
        <v>1.0</v>
      </c>
      <c r="I23" s="93">
        <v>2.0</v>
      </c>
      <c r="J23" s="93">
        <v>3.0</v>
      </c>
      <c r="K23" s="93">
        <v>24.0</v>
      </c>
      <c r="L23" s="93">
        <v>1.0</v>
      </c>
      <c r="M23" s="95" t="s">
        <v>410</v>
      </c>
      <c r="N23" s="93" t="s">
        <v>361</v>
      </c>
      <c r="O23" s="93"/>
      <c r="P23" s="93"/>
      <c r="Q23" s="93"/>
      <c r="R23" s="93"/>
      <c r="S23" s="93"/>
      <c r="T23" s="93"/>
      <c r="U23" s="93"/>
      <c r="V23" s="93"/>
      <c r="W23" s="93"/>
      <c r="X23" s="93"/>
      <c r="Y23" s="93"/>
      <c r="Z23" s="93"/>
    </row>
    <row r="24" ht="14.25" customHeight="1">
      <c r="A24" s="97" t="s">
        <v>192</v>
      </c>
      <c r="B24" s="97">
        <v>2015.0</v>
      </c>
      <c r="C24" s="97" t="s">
        <v>411</v>
      </c>
      <c r="D24" s="97" t="s">
        <v>358</v>
      </c>
      <c r="E24" s="96" t="s">
        <v>412</v>
      </c>
      <c r="F24" s="97">
        <v>1.0</v>
      </c>
      <c r="G24" s="97">
        <v>0.0</v>
      </c>
      <c r="H24" s="97">
        <v>0.0</v>
      </c>
      <c r="I24" s="97">
        <v>1.0</v>
      </c>
      <c r="J24" s="97">
        <v>1.0</v>
      </c>
      <c r="K24" s="97">
        <v>14.0</v>
      </c>
      <c r="L24" s="97">
        <v>0.0</v>
      </c>
      <c r="M24" s="98" t="s">
        <v>413</v>
      </c>
      <c r="N24" s="97" t="s">
        <v>361</v>
      </c>
      <c r="O24" s="93"/>
      <c r="P24" s="93"/>
      <c r="Q24" s="93"/>
      <c r="R24" s="93"/>
      <c r="S24" s="93"/>
      <c r="T24" s="93"/>
      <c r="U24" s="93"/>
      <c r="V24" s="93"/>
      <c r="W24" s="93"/>
      <c r="X24" s="93"/>
      <c r="Y24" s="93"/>
      <c r="Z24" s="93"/>
    </row>
    <row r="25" ht="14.25" customHeight="1">
      <c r="A25" s="99" t="s">
        <v>192</v>
      </c>
      <c r="B25" s="99">
        <v>2016.0</v>
      </c>
      <c r="C25" s="99" t="s">
        <v>414</v>
      </c>
      <c r="D25" s="99" t="s">
        <v>358</v>
      </c>
      <c r="E25" s="100" t="s">
        <v>415</v>
      </c>
      <c r="F25" s="99"/>
      <c r="G25" s="99"/>
      <c r="H25" s="99"/>
      <c r="I25" s="99"/>
      <c r="J25" s="99"/>
      <c r="K25" s="99"/>
      <c r="L25" s="99"/>
      <c r="M25" s="101"/>
      <c r="N25" s="99" t="s">
        <v>361</v>
      </c>
      <c r="O25" s="99"/>
      <c r="P25" s="99"/>
      <c r="Q25" s="99"/>
      <c r="R25" s="99"/>
      <c r="S25" s="99"/>
      <c r="T25" s="99"/>
      <c r="U25" s="99"/>
      <c r="V25" s="99"/>
      <c r="W25" s="99"/>
      <c r="X25" s="99"/>
      <c r="Y25" s="99"/>
      <c r="Z25" s="99"/>
    </row>
    <row r="26" ht="14.25" customHeight="1">
      <c r="A26" s="99" t="s">
        <v>192</v>
      </c>
      <c r="B26" s="99">
        <v>2017.0</v>
      </c>
      <c r="C26" s="99" t="s">
        <v>416</v>
      </c>
      <c r="D26" s="99" t="s">
        <v>358</v>
      </c>
      <c r="E26" s="102" t="s">
        <v>43</v>
      </c>
      <c r="F26" s="99"/>
      <c r="G26" s="99"/>
      <c r="H26" s="99"/>
      <c r="I26" s="99"/>
      <c r="J26" s="99"/>
      <c r="K26" s="99"/>
      <c r="L26" s="99"/>
      <c r="M26" s="101"/>
      <c r="N26" s="99" t="s">
        <v>361</v>
      </c>
      <c r="O26" s="99"/>
      <c r="P26" s="99"/>
      <c r="Q26" s="99"/>
      <c r="R26" s="99"/>
      <c r="S26" s="99"/>
      <c r="T26" s="99"/>
      <c r="U26" s="99"/>
      <c r="V26" s="99"/>
      <c r="W26" s="99"/>
      <c r="X26" s="99"/>
      <c r="Y26" s="99"/>
      <c r="Z26" s="99"/>
    </row>
    <row r="27" ht="14.25" customHeight="1">
      <c r="A27" s="99" t="s">
        <v>192</v>
      </c>
      <c r="B27" s="99">
        <v>2018.0</v>
      </c>
      <c r="C27" s="99" t="s">
        <v>417</v>
      </c>
      <c r="D27" s="99" t="s">
        <v>358</v>
      </c>
      <c r="E27" s="102" t="s">
        <v>43</v>
      </c>
      <c r="F27" s="99"/>
      <c r="G27" s="99"/>
      <c r="H27" s="99"/>
      <c r="I27" s="99"/>
      <c r="J27" s="99"/>
      <c r="K27" s="99"/>
      <c r="L27" s="99"/>
      <c r="M27" s="101"/>
      <c r="N27" s="99" t="s">
        <v>361</v>
      </c>
      <c r="O27" s="99"/>
      <c r="P27" s="99"/>
      <c r="Q27" s="99"/>
      <c r="R27" s="99"/>
      <c r="S27" s="99"/>
      <c r="T27" s="99"/>
      <c r="U27" s="99"/>
      <c r="V27" s="99"/>
      <c r="W27" s="99"/>
      <c r="X27" s="99"/>
      <c r="Y27" s="99"/>
      <c r="Z27" s="99"/>
    </row>
    <row r="28" ht="14.25" customHeight="1">
      <c r="A28" s="93" t="s">
        <v>192</v>
      </c>
      <c r="B28" s="93">
        <v>2019.0</v>
      </c>
      <c r="C28" s="93" t="s">
        <v>213</v>
      </c>
      <c r="D28" s="93" t="s">
        <v>358</v>
      </c>
      <c r="E28" s="96" t="s">
        <v>418</v>
      </c>
      <c r="F28" s="93">
        <v>2.0</v>
      </c>
      <c r="G28" s="93">
        <v>1.0</v>
      </c>
      <c r="H28" s="93">
        <v>1.0</v>
      </c>
      <c r="I28" s="93">
        <v>0.0</v>
      </c>
      <c r="J28" s="93">
        <v>0.0</v>
      </c>
      <c r="K28" s="93">
        <v>11.0</v>
      </c>
      <c r="L28" s="93">
        <v>0.0</v>
      </c>
      <c r="M28" s="95" t="s">
        <v>419</v>
      </c>
      <c r="N28" s="93" t="s">
        <v>361</v>
      </c>
      <c r="O28" s="93"/>
      <c r="P28" s="93"/>
      <c r="Q28" s="93"/>
      <c r="R28" s="93"/>
      <c r="S28" s="93"/>
      <c r="T28" s="93"/>
      <c r="U28" s="93"/>
      <c r="V28" s="93"/>
      <c r="W28" s="93"/>
      <c r="X28" s="93"/>
      <c r="Y28" s="93"/>
      <c r="Z28" s="93"/>
    </row>
    <row r="29" ht="14.25" customHeight="1">
      <c r="A29" s="93" t="s">
        <v>192</v>
      </c>
      <c r="B29" s="93">
        <v>2020.0</v>
      </c>
      <c r="C29" s="93" t="s">
        <v>213</v>
      </c>
      <c r="D29" s="93" t="s">
        <v>358</v>
      </c>
      <c r="E29" s="96" t="s">
        <v>420</v>
      </c>
      <c r="F29" s="93">
        <v>0.0</v>
      </c>
      <c r="G29" s="93">
        <v>0.0</v>
      </c>
      <c r="H29" s="93">
        <v>2.0</v>
      </c>
      <c r="I29" s="93">
        <v>1.0</v>
      </c>
      <c r="J29" s="93">
        <v>0.0</v>
      </c>
      <c r="K29" s="93">
        <v>17.0</v>
      </c>
      <c r="L29" s="93">
        <v>1.0</v>
      </c>
      <c r="M29" s="95" t="s">
        <v>421</v>
      </c>
      <c r="N29" s="93" t="s">
        <v>373</v>
      </c>
      <c r="O29" s="93"/>
      <c r="P29" s="93"/>
      <c r="Q29" s="93"/>
      <c r="R29" s="93"/>
      <c r="S29" s="93"/>
      <c r="T29" s="93"/>
      <c r="U29" s="93"/>
      <c r="V29" s="93"/>
      <c r="W29" s="93"/>
      <c r="X29" s="93"/>
      <c r="Y29" s="93"/>
      <c r="Z29" s="93"/>
    </row>
    <row r="30" ht="14.25" customHeight="1">
      <c r="A30" s="93" t="s">
        <v>192</v>
      </c>
      <c r="B30" s="93">
        <v>2021.0</v>
      </c>
      <c r="C30" s="93" t="s">
        <v>213</v>
      </c>
      <c r="D30" s="93" t="s">
        <v>358</v>
      </c>
      <c r="E30" s="96" t="s">
        <v>422</v>
      </c>
      <c r="F30" s="93">
        <v>1.0</v>
      </c>
      <c r="G30" s="93">
        <v>0.0</v>
      </c>
      <c r="H30" s="93">
        <v>6.0</v>
      </c>
      <c r="I30" s="93">
        <v>1.0</v>
      </c>
      <c r="J30" s="93">
        <v>0.0</v>
      </c>
      <c r="K30" s="93">
        <v>10.0</v>
      </c>
      <c r="L30" s="93">
        <v>0.0</v>
      </c>
      <c r="M30" s="95" t="s">
        <v>423</v>
      </c>
      <c r="N30" s="93" t="s">
        <v>361</v>
      </c>
      <c r="O30" s="93"/>
      <c r="P30" s="93"/>
      <c r="Q30" s="93"/>
      <c r="R30" s="93"/>
      <c r="S30" s="93"/>
      <c r="T30" s="93"/>
      <c r="U30" s="93"/>
      <c r="V30" s="93"/>
      <c r="W30" s="93"/>
      <c r="X30" s="93"/>
      <c r="Y30" s="93"/>
      <c r="Z30" s="93"/>
    </row>
    <row r="31" ht="14.25" customHeight="1">
      <c r="A31" s="93" t="s">
        <v>192</v>
      </c>
      <c r="B31" s="93">
        <v>2022.0</v>
      </c>
      <c r="C31" s="93" t="s">
        <v>213</v>
      </c>
      <c r="D31" s="93" t="s">
        <v>358</v>
      </c>
      <c r="E31" s="96" t="s">
        <v>424</v>
      </c>
      <c r="F31" s="93">
        <v>0.0</v>
      </c>
      <c r="G31" s="93"/>
      <c r="H31" s="93"/>
      <c r="I31" s="93"/>
      <c r="J31" s="93"/>
      <c r="K31" s="93"/>
      <c r="L31" s="93"/>
      <c r="M31" s="95" t="s">
        <v>425</v>
      </c>
      <c r="N31" s="93" t="s">
        <v>361</v>
      </c>
      <c r="O31" s="93"/>
      <c r="P31" s="93"/>
      <c r="Q31" s="93"/>
      <c r="R31" s="93"/>
      <c r="S31" s="93"/>
      <c r="T31" s="93"/>
      <c r="U31" s="93"/>
      <c r="V31" s="93"/>
      <c r="W31" s="93"/>
      <c r="X31" s="93"/>
      <c r="Y31" s="93"/>
      <c r="Z31" s="93"/>
    </row>
    <row r="32" ht="14.25" customHeight="1">
      <c r="A32" s="93" t="s">
        <v>192</v>
      </c>
      <c r="B32" s="93">
        <v>2023.0</v>
      </c>
      <c r="C32" s="93" t="s">
        <v>213</v>
      </c>
      <c r="D32" s="93" t="s">
        <v>358</v>
      </c>
      <c r="E32" s="96" t="s">
        <v>426</v>
      </c>
      <c r="F32" s="93">
        <v>0.0</v>
      </c>
      <c r="G32" s="93">
        <v>3.0</v>
      </c>
      <c r="H32" s="93">
        <v>5.0</v>
      </c>
      <c r="I32" s="93">
        <v>2.0</v>
      </c>
      <c r="J32" s="93">
        <v>1.0</v>
      </c>
      <c r="K32" s="93">
        <v>13.0</v>
      </c>
      <c r="L32" s="93">
        <v>2.0</v>
      </c>
      <c r="M32" s="95" t="s">
        <v>427</v>
      </c>
      <c r="N32" s="93" t="s">
        <v>361</v>
      </c>
      <c r="O32" s="93"/>
      <c r="P32" s="93"/>
      <c r="Q32" s="93"/>
      <c r="R32" s="93"/>
      <c r="S32" s="93"/>
      <c r="T32" s="93"/>
      <c r="U32" s="93"/>
      <c r="V32" s="93"/>
      <c r="W32" s="93"/>
      <c r="X32" s="93"/>
      <c r="Y32" s="93"/>
      <c r="Z32" s="93"/>
    </row>
    <row r="33" ht="14.25" customHeight="1">
      <c r="A33" s="93" t="s">
        <v>192</v>
      </c>
      <c r="B33" s="93">
        <v>2024.0</v>
      </c>
      <c r="C33" s="93" t="s">
        <v>428</v>
      </c>
      <c r="D33" s="93" t="s">
        <v>358</v>
      </c>
      <c r="E33" s="96" t="s">
        <v>429</v>
      </c>
      <c r="F33" s="93">
        <v>0.0</v>
      </c>
      <c r="G33" s="93">
        <v>3.0</v>
      </c>
      <c r="H33" s="93">
        <v>2.0</v>
      </c>
      <c r="I33" s="93">
        <v>0.0</v>
      </c>
      <c r="J33" s="93">
        <v>0.0</v>
      </c>
      <c r="K33" s="93">
        <v>14.0</v>
      </c>
      <c r="L33" s="93">
        <v>1.0</v>
      </c>
      <c r="M33" s="95" t="s">
        <v>430</v>
      </c>
      <c r="N33" s="93" t="s">
        <v>361</v>
      </c>
      <c r="O33" s="93"/>
      <c r="P33" s="93"/>
      <c r="Q33" s="93"/>
      <c r="R33" s="93"/>
      <c r="S33" s="93"/>
      <c r="T33" s="93"/>
      <c r="U33" s="93"/>
      <c r="V33" s="93"/>
      <c r="W33" s="93"/>
      <c r="X33" s="93"/>
      <c r="Y33" s="93"/>
      <c r="Z33" s="93"/>
    </row>
    <row r="34" ht="14.25" customHeight="1">
      <c r="A34" s="93" t="s">
        <v>192</v>
      </c>
      <c r="B34" s="93">
        <v>2025.0</v>
      </c>
      <c r="C34" s="93" t="s">
        <v>213</v>
      </c>
      <c r="D34" s="93" t="s">
        <v>358</v>
      </c>
      <c r="E34" s="96" t="s">
        <v>431</v>
      </c>
      <c r="F34" s="93">
        <v>1.0</v>
      </c>
      <c r="G34" s="93">
        <v>5.0</v>
      </c>
      <c r="H34" s="93">
        <v>3.0</v>
      </c>
      <c r="I34" s="93">
        <v>5.0</v>
      </c>
      <c r="J34" s="93">
        <v>5.0</v>
      </c>
      <c r="K34" s="93">
        <v>17.0</v>
      </c>
      <c r="L34" s="93">
        <v>5.0</v>
      </c>
      <c r="M34" s="95" t="s">
        <v>432</v>
      </c>
      <c r="N34" s="93" t="s">
        <v>361</v>
      </c>
      <c r="O34" s="93"/>
      <c r="P34" s="93"/>
      <c r="Q34" s="93"/>
      <c r="R34" s="93"/>
      <c r="S34" s="93"/>
      <c r="T34" s="93"/>
      <c r="U34" s="93"/>
      <c r="V34" s="93"/>
      <c r="W34" s="93"/>
      <c r="X34" s="93"/>
      <c r="Y34" s="93"/>
      <c r="Z34" s="93"/>
    </row>
    <row r="35" ht="14.25" customHeight="1">
      <c r="A35" s="97" t="s">
        <v>244</v>
      </c>
      <c r="B35" s="97">
        <v>2015.0</v>
      </c>
      <c r="C35" s="97" t="s">
        <v>245</v>
      </c>
      <c r="D35" s="97" t="s">
        <v>358</v>
      </c>
      <c r="E35" s="96" t="s">
        <v>433</v>
      </c>
      <c r="F35" s="97">
        <v>0.0</v>
      </c>
      <c r="G35" s="97">
        <v>0.0</v>
      </c>
      <c r="H35" s="97">
        <v>0.0</v>
      </c>
      <c r="I35" s="97">
        <v>0.0</v>
      </c>
      <c r="J35" s="97">
        <v>0.0</v>
      </c>
      <c r="K35" s="97">
        <v>11.0</v>
      </c>
      <c r="L35" s="97">
        <v>0.0</v>
      </c>
      <c r="M35" s="97" t="s">
        <v>434</v>
      </c>
      <c r="N35" s="97" t="s">
        <v>361</v>
      </c>
      <c r="O35" s="93"/>
      <c r="P35" s="93"/>
      <c r="Q35" s="93"/>
      <c r="R35" s="93"/>
      <c r="S35" s="93"/>
      <c r="T35" s="93"/>
      <c r="U35" s="93"/>
      <c r="V35" s="93"/>
      <c r="W35" s="93"/>
      <c r="X35" s="93"/>
      <c r="Y35" s="93"/>
      <c r="Z35" s="93"/>
    </row>
    <row r="36" ht="14.25" customHeight="1">
      <c r="A36" s="93" t="s">
        <v>244</v>
      </c>
      <c r="B36" s="93">
        <v>2016.0</v>
      </c>
      <c r="C36" s="93" t="s">
        <v>435</v>
      </c>
      <c r="D36" s="93" t="s">
        <v>358</v>
      </c>
      <c r="E36" s="96" t="s">
        <v>436</v>
      </c>
      <c r="F36" s="93">
        <v>0.0</v>
      </c>
      <c r="G36" s="93">
        <v>1.0</v>
      </c>
      <c r="H36" s="93">
        <v>0.0</v>
      </c>
      <c r="I36" s="93">
        <v>0.0</v>
      </c>
      <c r="J36" s="93">
        <v>1.0</v>
      </c>
      <c r="K36" s="93">
        <v>14.0</v>
      </c>
      <c r="L36" s="93">
        <v>2.0</v>
      </c>
      <c r="M36" s="93" t="s">
        <v>437</v>
      </c>
      <c r="N36" s="93" t="s">
        <v>361</v>
      </c>
      <c r="O36" s="93"/>
      <c r="P36" s="93"/>
      <c r="Q36" s="93"/>
      <c r="R36" s="93"/>
      <c r="S36" s="93"/>
      <c r="T36" s="93"/>
      <c r="U36" s="93"/>
      <c r="V36" s="93"/>
      <c r="W36" s="93"/>
      <c r="X36" s="93"/>
      <c r="Y36" s="93"/>
      <c r="Z36" s="93"/>
    </row>
    <row r="37" ht="14.25" customHeight="1">
      <c r="A37" s="93" t="s">
        <v>244</v>
      </c>
      <c r="B37" s="93">
        <v>2017.0</v>
      </c>
      <c r="C37" s="93" t="s">
        <v>245</v>
      </c>
      <c r="D37" s="93" t="s">
        <v>358</v>
      </c>
      <c r="E37" s="96" t="s">
        <v>438</v>
      </c>
      <c r="F37" s="93">
        <v>1.0</v>
      </c>
      <c r="G37" s="93">
        <v>0.0</v>
      </c>
      <c r="H37" s="93">
        <v>0.0</v>
      </c>
      <c r="I37" s="93">
        <v>0.0</v>
      </c>
      <c r="J37" s="93">
        <v>1.0</v>
      </c>
      <c r="K37" s="93">
        <v>19.0</v>
      </c>
      <c r="L37" s="93">
        <v>1.0</v>
      </c>
      <c r="M37" s="93" t="s">
        <v>439</v>
      </c>
      <c r="N37" s="93" t="s">
        <v>361</v>
      </c>
      <c r="O37" s="93"/>
      <c r="P37" s="93"/>
      <c r="Q37" s="93"/>
      <c r="R37" s="93"/>
      <c r="S37" s="93"/>
      <c r="T37" s="93"/>
      <c r="U37" s="93"/>
      <c r="V37" s="93"/>
      <c r="W37" s="93"/>
      <c r="X37" s="93"/>
      <c r="Y37" s="93"/>
      <c r="Z37" s="93"/>
    </row>
    <row r="38" ht="14.25" customHeight="1">
      <c r="A38" s="93" t="s">
        <v>244</v>
      </c>
      <c r="B38" s="93">
        <v>2018.0</v>
      </c>
      <c r="C38" s="93" t="s">
        <v>256</v>
      </c>
      <c r="D38" s="93" t="s">
        <v>358</v>
      </c>
      <c r="E38" s="96" t="s">
        <v>440</v>
      </c>
      <c r="F38" s="93">
        <v>0.0</v>
      </c>
      <c r="G38" s="93">
        <v>0.0</v>
      </c>
      <c r="H38" s="93">
        <v>1.0</v>
      </c>
      <c r="I38" s="93">
        <v>1.0</v>
      </c>
      <c r="J38" s="93">
        <v>0.0</v>
      </c>
      <c r="K38" s="93">
        <v>8.0</v>
      </c>
      <c r="L38" s="93">
        <v>1.0</v>
      </c>
      <c r="M38" s="95" t="s">
        <v>441</v>
      </c>
      <c r="N38" s="93" t="s">
        <v>361</v>
      </c>
      <c r="O38" s="93"/>
      <c r="P38" s="93"/>
      <c r="Q38" s="93"/>
      <c r="R38" s="93"/>
      <c r="S38" s="93"/>
      <c r="T38" s="93"/>
      <c r="U38" s="93"/>
      <c r="V38" s="93"/>
      <c r="W38" s="93"/>
      <c r="X38" s="93"/>
      <c r="Y38" s="93"/>
      <c r="Z38" s="93"/>
    </row>
    <row r="39" ht="14.25" customHeight="1">
      <c r="A39" s="93" t="s">
        <v>244</v>
      </c>
      <c r="B39" s="93">
        <v>2019.0</v>
      </c>
      <c r="C39" s="93" t="s">
        <v>256</v>
      </c>
      <c r="D39" s="93" t="s">
        <v>358</v>
      </c>
      <c r="E39" s="96" t="s">
        <v>442</v>
      </c>
      <c r="F39" s="93">
        <v>0.0</v>
      </c>
      <c r="G39" s="93">
        <v>0.0</v>
      </c>
      <c r="H39" s="93">
        <v>0.0</v>
      </c>
      <c r="I39" s="93">
        <v>6.0</v>
      </c>
      <c r="J39" s="93">
        <v>1.0</v>
      </c>
      <c r="K39" s="93">
        <v>14.0</v>
      </c>
      <c r="L39" s="93">
        <v>2.0</v>
      </c>
      <c r="M39" s="93" t="s">
        <v>443</v>
      </c>
      <c r="N39" s="93" t="s">
        <v>361</v>
      </c>
      <c r="O39" s="93"/>
      <c r="P39" s="93"/>
      <c r="Q39" s="93"/>
      <c r="R39" s="93"/>
      <c r="S39" s="93"/>
      <c r="T39" s="93"/>
      <c r="U39" s="93"/>
      <c r="V39" s="93"/>
      <c r="W39" s="93"/>
      <c r="X39" s="93"/>
      <c r="Y39" s="93"/>
      <c r="Z39" s="93"/>
    </row>
    <row r="40" ht="14.25" customHeight="1">
      <c r="A40" s="93" t="s">
        <v>244</v>
      </c>
      <c r="B40" s="93">
        <v>2020.0</v>
      </c>
      <c r="C40" s="93" t="s">
        <v>256</v>
      </c>
      <c r="D40" s="93" t="s">
        <v>358</v>
      </c>
      <c r="E40" s="96" t="s">
        <v>444</v>
      </c>
      <c r="F40" s="93">
        <v>0.0</v>
      </c>
      <c r="G40" s="93">
        <v>0.0</v>
      </c>
      <c r="H40" s="93">
        <v>0.0</v>
      </c>
      <c r="I40" s="93">
        <v>1.0</v>
      </c>
      <c r="J40" s="93">
        <v>0.0</v>
      </c>
      <c r="K40" s="93">
        <v>16.0</v>
      </c>
      <c r="L40" s="93">
        <v>2.0</v>
      </c>
      <c r="M40" s="95" t="s">
        <v>445</v>
      </c>
      <c r="N40" s="93" t="s">
        <v>361</v>
      </c>
      <c r="O40" s="93"/>
      <c r="P40" s="93"/>
      <c r="Q40" s="93"/>
      <c r="R40" s="93"/>
      <c r="S40" s="93"/>
      <c r="T40" s="93"/>
      <c r="U40" s="93"/>
      <c r="V40" s="93"/>
      <c r="W40" s="93"/>
      <c r="X40" s="93"/>
      <c r="Y40" s="93"/>
      <c r="Z40" s="93"/>
    </row>
    <row r="41" ht="14.25" customHeight="1">
      <c r="A41" s="93" t="s">
        <v>244</v>
      </c>
      <c r="B41" s="93">
        <v>2021.0</v>
      </c>
      <c r="C41" s="93" t="s">
        <v>256</v>
      </c>
      <c r="D41" s="93" t="s">
        <v>358</v>
      </c>
      <c r="E41" s="96" t="s">
        <v>446</v>
      </c>
      <c r="F41" s="93">
        <v>0.0</v>
      </c>
      <c r="G41" s="93">
        <v>2.0</v>
      </c>
      <c r="H41" s="93">
        <v>0.0</v>
      </c>
      <c r="I41" s="93">
        <v>0.0</v>
      </c>
      <c r="J41" s="93">
        <v>0.0</v>
      </c>
      <c r="K41" s="93">
        <v>4.0</v>
      </c>
      <c r="L41" s="93">
        <v>1.0</v>
      </c>
      <c r="M41" s="95" t="s">
        <v>447</v>
      </c>
      <c r="N41" s="93" t="s">
        <v>361</v>
      </c>
      <c r="O41" s="93"/>
      <c r="P41" s="93"/>
      <c r="Q41" s="93"/>
      <c r="R41" s="93"/>
      <c r="S41" s="93"/>
      <c r="T41" s="93"/>
      <c r="U41" s="93"/>
      <c r="V41" s="93"/>
      <c r="W41" s="93"/>
      <c r="X41" s="93"/>
      <c r="Y41" s="93"/>
      <c r="Z41" s="93"/>
    </row>
    <row r="42" ht="14.25" customHeight="1">
      <c r="A42" s="93" t="s">
        <v>244</v>
      </c>
      <c r="B42" s="93">
        <v>2022.0</v>
      </c>
      <c r="C42" s="93" t="s">
        <v>256</v>
      </c>
      <c r="D42" s="93" t="s">
        <v>358</v>
      </c>
      <c r="E42" s="96" t="s">
        <v>448</v>
      </c>
      <c r="F42" s="93">
        <v>0.0</v>
      </c>
      <c r="G42" s="93">
        <v>0.0</v>
      </c>
      <c r="H42" s="93">
        <v>1.0</v>
      </c>
      <c r="I42" s="93">
        <v>1.0</v>
      </c>
      <c r="J42" s="93">
        <v>0.0</v>
      </c>
      <c r="K42" s="93">
        <v>8.0</v>
      </c>
      <c r="L42" s="93">
        <v>1.0</v>
      </c>
      <c r="M42" s="93" t="s">
        <v>441</v>
      </c>
      <c r="N42" s="93" t="s">
        <v>361</v>
      </c>
      <c r="O42" s="93"/>
      <c r="P42" s="93"/>
      <c r="Q42" s="93"/>
      <c r="R42" s="93"/>
      <c r="S42" s="93"/>
      <c r="T42" s="93"/>
      <c r="U42" s="93"/>
      <c r="V42" s="93"/>
      <c r="W42" s="93"/>
      <c r="X42" s="93"/>
      <c r="Y42" s="93"/>
      <c r="Z42" s="93"/>
    </row>
    <row r="43" ht="14.25" customHeight="1">
      <c r="A43" s="93" t="s">
        <v>244</v>
      </c>
      <c r="B43" s="93">
        <v>2023.0</v>
      </c>
      <c r="C43" s="93" t="s">
        <v>449</v>
      </c>
      <c r="D43" s="93" t="s">
        <v>358</v>
      </c>
      <c r="E43" s="96" t="s">
        <v>450</v>
      </c>
      <c r="F43" s="93">
        <v>0.0</v>
      </c>
      <c r="G43" s="93">
        <v>0.0</v>
      </c>
      <c r="H43" s="93">
        <v>0.0</v>
      </c>
      <c r="I43" s="93">
        <v>5.0</v>
      </c>
      <c r="J43" s="93">
        <v>0.0</v>
      </c>
      <c r="K43" s="93">
        <v>31.0</v>
      </c>
      <c r="L43" s="93">
        <v>3.0</v>
      </c>
      <c r="M43" s="95" t="s">
        <v>451</v>
      </c>
      <c r="N43" s="93" t="s">
        <v>361</v>
      </c>
      <c r="O43" s="93"/>
      <c r="P43" s="93"/>
      <c r="Q43" s="93"/>
      <c r="R43" s="93"/>
      <c r="S43" s="93"/>
      <c r="T43" s="93"/>
      <c r="U43" s="93"/>
      <c r="V43" s="93"/>
      <c r="W43" s="93"/>
      <c r="X43" s="93"/>
      <c r="Y43" s="93"/>
      <c r="Z43" s="93"/>
    </row>
    <row r="44" ht="14.25" customHeight="1">
      <c r="A44" s="93" t="s">
        <v>244</v>
      </c>
      <c r="B44" s="93">
        <v>2024.0</v>
      </c>
      <c r="C44" s="93" t="s">
        <v>256</v>
      </c>
      <c r="D44" s="93" t="s">
        <v>358</v>
      </c>
      <c r="E44" s="96" t="s">
        <v>452</v>
      </c>
      <c r="F44" s="93">
        <v>0.0</v>
      </c>
      <c r="G44" s="93">
        <v>0.0</v>
      </c>
      <c r="H44" s="93">
        <v>0.0</v>
      </c>
      <c r="I44" s="93">
        <v>1.0</v>
      </c>
      <c r="J44" s="93">
        <v>0.0</v>
      </c>
      <c r="K44" s="93">
        <v>19.0</v>
      </c>
      <c r="L44" s="93">
        <v>0.0</v>
      </c>
      <c r="M44" s="95" t="s">
        <v>453</v>
      </c>
      <c r="N44" s="93" t="s">
        <v>361</v>
      </c>
      <c r="O44" s="93"/>
      <c r="P44" s="93"/>
      <c r="Q44" s="93"/>
      <c r="R44" s="93"/>
      <c r="S44" s="93"/>
      <c r="T44" s="93"/>
      <c r="U44" s="93"/>
      <c r="V44" s="93"/>
      <c r="W44" s="93"/>
      <c r="X44" s="93"/>
      <c r="Y44" s="93"/>
      <c r="Z44" s="93"/>
    </row>
    <row r="45" ht="14.25" customHeight="1">
      <c r="A45" s="93" t="s">
        <v>244</v>
      </c>
      <c r="B45" s="93">
        <v>2025.0</v>
      </c>
      <c r="C45" s="93" t="s">
        <v>256</v>
      </c>
      <c r="D45" s="93" t="s">
        <v>358</v>
      </c>
      <c r="E45" s="96" t="s">
        <v>454</v>
      </c>
      <c r="F45" s="93">
        <v>0.0</v>
      </c>
      <c r="G45" s="93">
        <v>1.0</v>
      </c>
      <c r="H45" s="93">
        <v>1.0</v>
      </c>
      <c r="I45" s="93">
        <v>6.0</v>
      </c>
      <c r="J45" s="93">
        <v>0.0</v>
      </c>
      <c r="K45" s="93">
        <v>28.0</v>
      </c>
      <c r="L45" s="93">
        <v>0.0</v>
      </c>
      <c r="M45" s="93" t="s">
        <v>455</v>
      </c>
      <c r="N45" s="93" t="s">
        <v>361</v>
      </c>
      <c r="O45" s="93"/>
      <c r="P45" s="93"/>
      <c r="Q45" s="93"/>
      <c r="R45" s="93"/>
      <c r="S45" s="93"/>
      <c r="T45" s="93"/>
      <c r="U45" s="93"/>
      <c r="V45" s="93"/>
      <c r="W45" s="93"/>
      <c r="X45" s="93"/>
      <c r="Y45" s="93"/>
      <c r="Z45" s="93"/>
    </row>
    <row r="46" ht="14.25" customHeight="1">
      <c r="A46" s="97" t="s">
        <v>294</v>
      </c>
      <c r="B46" s="97">
        <v>2015.0</v>
      </c>
      <c r="C46" s="97" t="s">
        <v>456</v>
      </c>
      <c r="D46" s="97" t="s">
        <v>358</v>
      </c>
      <c r="E46" s="96" t="s">
        <v>457</v>
      </c>
      <c r="F46" s="97">
        <v>1.0</v>
      </c>
      <c r="G46" s="97">
        <v>4.0</v>
      </c>
      <c r="H46" s="97">
        <v>5.0</v>
      </c>
      <c r="I46" s="97">
        <v>2.0</v>
      </c>
      <c r="J46" s="97">
        <v>0.0</v>
      </c>
      <c r="K46" s="97">
        <v>31.0</v>
      </c>
      <c r="L46" s="97">
        <v>0.0</v>
      </c>
      <c r="M46" s="97" t="s">
        <v>458</v>
      </c>
      <c r="N46" s="97" t="s">
        <v>361</v>
      </c>
      <c r="O46" s="93"/>
      <c r="P46" s="93"/>
      <c r="Q46" s="93"/>
      <c r="R46" s="93"/>
      <c r="S46" s="93"/>
      <c r="T46" s="93"/>
      <c r="U46" s="93"/>
      <c r="V46" s="93"/>
      <c r="W46" s="93"/>
      <c r="X46" s="93"/>
      <c r="Y46" s="93"/>
      <c r="Z46" s="93"/>
    </row>
    <row r="47" ht="14.25" customHeight="1">
      <c r="A47" s="93" t="s">
        <v>294</v>
      </c>
      <c r="B47" s="93">
        <v>2016.0</v>
      </c>
      <c r="C47" s="93" t="s">
        <v>456</v>
      </c>
      <c r="D47" s="93" t="s">
        <v>358</v>
      </c>
      <c r="E47" s="96" t="s">
        <v>459</v>
      </c>
      <c r="F47" s="93">
        <v>0.0</v>
      </c>
      <c r="G47" s="93">
        <v>1.0</v>
      </c>
      <c r="H47" s="93">
        <v>1.0</v>
      </c>
      <c r="I47" s="93">
        <v>2.0</v>
      </c>
      <c r="J47" s="93">
        <v>0.0</v>
      </c>
      <c r="K47" s="93">
        <v>23.0</v>
      </c>
      <c r="L47" s="93">
        <v>3.0</v>
      </c>
      <c r="M47" s="93" t="s">
        <v>460</v>
      </c>
      <c r="N47" s="93" t="s">
        <v>361</v>
      </c>
      <c r="O47" s="93"/>
      <c r="P47" s="93"/>
      <c r="Q47" s="93"/>
      <c r="R47" s="93"/>
      <c r="S47" s="93"/>
      <c r="T47" s="93"/>
      <c r="U47" s="93"/>
      <c r="V47" s="93"/>
      <c r="W47" s="93"/>
      <c r="X47" s="93"/>
      <c r="Y47" s="93"/>
      <c r="Z47" s="93"/>
    </row>
    <row r="48" ht="14.25" customHeight="1">
      <c r="A48" s="93" t="s">
        <v>294</v>
      </c>
      <c r="B48" s="93">
        <v>2017.0</v>
      </c>
      <c r="C48" s="93" t="s">
        <v>306</v>
      </c>
      <c r="D48" s="93" t="s">
        <v>358</v>
      </c>
      <c r="E48" s="96" t="s">
        <v>461</v>
      </c>
      <c r="F48" s="93">
        <v>1.0</v>
      </c>
      <c r="G48" s="93">
        <v>1.0</v>
      </c>
      <c r="H48" s="93">
        <v>4.0</v>
      </c>
      <c r="I48" s="93">
        <v>7.0</v>
      </c>
      <c r="J48" s="93">
        <v>1.0</v>
      </c>
      <c r="K48" s="93">
        <v>15.0</v>
      </c>
      <c r="L48" s="93">
        <v>3.0</v>
      </c>
      <c r="M48" s="93" t="s">
        <v>462</v>
      </c>
      <c r="N48" s="93" t="s">
        <v>361</v>
      </c>
      <c r="O48" s="93"/>
      <c r="P48" s="93"/>
      <c r="Q48" s="93"/>
      <c r="R48" s="93"/>
      <c r="S48" s="93"/>
      <c r="T48" s="93"/>
      <c r="U48" s="93"/>
      <c r="V48" s="93"/>
      <c r="W48" s="93"/>
      <c r="X48" s="93"/>
      <c r="Y48" s="93"/>
      <c r="Z48" s="93"/>
    </row>
    <row r="49" ht="14.25" customHeight="1">
      <c r="A49" s="93" t="s">
        <v>294</v>
      </c>
      <c r="B49" s="93">
        <v>2018.0</v>
      </c>
      <c r="C49" s="93" t="s">
        <v>312</v>
      </c>
      <c r="D49" s="93" t="s">
        <v>358</v>
      </c>
      <c r="E49" s="96" t="s">
        <v>463</v>
      </c>
      <c r="F49" s="93">
        <v>0.0</v>
      </c>
      <c r="G49" s="93">
        <v>0.0</v>
      </c>
      <c r="H49" s="93">
        <v>1.0</v>
      </c>
      <c r="I49" s="93">
        <v>0.0</v>
      </c>
      <c r="J49" s="93">
        <v>0.0</v>
      </c>
      <c r="K49" s="93">
        <v>14.0</v>
      </c>
      <c r="L49" s="93">
        <v>0.0</v>
      </c>
      <c r="M49" s="95" t="s">
        <v>464</v>
      </c>
      <c r="N49" s="93" t="s">
        <v>361</v>
      </c>
      <c r="O49" s="93"/>
      <c r="P49" s="93"/>
      <c r="Q49" s="93"/>
      <c r="R49" s="93"/>
      <c r="S49" s="93"/>
      <c r="T49" s="93"/>
      <c r="U49" s="93"/>
      <c r="V49" s="93"/>
      <c r="W49" s="93"/>
      <c r="X49" s="93"/>
      <c r="Y49" s="93"/>
      <c r="Z49" s="93"/>
    </row>
    <row r="50" ht="14.25" customHeight="1">
      <c r="A50" s="93" t="s">
        <v>294</v>
      </c>
      <c r="B50" s="93">
        <v>2019.0</v>
      </c>
      <c r="C50" s="93" t="s">
        <v>465</v>
      </c>
      <c r="D50" s="93" t="s">
        <v>358</v>
      </c>
      <c r="E50" s="96" t="s">
        <v>466</v>
      </c>
      <c r="F50" s="93">
        <v>0.0</v>
      </c>
      <c r="G50" s="93">
        <v>1.0</v>
      </c>
      <c r="H50" s="93">
        <v>7.0</v>
      </c>
      <c r="I50" s="93">
        <v>2.0</v>
      </c>
      <c r="J50" s="93">
        <v>0.0</v>
      </c>
      <c r="K50" s="93">
        <v>31.0</v>
      </c>
      <c r="L50" s="93">
        <v>1.0</v>
      </c>
      <c r="M50" s="93" t="s">
        <v>467</v>
      </c>
      <c r="N50" s="93" t="s">
        <v>361</v>
      </c>
      <c r="O50" s="93"/>
      <c r="P50" s="93"/>
      <c r="Q50" s="93"/>
      <c r="R50" s="93"/>
      <c r="S50" s="93"/>
      <c r="T50" s="93"/>
      <c r="U50" s="93"/>
      <c r="V50" s="93"/>
      <c r="W50" s="93"/>
      <c r="X50" s="93"/>
      <c r="Y50" s="93"/>
      <c r="Z50" s="93"/>
    </row>
    <row r="51" ht="14.25" customHeight="1">
      <c r="A51" s="93" t="s">
        <v>294</v>
      </c>
      <c r="B51" s="93">
        <v>2020.0</v>
      </c>
      <c r="C51" s="93" t="s">
        <v>312</v>
      </c>
      <c r="D51" s="93" t="s">
        <v>358</v>
      </c>
      <c r="E51" s="96" t="s">
        <v>468</v>
      </c>
      <c r="F51" s="93">
        <v>0.0</v>
      </c>
      <c r="G51" s="93">
        <v>0.0</v>
      </c>
      <c r="H51" s="93">
        <v>0.0</v>
      </c>
      <c r="I51" s="93">
        <v>0.0</v>
      </c>
      <c r="J51" s="93">
        <v>0.0</v>
      </c>
      <c r="K51" s="93">
        <v>13.0</v>
      </c>
      <c r="L51" s="93">
        <v>0.0</v>
      </c>
      <c r="M51" s="93" t="s">
        <v>469</v>
      </c>
      <c r="N51" s="93" t="s">
        <v>361</v>
      </c>
      <c r="O51" s="93"/>
      <c r="P51" s="93"/>
      <c r="Q51" s="93"/>
      <c r="R51" s="93"/>
      <c r="S51" s="93"/>
      <c r="T51" s="93"/>
      <c r="U51" s="93"/>
      <c r="V51" s="93"/>
      <c r="W51" s="93"/>
      <c r="X51" s="93"/>
      <c r="Y51" s="93"/>
      <c r="Z51" s="93"/>
    </row>
    <row r="52" ht="14.25" customHeight="1">
      <c r="A52" s="93" t="s">
        <v>294</v>
      </c>
      <c r="B52" s="93">
        <v>2021.0</v>
      </c>
      <c r="C52" s="93" t="s">
        <v>328</v>
      </c>
      <c r="D52" s="93" t="s">
        <v>358</v>
      </c>
      <c r="E52" s="96" t="s">
        <v>470</v>
      </c>
      <c r="F52" s="93">
        <v>2.0</v>
      </c>
      <c r="G52" s="93">
        <v>4.0</v>
      </c>
      <c r="H52" s="93">
        <v>3.0</v>
      </c>
      <c r="I52" s="93">
        <v>1.0</v>
      </c>
      <c r="J52" s="93">
        <v>1.0</v>
      </c>
      <c r="K52" s="93">
        <v>22.0</v>
      </c>
      <c r="L52" s="93">
        <v>1.0</v>
      </c>
      <c r="M52" s="93" t="s">
        <v>471</v>
      </c>
      <c r="N52" s="93" t="s">
        <v>361</v>
      </c>
      <c r="O52" s="93"/>
      <c r="P52" s="93"/>
      <c r="Q52" s="93"/>
      <c r="R52" s="93"/>
      <c r="S52" s="93"/>
      <c r="T52" s="93"/>
      <c r="U52" s="93"/>
      <c r="V52" s="93"/>
      <c r="W52" s="93"/>
      <c r="X52" s="93"/>
      <c r="Y52" s="93"/>
      <c r="Z52" s="93"/>
    </row>
    <row r="53" ht="14.25" customHeight="1">
      <c r="A53" s="93" t="s">
        <v>294</v>
      </c>
      <c r="B53" s="93">
        <v>2022.0</v>
      </c>
      <c r="C53" s="93" t="s">
        <v>328</v>
      </c>
      <c r="D53" s="93" t="s">
        <v>358</v>
      </c>
      <c r="E53" s="96" t="s">
        <v>472</v>
      </c>
      <c r="F53" s="93">
        <v>1.0</v>
      </c>
      <c r="G53" s="93">
        <v>1.0</v>
      </c>
      <c r="H53" s="93">
        <v>0.0</v>
      </c>
      <c r="I53" s="93">
        <v>1.0</v>
      </c>
      <c r="J53" s="93">
        <v>3.0</v>
      </c>
      <c r="K53" s="93">
        <v>24.0</v>
      </c>
      <c r="L53" s="93">
        <v>1.0</v>
      </c>
      <c r="M53" s="93" t="s">
        <v>473</v>
      </c>
      <c r="N53" s="93" t="s">
        <v>361</v>
      </c>
      <c r="O53" s="93"/>
      <c r="P53" s="93"/>
      <c r="Q53" s="93"/>
      <c r="R53" s="93"/>
      <c r="S53" s="93"/>
      <c r="T53" s="93"/>
      <c r="U53" s="93"/>
      <c r="V53" s="93"/>
      <c r="W53" s="93"/>
      <c r="X53" s="93"/>
      <c r="Y53" s="93"/>
      <c r="Z53" s="93"/>
    </row>
    <row r="54" ht="14.25" customHeight="1">
      <c r="A54" s="93" t="s">
        <v>294</v>
      </c>
      <c r="B54" s="93">
        <v>2023.0</v>
      </c>
      <c r="C54" s="93" t="s">
        <v>328</v>
      </c>
      <c r="D54" s="93" t="s">
        <v>358</v>
      </c>
      <c r="E54" s="96" t="s">
        <v>474</v>
      </c>
      <c r="F54" s="93">
        <v>0.0</v>
      </c>
      <c r="G54" s="93">
        <v>0.0</v>
      </c>
      <c r="H54" s="93">
        <v>0.0</v>
      </c>
      <c r="I54" s="93">
        <v>2.0</v>
      </c>
      <c r="J54" s="93">
        <v>1.0</v>
      </c>
      <c r="K54" s="93">
        <v>19.0</v>
      </c>
      <c r="L54" s="93">
        <v>0.0</v>
      </c>
      <c r="M54" s="93" t="s">
        <v>475</v>
      </c>
      <c r="N54" s="93" t="s">
        <v>361</v>
      </c>
      <c r="O54" s="93"/>
      <c r="P54" s="93"/>
      <c r="Q54" s="93"/>
      <c r="R54" s="93"/>
      <c r="S54" s="93"/>
      <c r="T54" s="93"/>
      <c r="U54" s="93"/>
      <c r="V54" s="93"/>
      <c r="W54" s="93"/>
      <c r="X54" s="93"/>
      <c r="Y54" s="93"/>
      <c r="Z54" s="93"/>
    </row>
    <row r="55" ht="14.25" customHeight="1">
      <c r="A55" s="93" t="s">
        <v>294</v>
      </c>
      <c r="B55" s="93">
        <v>2024.0</v>
      </c>
      <c r="C55" s="93" t="s">
        <v>328</v>
      </c>
      <c r="D55" s="93" t="s">
        <v>358</v>
      </c>
      <c r="E55" s="96" t="s">
        <v>476</v>
      </c>
      <c r="F55" s="93">
        <v>0.0</v>
      </c>
      <c r="G55" s="93">
        <v>0.0</v>
      </c>
      <c r="H55" s="93">
        <v>3.0</v>
      </c>
      <c r="I55" s="93">
        <v>1.0</v>
      </c>
      <c r="J55" s="93">
        <v>0.0</v>
      </c>
      <c r="K55" s="93">
        <v>15.0</v>
      </c>
      <c r="L55" s="93">
        <v>5.0</v>
      </c>
      <c r="M55" s="95" t="s">
        <v>477</v>
      </c>
      <c r="N55" s="93" t="s">
        <v>361</v>
      </c>
      <c r="O55" s="93"/>
      <c r="P55" s="93"/>
      <c r="Q55" s="93"/>
      <c r="R55" s="93"/>
      <c r="S55" s="93"/>
      <c r="T55" s="93"/>
      <c r="U55" s="93"/>
      <c r="V55" s="93"/>
      <c r="W55" s="93"/>
      <c r="X55" s="93"/>
      <c r="Y55" s="93"/>
      <c r="Z55" s="93"/>
    </row>
    <row r="56" ht="14.25" customHeight="1">
      <c r="A56" s="93" t="s">
        <v>294</v>
      </c>
      <c r="B56" s="93">
        <v>2025.0</v>
      </c>
      <c r="C56" s="93" t="s">
        <v>328</v>
      </c>
      <c r="D56" s="93" t="s">
        <v>358</v>
      </c>
      <c r="E56" s="96" t="s">
        <v>478</v>
      </c>
      <c r="F56" s="93">
        <v>2.0</v>
      </c>
      <c r="G56" s="93">
        <v>0.0</v>
      </c>
      <c r="H56" s="93">
        <v>1.0</v>
      </c>
      <c r="I56" s="93">
        <v>6.0</v>
      </c>
      <c r="J56" s="93">
        <v>0.0</v>
      </c>
      <c r="K56" s="93">
        <v>30.0</v>
      </c>
      <c r="L56" s="93">
        <v>3.0</v>
      </c>
      <c r="M56" s="95" t="s">
        <v>479</v>
      </c>
      <c r="N56" s="93" t="s">
        <v>361</v>
      </c>
      <c r="O56" s="93"/>
      <c r="P56" s="93"/>
      <c r="Q56" s="93"/>
      <c r="R56" s="93"/>
      <c r="S56" s="93"/>
      <c r="T56" s="93"/>
      <c r="U56" s="93"/>
      <c r="V56" s="93"/>
      <c r="W56" s="93"/>
      <c r="X56" s="93"/>
      <c r="Y56" s="93"/>
      <c r="Z56" s="93"/>
    </row>
    <row r="57" ht="14.2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14.2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14.2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14.2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14.2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14.2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14.2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14.2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14.2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14.2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14.2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14.2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14.2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14.2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14.2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14.2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14.2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14.2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14.2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14.2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14.2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14.2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14.2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14.2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14.2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14.2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14.2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14.2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14.2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14.2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14.2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14.2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14.2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14.2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14.2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14.2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14.2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4.2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4.2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4.2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4.2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4.2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4.2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4.2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4.2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4.2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4.2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4.2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4.2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4.2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4.2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4.2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4.2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4.2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4.2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4.2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4.2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4.2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4.2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4.2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4.2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4.2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4.2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4.2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4.2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4.2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4.2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4.2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4.2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4.2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4.2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4.2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4.2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4.2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4.2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4.2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4.2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4.2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4.2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4.2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4.2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4.2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4.2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4.2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4.2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4.2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4.2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4.2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4.2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4.2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4.2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4.2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4.2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4.2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4.2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4.2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4.2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4.2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4.2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4.2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4.2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4.2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4.2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4.2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4.2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4.2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4.2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4.2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4.2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4.2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4.2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4.2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4.2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4.2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4.2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4.2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4.2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4.2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4.2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4.2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4.2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4.2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4.2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4.2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4.2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4.2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4.2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4.2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4.2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4.2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4.2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4.2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4.2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4.2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4.2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4.2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4.2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4.2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4.2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4.2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4.2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4.2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4.2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4.2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4.2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4.2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4.2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4.2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4.2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4.2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4.2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4.2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4.2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4.2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4.2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4.2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4.2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4.2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4.2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4.2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4.2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4.2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4.2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4.2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4.2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4.2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4.2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4.2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4.2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4.2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4.2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4.2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4.2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4.2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4.2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4.2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4.2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4.2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4.2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4.2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4.2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4.2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4.2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4.2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4.2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4.2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4.2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4.2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4.2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4.2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4.2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4.2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4.2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4.2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4.2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4.2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4.2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4.2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4.2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4.2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4.2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4.2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4.2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4.2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4.2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4.2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4.2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4.2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4.2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4.2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4.2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4.2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4.2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4.2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4.2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4.2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4.2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4.2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4.2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4.2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4.2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4.2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4.2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4.2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4.2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4.2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4.2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4.2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4.2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4.2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4.2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4.2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4.2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4.2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4.2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4.2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4.2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4.2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4.2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4.2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4.2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4.2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4.2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4.2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4.2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4.2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4.2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4.2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4.2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4.2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4.2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4.2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4.2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4.2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4.2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4.2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4.2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4.2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4.2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4.2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4.2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4.2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4.2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4.2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4.2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4.2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4.2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4.2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4.2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4.2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4.2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4.2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4.2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4.2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4.2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4.2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4.2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4.2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4.2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4.2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4.2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4.2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4.2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4.2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4.2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4.2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4.2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4.2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4.2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4.2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4.2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4.2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4.2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4.2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4.2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4.2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4.2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4.2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4.2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4.2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4.2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4.2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4.2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4.2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4.2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4.2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4.2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4.2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4.2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4.2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4.2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4.2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4.2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4.2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4.2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4.2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4.2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4.2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4.2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4.2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4.2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4.2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4.2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4.2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4.2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4.2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4.2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4.2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4.2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4.2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4.2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4.2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4.2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4.2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4.2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4.2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4.2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4.2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4.2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4.2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4.2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4.2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4.2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4.2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4.2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4.2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4.2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4.2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4.2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4.2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4.2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4.2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4.2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4.2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4.2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4.2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4.2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4.2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4.2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4.2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4.2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4.2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4.2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4.2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4.2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4.2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4.2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4.2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4.2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4.2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4.2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4.2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4.2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4.2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4.2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4.2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4.2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4.2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4.2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4.2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4.2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4.2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4.2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4.2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4.2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4.2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4.2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4.2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4.2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4.2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4.2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4.2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4.2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4.2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4.2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4.2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4.2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4.2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4.2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4.2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4.2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4.2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4.2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4.2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4.2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4.2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4.2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4.2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4.2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4.2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4.2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4.2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4.2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4.2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4.2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4.2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4.2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4.2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4.2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4.2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4.2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4.2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4.2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4.2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4.2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4.2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4.2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4.2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4.2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4.2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4.2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4.2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4.2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4.2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4.2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4.2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4.2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4.2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4.2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4.2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4.2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4.2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4.2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4.2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4.2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4.2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4.2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4.2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4.2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4.2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4.2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4.2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4.2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4.2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4.2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4.2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4.2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4.2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4.2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4.2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4.2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4.2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4.2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4.2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4.2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4.2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4.2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4.2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4.2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4.2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4.2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4.2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4.2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4.2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4.2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4.2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4.2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4.2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4.2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4.2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4.2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4.2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4.2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4.2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4.2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4.2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4.2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4.2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4.2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4.2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4.2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4.2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4.2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4.2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4.2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4.2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4.2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4.2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4.2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4.2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4.2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4.2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4.2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4.2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4.2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4.2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4.2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4.2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4.2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4.2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4.2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4.2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4.2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4.2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4.2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4.2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4.2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4.2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4.2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4.2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4.2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4.2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4.2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4.2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4.2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4.2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4.2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4.2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4.2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4.2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4.2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4.2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4.2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4.2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4.2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4.2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4.2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4.2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4.2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4.2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4.2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4.2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4.2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4.2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4.2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4.2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4.2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4.2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4.2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4.2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4.2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4.2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4.2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4.2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4.2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4.2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4.2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4.2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4.2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4.2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4.2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4.2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4.2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4.2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4.2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4.2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4.2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4.2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4.2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4.2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4.2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4.2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4.2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4.2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4.2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4.2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4.2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4.2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4.2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4.2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4.2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4.2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4.2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4.2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4.2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4.2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4.2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4.2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4.2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4.2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4.2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4.2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4.2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4.2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4.2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4.2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4.2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4.2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4.2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4.2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4.2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4.2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4.2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4.2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4.2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4.2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4.2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4.2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4.2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4.2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4.2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4.2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4.2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4.2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4.2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4.2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4.2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4.2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4.2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4.2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4.2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4.2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4.2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4.2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4.2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4.2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4.2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4.2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4.2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4.2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4.2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4.2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4.2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4.2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4.2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4.2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4.2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4.2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4.2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4.2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4.2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4.2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4.2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4.2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4.2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4.2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4.2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4.2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4.2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4.2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4.2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4.2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4.2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4.2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4.2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4.2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4.2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4.2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4.2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4.2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4.2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4.2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4.2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4.2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4.2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4.2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4.2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4.2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4.2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4.2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4.2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4.2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4.2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4.2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4.2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4.2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4.2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4.2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4.2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4.2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4.2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4.2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4.2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4.2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4.2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4.2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4.2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4.2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4.2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4.2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4.2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4.2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4.2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4.2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4.2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4.2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4.2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4.2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4.2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4.2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4.2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4.2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4.2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4.2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4.2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4.2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4.2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4.2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4.2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4.2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4.2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4.2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4.2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4.2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4.2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4.2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4.2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4.2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4.2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4.2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4.2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4.2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4.2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4.2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4.2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4.2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4.2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4.2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4.2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4.2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4.2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4.2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4.2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4.2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4.2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4.2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4.2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4.2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4.2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4.2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4.2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4.2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4.2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4.2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4.2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4.2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4.2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4.2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4.2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4.2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4.2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4.2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4.2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4.2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4.2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4.2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4.2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4.2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4.2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4.2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4.2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4.2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4.2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4.2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4.2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4.2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4.2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4.2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4.2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4.2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4.2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4.2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4.2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4.2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4.2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4.2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4.2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4.2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4.2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4.2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4.2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4.2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4.2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4.2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4.2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4.2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4.2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4.2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4.2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4.2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4.2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4.2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4.2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4.2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4.2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4.2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4.2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4.2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4.2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4.2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4.2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4.2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4.2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4.2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4.2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4.2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4.2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4.2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4.2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4.2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4.2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4.2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4.2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4.2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4.2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4.2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4.2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4.2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4.2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4.2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4.2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4.2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4.2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4.2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4.2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4.2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4.2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4.2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4.2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4.2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4.2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4.2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4.2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4.2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4.2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4.2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4.2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4.2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4.2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4.2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4.2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4.2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4.2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4.2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4.2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4.2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4.2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4.2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4.2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4.2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4.2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4.2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4.2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4.2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4.2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4.2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4.2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4.2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4.2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4.2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4.2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4.2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4.2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4.2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4.2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4.2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4.2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4.2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4.2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4.2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4.2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4.2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4.2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4.2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4.2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4.2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4.2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4.2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4.2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4.2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4.2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4.2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4.2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4.2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4.2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4.2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4.2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4.2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4.2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4.2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4.2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4.2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4.2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4.2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4.2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4.2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4.2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4.2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4.2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4.2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4.2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4.2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4.2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4.2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4.2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4.2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4.2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4.2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4.2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4.2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4.2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4.2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4.2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4.2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4.2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4.2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4.2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4.2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4.2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4.2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4.2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4.2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4.2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4.2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4.2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4.2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4.2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4.2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4.2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4.2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4.2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4.2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4.2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4.2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4.2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4.2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4.2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4.2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4.2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4.2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4.2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4.2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4.2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4.2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A2:A56">
      <formula1>"Россия,Беларусь,Казахстан,Армения,Кыргызстан "</formula1>
    </dataValidation>
    <dataValidation type="list" allowBlank="1" showErrorMessage="1" sqref="N2:N56">
      <formula1>"Нью-Йорк,Нью-Йорк (онлайн)"</formula1>
    </dataValidation>
  </dataValidations>
  <hyperlinks>
    <hyperlink r:id="rId1" ref="M2"/>
    <hyperlink r:id="rId2" ref="M3"/>
    <hyperlink r:id="rId3" ref="M4"/>
    <hyperlink r:id="rId4" ref="M5"/>
    <hyperlink r:id="rId5" ref="M7"/>
    <hyperlink r:id="rId6" ref="M14"/>
    <hyperlink r:id="rId7" ref="M21"/>
    <hyperlink r:id="rId8" ref="M23"/>
    <hyperlink r:id="rId9" ref="M28"/>
    <hyperlink r:id="rId10" ref="M38"/>
    <hyperlink r:id="rId11" ref="M40"/>
    <hyperlink r:id="rId12" ref="M41"/>
    <hyperlink r:id="rId13" ref="M43"/>
    <hyperlink r:id="rId14" ref="M44"/>
    <hyperlink r:id="rId15" ref="M49"/>
    <hyperlink r:id="rId16" ref="M56"/>
  </hyperlinks>
  <printOptions/>
  <pageMargins bottom="0.75" footer="0.0" header="0.0" left="0.7" right="0.7" top="0.75"/>
  <pageSetup orientation="landscape"/>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8.57"/>
    <col customWidth="1" min="4" max="5" width="8.71"/>
    <col customWidth="1" min="6" max="6" width="11.14"/>
    <col customWidth="1" min="7" max="8" width="8.71"/>
    <col customWidth="1" min="9" max="9" width="24.57"/>
    <col customWidth="1" min="10" max="26" width="8.71"/>
  </cols>
  <sheetData>
    <row r="1" ht="27.0" customHeight="1"/>
    <row r="2" ht="14.25" customHeight="1">
      <c r="A2" s="86" t="s">
        <v>1</v>
      </c>
      <c r="B2" s="86" t="s">
        <v>23</v>
      </c>
      <c r="C2" s="86" t="s">
        <v>130</v>
      </c>
      <c r="D2" s="86" t="s">
        <v>192</v>
      </c>
      <c r="E2" s="86" t="s">
        <v>244</v>
      </c>
      <c r="F2" s="86" t="s">
        <v>353</v>
      </c>
      <c r="H2" s="78"/>
      <c r="I2" s="86" t="s">
        <v>480</v>
      </c>
    </row>
    <row r="3" ht="14.25" customHeight="1">
      <c r="A3" s="78">
        <v>2015.0</v>
      </c>
      <c r="B3" s="78">
        <f>'2) Глобальный уровень'!F2</f>
        <v>3</v>
      </c>
      <c r="C3" s="78">
        <f>'2) Глобальный уровень'!F13</f>
        <v>1</v>
      </c>
      <c r="D3" s="78">
        <f>'2) Глобальный уровень'!F24</f>
        <v>1</v>
      </c>
      <c r="E3" s="78">
        <f>'2) Глобальный уровень'!F35</f>
        <v>0</v>
      </c>
      <c r="F3" s="78">
        <f>'2) Глобальный уровень'!F46</f>
        <v>1</v>
      </c>
      <c r="H3" s="78" t="s">
        <v>23</v>
      </c>
      <c r="I3" s="78">
        <v>24.0</v>
      </c>
    </row>
    <row r="4" ht="14.25" customHeight="1">
      <c r="A4" s="78">
        <v>2016.0</v>
      </c>
      <c r="B4" s="78">
        <f>'2) Глобальный уровень'!F3</f>
        <v>2</v>
      </c>
      <c r="C4" s="78">
        <f>'2) Глобальный уровень'!F14</f>
        <v>0</v>
      </c>
      <c r="D4" s="78" t="str">
        <f>'2) Глобальный уровень'!F25</f>
        <v/>
      </c>
      <c r="E4" s="78">
        <f>'2) Глобальный уровень'!F36</f>
        <v>0</v>
      </c>
      <c r="F4" s="78">
        <f>'2) Глобальный уровень'!F47</f>
        <v>0</v>
      </c>
      <c r="H4" s="78" t="s">
        <v>130</v>
      </c>
      <c r="I4" s="78">
        <v>16.0</v>
      </c>
    </row>
    <row r="5" ht="14.25" customHeight="1">
      <c r="A5" s="78">
        <v>2017.0</v>
      </c>
      <c r="B5" s="78">
        <f>'2) Глобальный уровень'!F4</f>
        <v>2</v>
      </c>
      <c r="C5" s="78">
        <f>'2) Глобальный уровень'!F15</f>
        <v>1</v>
      </c>
      <c r="D5" s="78" t="str">
        <f>'2) Глобальный уровень'!F26</f>
        <v/>
      </c>
      <c r="E5" s="78">
        <f>'2) Глобальный уровень'!F37</f>
        <v>1</v>
      </c>
      <c r="F5" s="78">
        <f>'2) Глобальный уровень'!F48</f>
        <v>1</v>
      </c>
      <c r="H5" s="78" t="s">
        <v>192</v>
      </c>
      <c r="I5" s="78">
        <v>5.0</v>
      </c>
    </row>
    <row r="6" ht="14.25" customHeight="1">
      <c r="A6" s="78">
        <v>2018.0</v>
      </c>
      <c r="B6" s="78">
        <f>'2) Глобальный уровень'!F5</f>
        <v>2</v>
      </c>
      <c r="C6" s="78">
        <f>'2) Глобальный уровень'!F16</f>
        <v>3</v>
      </c>
      <c r="D6" s="78" t="str">
        <f>'2) Глобальный уровень'!F27</f>
        <v/>
      </c>
      <c r="E6" s="78">
        <f>'2) Глобальный уровень'!F38</f>
        <v>0</v>
      </c>
      <c r="F6" s="78">
        <f>'2) Глобальный уровень'!F49</f>
        <v>0</v>
      </c>
      <c r="H6" s="78" t="s">
        <v>244</v>
      </c>
      <c r="I6" s="78">
        <v>1.0</v>
      </c>
    </row>
    <row r="7" ht="14.25" customHeight="1">
      <c r="A7" s="78">
        <v>2019.0</v>
      </c>
      <c r="B7" s="78">
        <f>'2) Глобальный уровень'!F6</f>
        <v>2</v>
      </c>
      <c r="C7" s="78">
        <f>'2) Глобальный уровень'!F17</f>
        <v>4</v>
      </c>
      <c r="D7" s="78">
        <f>'2) Глобальный уровень'!F28</f>
        <v>2</v>
      </c>
      <c r="E7" s="78">
        <f>'2) Глобальный уровень'!F39</f>
        <v>0</v>
      </c>
      <c r="F7" s="78">
        <f>'2) Глобальный уровень'!F50</f>
        <v>0</v>
      </c>
      <c r="H7" s="78" t="s">
        <v>294</v>
      </c>
      <c r="I7" s="78">
        <v>7.0</v>
      </c>
    </row>
    <row r="8" ht="14.25" customHeight="1">
      <c r="A8" s="78">
        <v>2020.0</v>
      </c>
      <c r="B8" s="78">
        <f>'2) Глобальный уровень'!F7</f>
        <v>1</v>
      </c>
      <c r="C8" s="78">
        <f>'2) Глобальный уровень'!F18</f>
        <v>0</v>
      </c>
      <c r="D8" s="78">
        <f>'2) Глобальный уровень'!F29</f>
        <v>0</v>
      </c>
      <c r="E8" s="78">
        <f>'2) Глобальный уровень'!F40</f>
        <v>0</v>
      </c>
      <c r="F8" s="78">
        <f>'2) Глобальный уровень'!F51</f>
        <v>0</v>
      </c>
    </row>
    <row r="9" ht="14.25" customHeight="1">
      <c r="A9" s="78">
        <v>2021.0</v>
      </c>
      <c r="B9" s="78">
        <f>'2) Глобальный уровень'!F8</f>
        <v>1</v>
      </c>
      <c r="C9" s="78">
        <f>'2) Глобальный уровень'!F19</f>
        <v>0</v>
      </c>
      <c r="D9" s="78">
        <f>'2) Глобальный уровень'!F30</f>
        <v>1</v>
      </c>
      <c r="E9" s="78">
        <f>'2) Глобальный уровень'!F41</f>
        <v>0</v>
      </c>
      <c r="F9" s="78">
        <f>'2) Глобальный уровень'!F52</f>
        <v>2</v>
      </c>
    </row>
    <row r="10" ht="14.25" customHeight="1">
      <c r="A10" s="78">
        <v>2022.0</v>
      </c>
      <c r="B10" s="78">
        <f>'2) Глобальный уровень'!F9</f>
        <v>2</v>
      </c>
      <c r="C10" s="78">
        <f>'2) Глобальный уровень'!F20</f>
        <v>0</v>
      </c>
      <c r="D10" s="78">
        <f>'2) Глобальный уровень'!F31</f>
        <v>0</v>
      </c>
      <c r="E10" s="78">
        <f>'2) Глобальный уровень'!F42</f>
        <v>0</v>
      </c>
      <c r="F10" s="78">
        <f>'2) Глобальный уровень'!F53</f>
        <v>1</v>
      </c>
    </row>
    <row r="11" ht="14.25" customHeight="1">
      <c r="A11" s="78">
        <v>2023.0</v>
      </c>
      <c r="B11" s="78">
        <f>'2) Глобальный уровень'!F10</f>
        <v>2</v>
      </c>
      <c r="C11" s="78">
        <f>'2) Глобальный уровень'!F21</f>
        <v>1</v>
      </c>
      <c r="D11" s="78">
        <f>'2) Глобальный уровень'!F32</f>
        <v>0</v>
      </c>
      <c r="E11" s="78">
        <f>'2) Глобальный уровень'!F43</f>
        <v>0</v>
      </c>
      <c r="F11" s="78">
        <f>'2) Глобальный уровень'!F54</f>
        <v>0</v>
      </c>
    </row>
    <row r="12" ht="14.25" customHeight="1">
      <c r="A12" s="78">
        <v>2024.0</v>
      </c>
      <c r="B12" s="78">
        <f>'2) Глобальный уровень'!F11</f>
        <v>4</v>
      </c>
      <c r="C12" s="78">
        <f>'2) Глобальный уровень'!F22</f>
        <v>2</v>
      </c>
      <c r="D12" s="78">
        <f>'2) Глобальный уровень'!F33</f>
        <v>0</v>
      </c>
      <c r="E12" s="78">
        <f>'2) Глобальный уровень'!F44</f>
        <v>0</v>
      </c>
      <c r="F12" s="78">
        <f>'2) Глобальный уровень'!F55</f>
        <v>0</v>
      </c>
    </row>
    <row r="13" ht="14.25" customHeight="1">
      <c r="A13" s="78">
        <v>2025.0</v>
      </c>
      <c r="B13" s="78">
        <f>'2) Глобальный уровень'!F12</f>
        <v>3</v>
      </c>
      <c r="C13" s="78">
        <f>'2) Глобальный уровень'!F23</f>
        <v>4</v>
      </c>
      <c r="D13" s="78">
        <f>'2) Глобальный уровень'!F34</f>
        <v>1</v>
      </c>
      <c r="E13" s="78">
        <f>'2) Глобальный уровень'!F45</f>
        <v>0</v>
      </c>
      <c r="F13" s="78">
        <f>'2) Глобальный уровень'!F56</f>
        <v>2</v>
      </c>
    </row>
    <row r="14" ht="14.25" customHeight="1">
      <c r="A14" s="86" t="s">
        <v>481</v>
      </c>
      <c r="B14" s="78">
        <v>24.0</v>
      </c>
      <c r="C14" s="78">
        <v>16.0</v>
      </c>
      <c r="D14" s="78">
        <v>5.0</v>
      </c>
      <c r="E14" s="78">
        <v>1.0</v>
      </c>
      <c r="F14" s="78">
        <v>7.0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8.71"/>
    <col customWidth="1" min="3" max="3" width="11.71"/>
    <col customWidth="1" min="4" max="4" width="70.43"/>
    <col customWidth="1" min="5" max="5" width="25.29"/>
    <col customWidth="1" min="6" max="6" width="24.57"/>
    <col customWidth="1" min="7" max="8" width="34.29"/>
    <col customWidth="1" min="9" max="9" width="140.71"/>
    <col customWidth="1" min="10" max="26" width="8.71"/>
  </cols>
  <sheetData>
    <row r="1" ht="14.25" customHeight="1">
      <c r="A1" s="103" t="s">
        <v>0</v>
      </c>
      <c r="B1" s="103" t="s">
        <v>1</v>
      </c>
      <c r="C1" s="103" t="s">
        <v>4</v>
      </c>
      <c r="D1" s="103" t="s">
        <v>482</v>
      </c>
      <c r="E1" s="104" t="s">
        <v>483</v>
      </c>
      <c r="F1" s="104" t="s">
        <v>484</v>
      </c>
      <c r="G1" s="103" t="s">
        <v>485</v>
      </c>
      <c r="H1" s="103"/>
      <c r="I1" s="103" t="s">
        <v>8</v>
      </c>
      <c r="J1" s="93"/>
      <c r="K1" s="93"/>
      <c r="L1" s="93"/>
      <c r="M1" s="93"/>
      <c r="N1" s="93"/>
      <c r="O1" s="93"/>
      <c r="P1" s="93"/>
      <c r="Q1" s="93"/>
      <c r="R1" s="93"/>
      <c r="S1" s="93"/>
      <c r="T1" s="93"/>
      <c r="U1" s="93"/>
      <c r="V1" s="93"/>
      <c r="W1" s="93"/>
      <c r="X1" s="93"/>
      <c r="Y1" s="93"/>
      <c r="Z1" s="93"/>
    </row>
    <row r="2" ht="14.25" customHeight="1">
      <c r="A2" s="105" t="s">
        <v>23</v>
      </c>
      <c r="B2" s="106">
        <v>2015.0</v>
      </c>
      <c r="C2" s="106" t="s">
        <v>25</v>
      </c>
      <c r="D2" s="106" t="s">
        <v>486</v>
      </c>
      <c r="E2" s="107">
        <v>3.0</v>
      </c>
      <c r="F2" s="107">
        <v>0.0</v>
      </c>
      <c r="G2" s="106">
        <f t="shared" ref="G2:G3" si="1">SUM(E2:F2)</f>
        <v>3</v>
      </c>
      <c r="H2" s="106"/>
      <c r="I2" s="108" t="s">
        <v>487</v>
      </c>
      <c r="J2" s="93"/>
      <c r="K2" s="93"/>
      <c r="L2" s="93"/>
      <c r="M2" s="93"/>
      <c r="N2" s="93"/>
      <c r="O2" s="93"/>
      <c r="P2" s="93"/>
      <c r="Q2" s="93"/>
      <c r="R2" s="93"/>
      <c r="S2" s="93"/>
      <c r="T2" s="93"/>
      <c r="U2" s="93"/>
      <c r="V2" s="93"/>
      <c r="W2" s="93"/>
      <c r="X2" s="93"/>
      <c r="Y2" s="93"/>
      <c r="Z2" s="93"/>
    </row>
    <row r="3" ht="14.25" customHeight="1">
      <c r="A3" s="109" t="s">
        <v>23</v>
      </c>
      <c r="B3" s="93">
        <v>2016.0</v>
      </c>
      <c r="C3" s="93" t="s">
        <v>25</v>
      </c>
      <c r="D3" s="93" t="s">
        <v>486</v>
      </c>
      <c r="E3" s="110">
        <v>3.0</v>
      </c>
      <c r="F3" s="110">
        <v>0.0</v>
      </c>
      <c r="G3" s="93">
        <f t="shared" si="1"/>
        <v>3</v>
      </c>
      <c r="H3" s="93"/>
      <c r="I3" s="111" t="s">
        <v>488</v>
      </c>
      <c r="J3" s="93"/>
      <c r="K3" s="93"/>
      <c r="L3" s="93"/>
      <c r="M3" s="93"/>
      <c r="N3" s="93"/>
      <c r="O3" s="93"/>
      <c r="P3" s="93"/>
      <c r="Q3" s="93"/>
      <c r="R3" s="93"/>
      <c r="S3" s="93"/>
      <c r="T3" s="93"/>
      <c r="U3" s="93"/>
      <c r="V3" s="93"/>
      <c r="W3" s="93"/>
      <c r="X3" s="93"/>
      <c r="Y3" s="93"/>
      <c r="Z3" s="93"/>
    </row>
    <row r="4" ht="14.25" customHeight="1">
      <c r="A4" s="109" t="s">
        <v>23</v>
      </c>
      <c r="B4" s="93">
        <v>2017.0</v>
      </c>
      <c r="C4" s="93" t="s">
        <v>25</v>
      </c>
      <c r="D4" s="112" t="s">
        <v>489</v>
      </c>
      <c r="E4" s="113"/>
      <c r="F4" s="113"/>
      <c r="G4" s="114"/>
      <c r="H4" s="93"/>
      <c r="I4" s="111"/>
      <c r="J4" s="93"/>
      <c r="K4" s="93"/>
      <c r="L4" s="93"/>
      <c r="M4" s="93"/>
      <c r="N4" s="93"/>
      <c r="O4" s="93"/>
      <c r="P4" s="93"/>
      <c r="Q4" s="93"/>
      <c r="R4" s="93"/>
      <c r="S4" s="93"/>
      <c r="T4" s="93"/>
      <c r="U4" s="93"/>
      <c r="V4" s="93"/>
      <c r="W4" s="93"/>
      <c r="X4" s="93"/>
      <c r="Y4" s="93"/>
      <c r="Z4" s="93"/>
    </row>
    <row r="5" ht="14.25" customHeight="1">
      <c r="A5" s="109" t="s">
        <v>23</v>
      </c>
      <c r="B5" s="93">
        <v>2018.0</v>
      </c>
      <c r="C5" s="93" t="s">
        <v>25</v>
      </c>
      <c r="D5" s="93" t="s">
        <v>486</v>
      </c>
      <c r="E5" s="110">
        <v>4.0</v>
      </c>
      <c r="F5" s="110">
        <v>0.0</v>
      </c>
      <c r="G5" s="93">
        <f t="shared" ref="G5:G8" si="2">SUM(E5:F5)</f>
        <v>4</v>
      </c>
      <c r="H5" s="93"/>
      <c r="I5" s="111" t="s">
        <v>490</v>
      </c>
      <c r="J5" s="93"/>
      <c r="K5" s="93"/>
      <c r="L5" s="93"/>
      <c r="M5" s="93"/>
      <c r="N5" s="93"/>
      <c r="O5" s="93"/>
      <c r="P5" s="93"/>
      <c r="Q5" s="93"/>
      <c r="R5" s="93"/>
      <c r="S5" s="93"/>
      <c r="T5" s="93"/>
      <c r="U5" s="93"/>
      <c r="V5" s="93"/>
      <c r="W5" s="93"/>
      <c r="X5" s="93"/>
      <c r="Y5" s="93"/>
      <c r="Z5" s="93"/>
    </row>
    <row r="6" ht="14.25" customHeight="1">
      <c r="A6" s="109" t="s">
        <v>23</v>
      </c>
      <c r="B6" s="93">
        <v>2019.0</v>
      </c>
      <c r="C6" s="93" t="s">
        <v>25</v>
      </c>
      <c r="D6" s="93" t="s">
        <v>486</v>
      </c>
      <c r="E6" s="110">
        <v>4.0</v>
      </c>
      <c r="F6" s="110">
        <v>0.0</v>
      </c>
      <c r="G6" s="93">
        <f t="shared" si="2"/>
        <v>4</v>
      </c>
      <c r="H6" s="93"/>
      <c r="I6" s="111" t="s">
        <v>491</v>
      </c>
      <c r="J6" s="93"/>
      <c r="K6" s="93"/>
      <c r="L6" s="93"/>
      <c r="M6" s="93"/>
      <c r="N6" s="93"/>
      <c r="O6" s="93"/>
      <c r="P6" s="93"/>
      <c r="Q6" s="93"/>
      <c r="R6" s="93"/>
      <c r="S6" s="93"/>
      <c r="T6" s="93"/>
      <c r="U6" s="93"/>
      <c r="V6" s="93"/>
      <c r="W6" s="93"/>
      <c r="X6" s="93"/>
      <c r="Y6" s="93"/>
      <c r="Z6" s="93"/>
    </row>
    <row r="7" ht="14.25" customHeight="1">
      <c r="A7" s="109" t="s">
        <v>23</v>
      </c>
      <c r="B7" s="93">
        <v>2020.0</v>
      </c>
      <c r="C7" s="93" t="s">
        <v>25</v>
      </c>
      <c r="D7" s="93" t="s">
        <v>486</v>
      </c>
      <c r="E7" s="110">
        <v>0.0</v>
      </c>
      <c r="F7" s="110">
        <v>0.0</v>
      </c>
      <c r="G7" s="93">
        <f t="shared" si="2"/>
        <v>0</v>
      </c>
      <c r="H7" s="93"/>
      <c r="I7" s="111" t="s">
        <v>492</v>
      </c>
      <c r="J7" s="93"/>
      <c r="K7" s="93"/>
      <c r="L7" s="93"/>
      <c r="M7" s="93"/>
      <c r="N7" s="93"/>
      <c r="O7" s="93"/>
      <c r="P7" s="93"/>
      <c r="Q7" s="93"/>
      <c r="R7" s="93"/>
      <c r="S7" s="93"/>
      <c r="T7" s="93"/>
      <c r="U7" s="93"/>
      <c r="V7" s="93"/>
      <c r="W7" s="93"/>
      <c r="X7" s="93"/>
      <c r="Y7" s="93"/>
      <c r="Z7" s="93"/>
    </row>
    <row r="8" ht="14.25" customHeight="1">
      <c r="A8" s="109" t="s">
        <v>23</v>
      </c>
      <c r="B8" s="93">
        <v>2021.0</v>
      </c>
      <c r="C8" s="93" t="s">
        <v>25</v>
      </c>
      <c r="D8" s="93" t="s">
        <v>486</v>
      </c>
      <c r="E8" s="110">
        <v>2.0</v>
      </c>
      <c r="F8" s="110">
        <v>0.0</v>
      </c>
      <c r="G8" s="93">
        <f t="shared" si="2"/>
        <v>2</v>
      </c>
      <c r="H8" s="93"/>
      <c r="I8" s="111" t="s">
        <v>493</v>
      </c>
      <c r="J8" s="93"/>
      <c r="K8" s="93"/>
      <c r="L8" s="93"/>
      <c r="M8" s="93"/>
      <c r="N8" s="93"/>
      <c r="O8" s="93"/>
      <c r="P8" s="93"/>
      <c r="Q8" s="93"/>
      <c r="R8" s="93"/>
      <c r="S8" s="93"/>
      <c r="T8" s="93"/>
      <c r="U8" s="93"/>
      <c r="V8" s="93"/>
      <c r="W8" s="93"/>
      <c r="X8" s="93"/>
      <c r="Y8" s="93"/>
      <c r="Z8" s="93"/>
    </row>
    <row r="9" ht="14.25" customHeight="1">
      <c r="A9" s="109" t="s">
        <v>23</v>
      </c>
      <c r="B9" s="93">
        <v>2022.0</v>
      </c>
      <c r="C9" s="93" t="s">
        <v>25</v>
      </c>
      <c r="D9" s="112" t="s">
        <v>489</v>
      </c>
      <c r="E9" s="113"/>
      <c r="F9" s="113"/>
      <c r="G9" s="114"/>
      <c r="H9" s="93"/>
      <c r="I9" s="111"/>
      <c r="J9" s="93"/>
      <c r="K9" s="93"/>
      <c r="L9" s="93"/>
      <c r="M9" s="93"/>
      <c r="N9" s="93"/>
      <c r="O9" s="93"/>
      <c r="P9" s="93"/>
      <c r="Q9" s="93"/>
      <c r="R9" s="93"/>
      <c r="S9" s="93"/>
      <c r="T9" s="93"/>
      <c r="U9" s="93"/>
      <c r="V9" s="93"/>
      <c r="W9" s="93"/>
      <c r="X9" s="93"/>
      <c r="Y9" s="93"/>
      <c r="Z9" s="93"/>
    </row>
    <row r="10" ht="14.25" customHeight="1">
      <c r="A10" s="109" t="s">
        <v>23</v>
      </c>
      <c r="B10" s="93">
        <v>2023.0</v>
      </c>
      <c r="C10" s="93" t="s">
        <v>25</v>
      </c>
      <c r="D10" s="93" t="s">
        <v>486</v>
      </c>
      <c r="E10" s="110">
        <v>0.0</v>
      </c>
      <c r="F10" s="110">
        <v>0.0</v>
      </c>
      <c r="G10" s="93">
        <f t="shared" ref="G10:G11" si="3">SUM(E10:F10)</f>
        <v>0</v>
      </c>
      <c r="H10" s="93"/>
      <c r="I10" s="111" t="s">
        <v>494</v>
      </c>
      <c r="J10" s="93"/>
      <c r="K10" s="93"/>
      <c r="L10" s="93"/>
      <c r="M10" s="93"/>
      <c r="N10" s="93"/>
      <c r="O10" s="93"/>
      <c r="P10" s="93"/>
      <c r="Q10" s="93"/>
      <c r="R10" s="93"/>
      <c r="S10" s="93"/>
      <c r="T10" s="93"/>
      <c r="U10" s="93"/>
      <c r="V10" s="93"/>
      <c r="W10" s="93"/>
      <c r="X10" s="93"/>
      <c r="Y10" s="93"/>
      <c r="Z10" s="93"/>
    </row>
    <row r="11" ht="14.25" customHeight="1">
      <c r="A11" s="109" t="s">
        <v>23</v>
      </c>
      <c r="B11" s="93">
        <v>2024.0</v>
      </c>
      <c r="C11" s="93" t="s">
        <v>25</v>
      </c>
      <c r="D11" s="93" t="s">
        <v>486</v>
      </c>
      <c r="E11" s="110">
        <v>4.0</v>
      </c>
      <c r="F11" s="110">
        <v>0.0</v>
      </c>
      <c r="G11" s="93">
        <f t="shared" si="3"/>
        <v>4</v>
      </c>
      <c r="H11" s="93"/>
      <c r="I11" s="111" t="s">
        <v>495</v>
      </c>
      <c r="J11" s="93"/>
      <c r="K11" s="93"/>
      <c r="L11" s="93"/>
      <c r="M11" s="93"/>
      <c r="N11" s="93"/>
      <c r="O11" s="93"/>
      <c r="P11" s="93"/>
      <c r="Q11" s="93"/>
      <c r="R11" s="93"/>
      <c r="S11" s="93"/>
      <c r="T11" s="93"/>
      <c r="U11" s="93"/>
      <c r="V11" s="93"/>
      <c r="W11" s="93"/>
      <c r="X11" s="93"/>
      <c r="Y11" s="93"/>
      <c r="Z11" s="93"/>
    </row>
    <row r="12" ht="14.25" customHeight="1">
      <c r="A12" s="109" t="s">
        <v>23</v>
      </c>
      <c r="B12" s="93">
        <v>2025.0</v>
      </c>
      <c r="C12" s="93" t="s">
        <v>25</v>
      </c>
      <c r="D12" s="112" t="s">
        <v>489</v>
      </c>
      <c r="E12" s="113"/>
      <c r="F12" s="113"/>
      <c r="G12" s="114"/>
      <c r="H12" s="93"/>
      <c r="I12" s="111"/>
      <c r="J12" s="93"/>
      <c r="K12" s="93"/>
      <c r="L12" s="93"/>
      <c r="M12" s="93"/>
      <c r="N12" s="93"/>
      <c r="O12" s="93"/>
      <c r="P12" s="93"/>
      <c r="Q12" s="93"/>
      <c r="R12" s="93"/>
      <c r="S12" s="93"/>
      <c r="T12" s="93"/>
      <c r="U12" s="93"/>
      <c r="V12" s="93"/>
      <c r="W12" s="93"/>
      <c r="X12" s="93"/>
      <c r="Y12" s="93"/>
      <c r="Z12" s="93"/>
    </row>
    <row r="13" ht="14.25" customHeight="1">
      <c r="A13" s="115" t="s">
        <v>496</v>
      </c>
      <c r="B13" s="116"/>
      <c r="C13" s="116"/>
      <c r="D13" s="116"/>
      <c r="E13" s="116"/>
      <c r="F13" s="117"/>
      <c r="G13" s="118">
        <f>SUM(G2:G12)</f>
        <v>20</v>
      </c>
      <c r="H13" s="119"/>
      <c r="I13" s="120"/>
      <c r="J13" s="93"/>
      <c r="K13" s="93"/>
      <c r="L13" s="93"/>
      <c r="M13" s="93"/>
      <c r="N13" s="93"/>
      <c r="O13" s="93"/>
      <c r="P13" s="93"/>
      <c r="Q13" s="93"/>
      <c r="R13" s="93"/>
      <c r="S13" s="93"/>
      <c r="T13" s="93"/>
      <c r="U13" s="93"/>
      <c r="V13" s="93"/>
      <c r="W13" s="93"/>
      <c r="X13" s="93"/>
      <c r="Y13" s="93"/>
      <c r="Z13" s="93"/>
    </row>
    <row r="14" ht="14.25" customHeight="1">
      <c r="A14" s="109" t="s">
        <v>130</v>
      </c>
      <c r="B14" s="93">
        <v>2015.0</v>
      </c>
      <c r="C14" s="93" t="s">
        <v>131</v>
      </c>
      <c r="D14" s="93" t="s">
        <v>497</v>
      </c>
      <c r="E14" s="110">
        <v>8.0</v>
      </c>
      <c r="F14" s="110">
        <v>0.0</v>
      </c>
      <c r="G14" s="93">
        <f t="shared" ref="G14:G19" si="4">SUM(E14:F14)</f>
        <v>8</v>
      </c>
      <c r="H14" s="93"/>
      <c r="I14" s="111" t="s">
        <v>498</v>
      </c>
      <c r="J14" s="93"/>
      <c r="K14" s="93"/>
      <c r="L14" s="93"/>
      <c r="M14" s="93"/>
      <c r="N14" s="93"/>
      <c r="O14" s="93"/>
      <c r="P14" s="93"/>
      <c r="Q14" s="93"/>
      <c r="R14" s="93"/>
      <c r="S14" s="93"/>
      <c r="T14" s="93"/>
      <c r="U14" s="93"/>
      <c r="V14" s="93"/>
      <c r="W14" s="93"/>
      <c r="X14" s="93"/>
      <c r="Y14" s="93"/>
      <c r="Z14" s="93"/>
    </row>
    <row r="15" ht="14.25" customHeight="1">
      <c r="A15" s="109" t="s">
        <v>130</v>
      </c>
      <c r="B15" s="93">
        <v>2016.0</v>
      </c>
      <c r="C15" s="93" t="s">
        <v>131</v>
      </c>
      <c r="D15" s="93" t="s">
        <v>497</v>
      </c>
      <c r="E15" s="110">
        <v>5.0</v>
      </c>
      <c r="F15" s="110">
        <v>0.0</v>
      </c>
      <c r="G15" s="93">
        <f t="shared" si="4"/>
        <v>5</v>
      </c>
      <c r="H15" s="93"/>
      <c r="I15" s="111" t="s">
        <v>499</v>
      </c>
      <c r="J15" s="93"/>
      <c r="K15" s="93"/>
      <c r="L15" s="93"/>
      <c r="M15" s="93"/>
      <c r="N15" s="93"/>
      <c r="O15" s="93"/>
      <c r="P15" s="93"/>
      <c r="Q15" s="93"/>
      <c r="R15" s="93"/>
      <c r="S15" s="93"/>
      <c r="T15" s="93"/>
      <c r="U15" s="93"/>
      <c r="V15" s="93"/>
      <c r="W15" s="93"/>
      <c r="X15" s="93"/>
      <c r="Y15" s="93"/>
      <c r="Z15" s="93"/>
    </row>
    <row r="16" ht="14.25" customHeight="1">
      <c r="A16" s="109" t="s">
        <v>130</v>
      </c>
      <c r="B16" s="93">
        <v>2017.0</v>
      </c>
      <c r="C16" s="93" t="s">
        <v>131</v>
      </c>
      <c r="D16" s="93" t="s">
        <v>497</v>
      </c>
      <c r="E16" s="110">
        <v>4.0</v>
      </c>
      <c r="F16" s="110">
        <v>2.0</v>
      </c>
      <c r="G16" s="93">
        <f t="shared" si="4"/>
        <v>6</v>
      </c>
      <c r="H16" s="93"/>
      <c r="I16" s="111" t="s">
        <v>500</v>
      </c>
      <c r="J16" s="93"/>
      <c r="K16" s="93"/>
      <c r="L16" s="93"/>
      <c r="M16" s="93"/>
      <c r="N16" s="93"/>
      <c r="O16" s="93"/>
      <c r="P16" s="93"/>
      <c r="Q16" s="93"/>
      <c r="R16" s="93"/>
      <c r="S16" s="93"/>
      <c r="T16" s="93"/>
      <c r="U16" s="93"/>
      <c r="V16" s="93"/>
      <c r="W16" s="93"/>
      <c r="X16" s="93"/>
      <c r="Y16" s="93"/>
      <c r="Z16" s="93"/>
    </row>
    <row r="17" ht="14.25" customHeight="1">
      <c r="A17" s="109" t="s">
        <v>130</v>
      </c>
      <c r="B17" s="93">
        <v>2018.0</v>
      </c>
      <c r="C17" s="93" t="s">
        <v>131</v>
      </c>
      <c r="D17" s="93" t="s">
        <v>497</v>
      </c>
      <c r="E17" s="110">
        <v>3.0</v>
      </c>
      <c r="F17" s="110">
        <v>2.0</v>
      </c>
      <c r="G17" s="93">
        <f t="shared" si="4"/>
        <v>5</v>
      </c>
      <c r="H17" s="93"/>
      <c r="I17" s="111" t="s">
        <v>501</v>
      </c>
      <c r="J17" s="93"/>
      <c r="K17" s="93"/>
      <c r="L17" s="93"/>
      <c r="M17" s="93"/>
      <c r="N17" s="93"/>
      <c r="O17" s="93"/>
      <c r="P17" s="93"/>
      <c r="Q17" s="93"/>
      <c r="R17" s="93"/>
      <c r="S17" s="93"/>
      <c r="T17" s="93"/>
      <c r="U17" s="93"/>
      <c r="V17" s="93"/>
      <c r="W17" s="93"/>
      <c r="X17" s="93"/>
      <c r="Y17" s="93"/>
      <c r="Z17" s="93"/>
    </row>
    <row r="18" ht="14.25" customHeight="1">
      <c r="A18" s="109" t="s">
        <v>130</v>
      </c>
      <c r="B18" s="93">
        <v>2019.0</v>
      </c>
      <c r="C18" s="93" t="s">
        <v>131</v>
      </c>
      <c r="D18" s="93" t="s">
        <v>497</v>
      </c>
      <c r="E18" s="110">
        <v>4.0</v>
      </c>
      <c r="F18" s="110">
        <v>0.0</v>
      </c>
      <c r="G18" s="93">
        <f t="shared" si="4"/>
        <v>4</v>
      </c>
      <c r="H18" s="93"/>
      <c r="I18" s="111" t="s">
        <v>502</v>
      </c>
      <c r="J18" s="93"/>
      <c r="K18" s="93"/>
      <c r="L18" s="93"/>
      <c r="M18" s="93"/>
      <c r="N18" s="93"/>
      <c r="O18" s="93"/>
      <c r="P18" s="93"/>
      <c r="Q18" s="93"/>
      <c r="R18" s="93"/>
      <c r="S18" s="93"/>
      <c r="T18" s="93"/>
      <c r="U18" s="93"/>
      <c r="V18" s="93"/>
      <c r="W18" s="93"/>
      <c r="X18" s="93"/>
      <c r="Y18" s="93"/>
      <c r="Z18" s="93"/>
    </row>
    <row r="19" ht="14.25" customHeight="1">
      <c r="A19" s="109" t="s">
        <v>130</v>
      </c>
      <c r="B19" s="93">
        <v>2020.0</v>
      </c>
      <c r="C19" s="93" t="s">
        <v>131</v>
      </c>
      <c r="D19" s="93" t="s">
        <v>497</v>
      </c>
      <c r="E19" s="110">
        <v>1.0</v>
      </c>
      <c r="F19" s="110">
        <v>0.0</v>
      </c>
      <c r="G19" s="93">
        <f t="shared" si="4"/>
        <v>1</v>
      </c>
      <c r="H19" s="93"/>
      <c r="I19" s="111" t="s">
        <v>503</v>
      </c>
      <c r="J19" s="93"/>
      <c r="K19" s="93"/>
      <c r="L19" s="93"/>
      <c r="M19" s="93"/>
      <c r="N19" s="93"/>
      <c r="O19" s="93"/>
      <c r="P19" s="93"/>
      <c r="Q19" s="93"/>
      <c r="R19" s="93"/>
      <c r="S19" s="93"/>
      <c r="T19" s="93"/>
      <c r="U19" s="93"/>
      <c r="V19" s="93"/>
      <c r="W19" s="93"/>
      <c r="X19" s="93"/>
      <c r="Y19" s="93"/>
      <c r="Z19" s="93"/>
    </row>
    <row r="20" ht="14.25" customHeight="1">
      <c r="A20" s="109" t="s">
        <v>130</v>
      </c>
      <c r="B20" s="93">
        <v>2021.0</v>
      </c>
      <c r="C20" s="93" t="s">
        <v>131</v>
      </c>
      <c r="D20" s="112" t="s">
        <v>489</v>
      </c>
      <c r="E20" s="112"/>
      <c r="F20" s="112"/>
      <c r="G20" s="112"/>
      <c r="H20" s="93"/>
      <c r="I20" s="111"/>
      <c r="J20" s="93"/>
      <c r="K20" s="93"/>
      <c r="L20" s="93"/>
      <c r="M20" s="93"/>
      <c r="N20" s="93"/>
      <c r="O20" s="93"/>
      <c r="P20" s="93"/>
      <c r="Q20" s="93"/>
      <c r="R20" s="93"/>
      <c r="S20" s="93"/>
      <c r="T20" s="93"/>
      <c r="U20" s="93"/>
      <c r="V20" s="93"/>
      <c r="W20" s="93"/>
      <c r="X20" s="93"/>
      <c r="Y20" s="93"/>
      <c r="Z20" s="93"/>
    </row>
    <row r="21" ht="14.25" customHeight="1">
      <c r="A21" s="109" t="s">
        <v>130</v>
      </c>
      <c r="B21" s="93">
        <v>2022.0</v>
      </c>
      <c r="C21" s="93" t="s">
        <v>131</v>
      </c>
      <c r="D21" s="93" t="s">
        <v>497</v>
      </c>
      <c r="E21" s="110">
        <v>2.0</v>
      </c>
      <c r="F21" s="110">
        <v>1.0</v>
      </c>
      <c r="G21" s="93">
        <f t="shared" ref="G21:G24" si="5">SUM(E21:F21)</f>
        <v>3</v>
      </c>
      <c r="H21" s="93"/>
      <c r="I21" s="111" t="s">
        <v>504</v>
      </c>
      <c r="J21" s="93"/>
      <c r="K21" s="93"/>
      <c r="L21" s="93"/>
      <c r="M21" s="93"/>
      <c r="N21" s="93"/>
      <c r="O21" s="93"/>
      <c r="P21" s="93"/>
      <c r="Q21" s="93"/>
      <c r="R21" s="93"/>
      <c r="S21" s="93"/>
      <c r="T21" s="93"/>
      <c r="U21" s="93"/>
      <c r="V21" s="93"/>
      <c r="W21" s="93"/>
      <c r="X21" s="93"/>
      <c r="Y21" s="93"/>
      <c r="Z21" s="93"/>
    </row>
    <row r="22" ht="14.25" customHeight="1">
      <c r="A22" s="109" t="s">
        <v>130</v>
      </c>
      <c r="B22" s="93">
        <v>2023.0</v>
      </c>
      <c r="C22" s="93" t="s">
        <v>131</v>
      </c>
      <c r="D22" s="93" t="s">
        <v>497</v>
      </c>
      <c r="E22" s="110">
        <v>8.0</v>
      </c>
      <c r="F22" s="110">
        <v>1.0</v>
      </c>
      <c r="G22" s="93">
        <f t="shared" si="5"/>
        <v>9</v>
      </c>
      <c r="H22" s="93"/>
      <c r="I22" s="111" t="s">
        <v>505</v>
      </c>
      <c r="J22" s="93"/>
      <c r="K22" s="93"/>
      <c r="L22" s="93"/>
      <c r="M22" s="93"/>
      <c r="N22" s="93"/>
      <c r="O22" s="93"/>
      <c r="P22" s="93"/>
      <c r="Q22" s="93"/>
      <c r="R22" s="93"/>
      <c r="S22" s="93"/>
      <c r="T22" s="93"/>
      <c r="U22" s="93"/>
      <c r="V22" s="93"/>
      <c r="W22" s="93"/>
      <c r="X22" s="93"/>
      <c r="Y22" s="93"/>
      <c r="Z22" s="93"/>
    </row>
    <row r="23" ht="14.25" customHeight="1">
      <c r="A23" s="109" t="s">
        <v>130</v>
      </c>
      <c r="B23" s="93">
        <v>2024.0</v>
      </c>
      <c r="C23" s="93" t="s">
        <v>131</v>
      </c>
      <c r="D23" s="93" t="s">
        <v>497</v>
      </c>
      <c r="E23" s="110">
        <v>5.0</v>
      </c>
      <c r="F23" s="110">
        <v>0.0</v>
      </c>
      <c r="G23" s="93">
        <f t="shared" si="5"/>
        <v>5</v>
      </c>
      <c r="H23" s="93"/>
      <c r="I23" s="111" t="s">
        <v>506</v>
      </c>
      <c r="J23" s="93"/>
      <c r="K23" s="93"/>
      <c r="L23" s="93"/>
      <c r="M23" s="93"/>
      <c r="N23" s="93"/>
      <c r="O23" s="93"/>
      <c r="P23" s="93"/>
      <c r="Q23" s="93"/>
      <c r="R23" s="93"/>
      <c r="S23" s="93"/>
      <c r="T23" s="93"/>
      <c r="U23" s="93"/>
      <c r="V23" s="93"/>
      <c r="W23" s="93"/>
      <c r="X23" s="93"/>
      <c r="Y23" s="93"/>
      <c r="Z23" s="93"/>
    </row>
    <row r="24" ht="14.25" customHeight="1">
      <c r="A24" s="109" t="s">
        <v>130</v>
      </c>
      <c r="B24" s="93">
        <v>2025.0</v>
      </c>
      <c r="C24" s="93" t="s">
        <v>131</v>
      </c>
      <c r="D24" s="93" t="s">
        <v>497</v>
      </c>
      <c r="E24" s="110">
        <v>0.0</v>
      </c>
      <c r="F24" s="110">
        <v>2.0</v>
      </c>
      <c r="G24" s="93">
        <f t="shared" si="5"/>
        <v>2</v>
      </c>
      <c r="H24" s="93"/>
      <c r="I24" s="111" t="s">
        <v>507</v>
      </c>
      <c r="J24" s="93"/>
      <c r="K24" s="93"/>
      <c r="L24" s="93"/>
      <c r="M24" s="93"/>
      <c r="N24" s="93"/>
      <c r="O24" s="93"/>
      <c r="P24" s="93"/>
      <c r="Q24" s="93"/>
      <c r="R24" s="93"/>
      <c r="S24" s="93"/>
      <c r="T24" s="93"/>
      <c r="U24" s="93"/>
      <c r="V24" s="93"/>
      <c r="W24" s="93"/>
      <c r="X24" s="93"/>
      <c r="Y24" s="93"/>
      <c r="Z24" s="93"/>
    </row>
    <row r="25" ht="14.25" customHeight="1">
      <c r="A25" s="115" t="s">
        <v>496</v>
      </c>
      <c r="B25" s="116"/>
      <c r="C25" s="116"/>
      <c r="D25" s="116"/>
      <c r="E25" s="116"/>
      <c r="F25" s="117"/>
      <c r="G25" s="118">
        <f>SUM(G14:G24)</f>
        <v>48</v>
      </c>
      <c r="H25" s="119"/>
      <c r="I25" s="120"/>
      <c r="J25" s="93"/>
      <c r="K25" s="93"/>
      <c r="L25" s="93"/>
      <c r="M25" s="93"/>
      <c r="N25" s="93"/>
      <c r="O25" s="93"/>
      <c r="P25" s="93"/>
      <c r="Q25" s="93"/>
      <c r="R25" s="93"/>
      <c r="S25" s="93"/>
      <c r="T25" s="93"/>
      <c r="U25" s="93"/>
      <c r="V25" s="93"/>
      <c r="W25" s="93"/>
      <c r="X25" s="93"/>
      <c r="Y25" s="93"/>
      <c r="Z25" s="93"/>
    </row>
    <row r="26" ht="14.25" customHeight="1">
      <c r="A26" s="109" t="s">
        <v>192</v>
      </c>
      <c r="B26" s="93">
        <v>2015.0</v>
      </c>
      <c r="C26" s="93" t="s">
        <v>194</v>
      </c>
      <c r="D26" s="93" t="s">
        <v>508</v>
      </c>
      <c r="E26" s="110">
        <v>1.0</v>
      </c>
      <c r="F26" s="110">
        <v>0.0</v>
      </c>
      <c r="G26" s="93">
        <f t="shared" ref="G26:G36" si="6">SUM(E26:F26)</f>
        <v>1</v>
      </c>
      <c r="H26" s="93"/>
      <c r="I26" s="111" t="s">
        <v>509</v>
      </c>
      <c r="J26" s="93"/>
      <c r="K26" s="93"/>
      <c r="L26" s="93"/>
      <c r="M26" s="93"/>
      <c r="N26" s="93"/>
      <c r="O26" s="93"/>
      <c r="P26" s="93"/>
      <c r="Q26" s="93"/>
      <c r="R26" s="93"/>
      <c r="S26" s="93"/>
      <c r="T26" s="93"/>
      <c r="U26" s="93"/>
      <c r="V26" s="93"/>
      <c r="W26" s="93"/>
      <c r="X26" s="93"/>
      <c r="Y26" s="93"/>
      <c r="Z26" s="93"/>
    </row>
    <row r="27" ht="14.25" customHeight="1">
      <c r="A27" s="109" t="s">
        <v>192</v>
      </c>
      <c r="B27" s="93">
        <v>2016.0</v>
      </c>
      <c r="C27" s="93" t="s">
        <v>194</v>
      </c>
      <c r="D27" s="114" t="s">
        <v>44</v>
      </c>
      <c r="E27" s="113"/>
      <c r="F27" s="113"/>
      <c r="G27" s="114">
        <f t="shared" si="6"/>
        <v>0</v>
      </c>
      <c r="H27" s="93"/>
      <c r="I27" s="111"/>
      <c r="J27" s="93"/>
      <c r="K27" s="93"/>
      <c r="L27" s="93"/>
      <c r="M27" s="93"/>
      <c r="N27" s="93"/>
      <c r="O27" s="93"/>
      <c r="P27" s="93"/>
      <c r="Q27" s="93"/>
      <c r="R27" s="93"/>
      <c r="S27" s="93"/>
      <c r="T27" s="93"/>
      <c r="U27" s="93"/>
      <c r="V27" s="93"/>
      <c r="W27" s="93"/>
      <c r="X27" s="93"/>
      <c r="Y27" s="93"/>
      <c r="Z27" s="93"/>
    </row>
    <row r="28" ht="14.25" customHeight="1">
      <c r="A28" s="109" t="s">
        <v>192</v>
      </c>
      <c r="B28" s="93">
        <v>2017.0</v>
      </c>
      <c r="C28" s="93" t="s">
        <v>194</v>
      </c>
      <c r="D28" s="93" t="s">
        <v>510</v>
      </c>
      <c r="E28" s="110">
        <v>2.0</v>
      </c>
      <c r="F28" s="110">
        <v>1.0</v>
      </c>
      <c r="G28" s="93">
        <f t="shared" si="6"/>
        <v>3</v>
      </c>
      <c r="H28" s="93"/>
      <c r="I28" s="111" t="s">
        <v>511</v>
      </c>
      <c r="J28" s="93"/>
      <c r="K28" s="93"/>
      <c r="L28" s="93"/>
      <c r="M28" s="93"/>
      <c r="N28" s="93"/>
      <c r="O28" s="93"/>
      <c r="P28" s="93"/>
      <c r="Q28" s="93"/>
      <c r="R28" s="93"/>
      <c r="S28" s="93"/>
      <c r="T28" s="93"/>
      <c r="U28" s="93"/>
      <c r="V28" s="93"/>
      <c r="W28" s="93"/>
      <c r="X28" s="93"/>
      <c r="Y28" s="93"/>
      <c r="Z28" s="93"/>
    </row>
    <row r="29" ht="14.25" customHeight="1">
      <c r="A29" s="109" t="s">
        <v>192</v>
      </c>
      <c r="B29" s="93">
        <v>2018.0</v>
      </c>
      <c r="C29" s="93" t="s">
        <v>194</v>
      </c>
      <c r="D29" s="121" t="s">
        <v>510</v>
      </c>
      <c r="E29" s="122">
        <v>1.0</v>
      </c>
      <c r="F29" s="122">
        <v>0.0</v>
      </c>
      <c r="G29" s="93">
        <f t="shared" si="6"/>
        <v>1</v>
      </c>
      <c r="H29" s="123"/>
      <c r="I29" s="111" t="s">
        <v>512</v>
      </c>
      <c r="J29" s="93"/>
      <c r="K29" s="93"/>
      <c r="L29" s="93"/>
      <c r="M29" s="93"/>
      <c r="N29" s="93"/>
      <c r="O29" s="93"/>
      <c r="P29" s="93"/>
      <c r="Q29" s="93"/>
      <c r="R29" s="93"/>
      <c r="S29" s="93"/>
      <c r="T29" s="93"/>
      <c r="U29" s="93"/>
      <c r="V29" s="93"/>
      <c r="W29" s="93"/>
      <c r="X29" s="93"/>
      <c r="Y29" s="93"/>
      <c r="Z29" s="93"/>
    </row>
    <row r="30" ht="14.25" customHeight="1">
      <c r="A30" s="109" t="s">
        <v>192</v>
      </c>
      <c r="B30" s="93">
        <v>2019.0</v>
      </c>
      <c r="C30" s="93" t="s">
        <v>213</v>
      </c>
      <c r="D30" s="93" t="s">
        <v>513</v>
      </c>
      <c r="E30" s="110">
        <v>0.0</v>
      </c>
      <c r="F30" s="110">
        <v>0.0</v>
      </c>
      <c r="G30" s="93">
        <f t="shared" si="6"/>
        <v>0</v>
      </c>
      <c r="H30" s="93"/>
      <c r="I30" s="111" t="s">
        <v>514</v>
      </c>
      <c r="J30" s="93"/>
      <c r="K30" s="93"/>
      <c r="L30" s="93"/>
      <c r="M30" s="93"/>
      <c r="N30" s="93"/>
      <c r="O30" s="93"/>
      <c r="P30" s="93"/>
      <c r="Q30" s="93"/>
      <c r="R30" s="93"/>
      <c r="S30" s="93"/>
      <c r="T30" s="93"/>
      <c r="U30" s="93"/>
      <c r="V30" s="93"/>
      <c r="W30" s="93"/>
      <c r="X30" s="93"/>
      <c r="Y30" s="93"/>
      <c r="Z30" s="93"/>
    </row>
    <row r="31" ht="14.25" customHeight="1">
      <c r="A31" s="109" t="s">
        <v>192</v>
      </c>
      <c r="B31" s="93">
        <v>2020.0</v>
      </c>
      <c r="C31" s="93" t="s">
        <v>213</v>
      </c>
      <c r="D31" s="93" t="s">
        <v>513</v>
      </c>
      <c r="E31" s="110">
        <v>1.0</v>
      </c>
      <c r="F31" s="110">
        <v>0.0</v>
      </c>
      <c r="G31" s="93">
        <f t="shared" si="6"/>
        <v>1</v>
      </c>
      <c r="H31" s="93"/>
      <c r="I31" s="111" t="s">
        <v>515</v>
      </c>
      <c r="J31" s="93"/>
      <c r="K31" s="93"/>
      <c r="L31" s="93"/>
      <c r="M31" s="93"/>
      <c r="N31" s="93"/>
      <c r="O31" s="93"/>
      <c r="P31" s="93"/>
      <c r="Q31" s="93"/>
      <c r="R31" s="93"/>
      <c r="S31" s="93"/>
      <c r="T31" s="93"/>
      <c r="U31" s="93"/>
      <c r="V31" s="93"/>
      <c r="W31" s="93"/>
      <c r="X31" s="93"/>
      <c r="Y31" s="93"/>
      <c r="Z31" s="93"/>
    </row>
    <row r="32" ht="14.25" customHeight="1">
      <c r="A32" s="109" t="s">
        <v>192</v>
      </c>
      <c r="B32" s="93">
        <v>2021.0</v>
      </c>
      <c r="C32" s="93" t="s">
        <v>213</v>
      </c>
      <c r="D32" s="93" t="s">
        <v>513</v>
      </c>
      <c r="E32" s="110">
        <v>1.0</v>
      </c>
      <c r="F32" s="110">
        <v>0.0</v>
      </c>
      <c r="G32" s="93">
        <f t="shared" si="6"/>
        <v>1</v>
      </c>
      <c r="H32" s="93"/>
      <c r="I32" s="111" t="s">
        <v>516</v>
      </c>
      <c r="J32" s="93"/>
      <c r="K32" s="93"/>
      <c r="L32" s="93"/>
      <c r="M32" s="93"/>
      <c r="N32" s="93"/>
      <c r="O32" s="93"/>
      <c r="P32" s="93"/>
      <c r="Q32" s="93"/>
      <c r="R32" s="93"/>
      <c r="S32" s="93"/>
      <c r="T32" s="93"/>
      <c r="U32" s="93"/>
      <c r="V32" s="93"/>
      <c r="W32" s="93"/>
      <c r="X32" s="93"/>
      <c r="Y32" s="93"/>
      <c r="Z32" s="93"/>
    </row>
    <row r="33" ht="14.25" customHeight="1">
      <c r="A33" s="109" t="s">
        <v>192</v>
      </c>
      <c r="B33" s="93">
        <v>2022.0</v>
      </c>
      <c r="C33" s="93" t="s">
        <v>213</v>
      </c>
      <c r="D33" s="124" t="s">
        <v>513</v>
      </c>
      <c r="E33" s="125">
        <v>0.0</v>
      </c>
      <c r="F33" s="125">
        <v>0.0</v>
      </c>
      <c r="G33" s="93">
        <f t="shared" si="6"/>
        <v>0</v>
      </c>
      <c r="H33" s="124"/>
      <c r="I33" s="111" t="s">
        <v>517</v>
      </c>
      <c r="J33" s="93"/>
      <c r="K33" s="93"/>
      <c r="L33" s="93"/>
      <c r="M33" s="93"/>
      <c r="N33" s="93"/>
      <c r="O33" s="93"/>
      <c r="P33" s="93"/>
      <c r="Q33" s="93"/>
      <c r="R33" s="93"/>
      <c r="S33" s="93"/>
      <c r="T33" s="93"/>
      <c r="U33" s="93"/>
      <c r="V33" s="93"/>
      <c r="W33" s="93"/>
      <c r="X33" s="93"/>
      <c r="Y33" s="93"/>
      <c r="Z33" s="93"/>
    </row>
    <row r="34" ht="14.25" customHeight="1">
      <c r="A34" s="109" t="s">
        <v>192</v>
      </c>
      <c r="B34" s="93">
        <v>2023.0</v>
      </c>
      <c r="C34" s="93" t="s">
        <v>213</v>
      </c>
      <c r="D34" s="93" t="s">
        <v>513</v>
      </c>
      <c r="E34" s="110">
        <v>3.0</v>
      </c>
      <c r="F34" s="110">
        <v>0.0</v>
      </c>
      <c r="G34" s="93">
        <f t="shared" si="6"/>
        <v>3</v>
      </c>
      <c r="H34" s="93"/>
      <c r="I34" s="111" t="s">
        <v>518</v>
      </c>
      <c r="J34" s="93"/>
      <c r="K34" s="93"/>
      <c r="L34" s="93"/>
      <c r="M34" s="93"/>
      <c r="N34" s="93"/>
      <c r="O34" s="93"/>
      <c r="P34" s="93"/>
      <c r="Q34" s="93"/>
      <c r="R34" s="93"/>
      <c r="S34" s="93"/>
      <c r="T34" s="93"/>
      <c r="U34" s="93"/>
      <c r="V34" s="93"/>
      <c r="W34" s="93"/>
      <c r="X34" s="93"/>
      <c r="Y34" s="93"/>
      <c r="Z34" s="93"/>
    </row>
    <row r="35" ht="14.25" customHeight="1">
      <c r="A35" s="109" t="s">
        <v>192</v>
      </c>
      <c r="B35" s="93">
        <v>2024.0</v>
      </c>
      <c r="C35" s="93" t="s">
        <v>213</v>
      </c>
      <c r="D35" s="93" t="s">
        <v>513</v>
      </c>
      <c r="E35" s="110">
        <v>1.0</v>
      </c>
      <c r="F35" s="110">
        <v>0.0</v>
      </c>
      <c r="G35" s="93">
        <f t="shared" si="6"/>
        <v>1</v>
      </c>
      <c r="H35" s="93"/>
      <c r="I35" s="111" t="s">
        <v>519</v>
      </c>
      <c r="J35" s="93"/>
      <c r="K35" s="93"/>
      <c r="L35" s="93"/>
      <c r="M35" s="93"/>
      <c r="N35" s="93"/>
      <c r="O35" s="93"/>
      <c r="P35" s="93"/>
      <c r="Q35" s="93"/>
      <c r="R35" s="93"/>
      <c r="S35" s="93"/>
      <c r="T35" s="93"/>
      <c r="U35" s="93"/>
      <c r="V35" s="93"/>
      <c r="W35" s="93"/>
      <c r="X35" s="93"/>
      <c r="Y35" s="93"/>
      <c r="Z35" s="93"/>
    </row>
    <row r="36" ht="14.25" customHeight="1">
      <c r="A36" s="109" t="s">
        <v>192</v>
      </c>
      <c r="B36" s="93">
        <v>2025.0</v>
      </c>
      <c r="C36" s="93" t="s">
        <v>213</v>
      </c>
      <c r="D36" s="93" t="s">
        <v>513</v>
      </c>
      <c r="E36" s="110">
        <v>4.0</v>
      </c>
      <c r="F36" s="110">
        <v>1.0</v>
      </c>
      <c r="G36" s="93">
        <f t="shared" si="6"/>
        <v>5</v>
      </c>
      <c r="H36" s="93"/>
      <c r="I36" s="111" t="s">
        <v>520</v>
      </c>
      <c r="J36" s="93"/>
      <c r="K36" s="93"/>
      <c r="L36" s="93"/>
      <c r="M36" s="93"/>
      <c r="N36" s="93"/>
      <c r="O36" s="93"/>
      <c r="P36" s="93"/>
      <c r="Q36" s="93"/>
      <c r="R36" s="93"/>
      <c r="S36" s="93"/>
      <c r="T36" s="93"/>
      <c r="U36" s="93"/>
      <c r="V36" s="93"/>
      <c r="W36" s="93"/>
      <c r="X36" s="93"/>
      <c r="Y36" s="93"/>
      <c r="Z36" s="93"/>
    </row>
    <row r="37" ht="14.25" customHeight="1">
      <c r="A37" s="115" t="s">
        <v>496</v>
      </c>
      <c r="B37" s="116"/>
      <c r="C37" s="116"/>
      <c r="D37" s="116"/>
      <c r="E37" s="116"/>
      <c r="F37" s="117"/>
      <c r="G37" s="118">
        <f>SUM(G26:G36)</f>
        <v>16</v>
      </c>
      <c r="H37" s="119"/>
      <c r="I37" s="120"/>
      <c r="J37" s="93"/>
      <c r="K37" s="93"/>
      <c r="L37" s="93"/>
      <c r="M37" s="93"/>
      <c r="N37" s="93"/>
      <c r="O37" s="93"/>
      <c r="P37" s="93"/>
      <c r="Q37" s="93"/>
      <c r="R37" s="93"/>
      <c r="S37" s="93"/>
      <c r="T37" s="93"/>
      <c r="U37" s="93"/>
      <c r="V37" s="93"/>
      <c r="W37" s="93"/>
      <c r="X37" s="93"/>
      <c r="Y37" s="93"/>
      <c r="Z37" s="93"/>
    </row>
    <row r="38" ht="14.25" customHeight="1">
      <c r="A38" s="109" t="s">
        <v>244</v>
      </c>
      <c r="B38" s="93">
        <v>2015.0</v>
      </c>
      <c r="C38" s="93" t="s">
        <v>521</v>
      </c>
      <c r="D38" s="126" t="s">
        <v>522</v>
      </c>
      <c r="E38" s="110">
        <v>0.0</v>
      </c>
      <c r="F38" s="110">
        <v>0.0</v>
      </c>
      <c r="G38" s="93">
        <f t="shared" ref="G38:G48" si="7">SUM(E38:F38)</f>
        <v>0</v>
      </c>
      <c r="H38" s="93"/>
      <c r="I38" s="111" t="s">
        <v>523</v>
      </c>
      <c r="J38" s="93"/>
      <c r="K38" s="93"/>
      <c r="L38" s="93"/>
      <c r="M38" s="93"/>
      <c r="N38" s="93"/>
      <c r="O38" s="93"/>
      <c r="P38" s="93"/>
      <c r="Q38" s="93"/>
      <c r="R38" s="93"/>
      <c r="S38" s="93"/>
      <c r="T38" s="93"/>
      <c r="U38" s="93"/>
      <c r="V38" s="93"/>
      <c r="W38" s="93"/>
      <c r="X38" s="93"/>
      <c r="Y38" s="93"/>
      <c r="Z38" s="93"/>
    </row>
    <row r="39" ht="14.25" customHeight="1">
      <c r="A39" s="109" t="s">
        <v>244</v>
      </c>
      <c r="B39" s="93">
        <v>2016.0</v>
      </c>
      <c r="C39" s="93" t="s">
        <v>524</v>
      </c>
      <c r="D39" s="126" t="s">
        <v>525</v>
      </c>
      <c r="E39" s="110">
        <v>0.0</v>
      </c>
      <c r="F39" s="110">
        <v>0.0</v>
      </c>
      <c r="G39" s="93">
        <f t="shared" si="7"/>
        <v>0</v>
      </c>
      <c r="H39" s="93"/>
      <c r="I39" s="111" t="s">
        <v>526</v>
      </c>
      <c r="J39" s="93"/>
      <c r="K39" s="93"/>
      <c r="L39" s="93"/>
      <c r="M39" s="93"/>
      <c r="N39" s="93"/>
      <c r="O39" s="93"/>
      <c r="P39" s="93"/>
      <c r="Q39" s="93"/>
      <c r="R39" s="93"/>
      <c r="S39" s="93"/>
      <c r="T39" s="93"/>
      <c r="U39" s="93"/>
      <c r="V39" s="93"/>
      <c r="W39" s="93"/>
      <c r="X39" s="93"/>
      <c r="Y39" s="93"/>
      <c r="Z39" s="93"/>
    </row>
    <row r="40" ht="14.25" customHeight="1">
      <c r="A40" s="109" t="s">
        <v>244</v>
      </c>
      <c r="B40" s="93">
        <v>2017.0</v>
      </c>
      <c r="C40" s="93" t="s">
        <v>245</v>
      </c>
      <c r="D40" s="93" t="s">
        <v>527</v>
      </c>
      <c r="E40" s="110">
        <v>1.0</v>
      </c>
      <c r="F40" s="110">
        <v>0.0</v>
      </c>
      <c r="G40" s="93">
        <f t="shared" si="7"/>
        <v>1</v>
      </c>
      <c r="H40" s="93"/>
      <c r="I40" s="111" t="s">
        <v>528</v>
      </c>
      <c r="J40" s="93"/>
      <c r="K40" s="93"/>
      <c r="L40" s="93"/>
      <c r="M40" s="93"/>
      <c r="N40" s="93"/>
      <c r="O40" s="93"/>
      <c r="P40" s="93"/>
      <c r="Q40" s="93"/>
      <c r="R40" s="93"/>
      <c r="S40" s="93"/>
      <c r="T40" s="93"/>
      <c r="U40" s="93"/>
      <c r="V40" s="93"/>
      <c r="W40" s="93"/>
      <c r="X40" s="93"/>
      <c r="Y40" s="93"/>
      <c r="Z40" s="93"/>
    </row>
    <row r="41" ht="14.25" customHeight="1">
      <c r="A41" s="109" t="s">
        <v>244</v>
      </c>
      <c r="B41" s="93">
        <v>2018.0</v>
      </c>
      <c r="C41" s="93" t="s">
        <v>256</v>
      </c>
      <c r="D41" s="126" t="s">
        <v>529</v>
      </c>
      <c r="E41" s="110">
        <v>0.0</v>
      </c>
      <c r="F41" s="110">
        <v>0.0</v>
      </c>
      <c r="G41" s="93">
        <f t="shared" si="7"/>
        <v>0</v>
      </c>
      <c r="H41" s="93"/>
      <c r="I41" s="111" t="s">
        <v>530</v>
      </c>
      <c r="J41" s="93"/>
      <c r="K41" s="93"/>
      <c r="L41" s="93"/>
      <c r="M41" s="93"/>
      <c r="N41" s="93"/>
      <c r="O41" s="93"/>
      <c r="P41" s="93"/>
      <c r="Q41" s="93"/>
      <c r="R41" s="93"/>
      <c r="S41" s="93"/>
      <c r="T41" s="93"/>
      <c r="U41" s="93"/>
      <c r="V41" s="93"/>
      <c r="W41" s="93"/>
      <c r="X41" s="93"/>
      <c r="Y41" s="93"/>
      <c r="Z41" s="93"/>
    </row>
    <row r="42" ht="14.25" customHeight="1">
      <c r="A42" s="109" t="s">
        <v>244</v>
      </c>
      <c r="B42" s="93">
        <v>2019.0</v>
      </c>
      <c r="C42" s="93" t="s">
        <v>256</v>
      </c>
      <c r="D42" s="127"/>
      <c r="E42" s="113"/>
      <c r="F42" s="113"/>
      <c r="G42" s="114">
        <f t="shared" si="7"/>
        <v>0</v>
      </c>
      <c r="H42" s="93"/>
      <c r="I42" s="111"/>
      <c r="J42" s="93"/>
      <c r="K42" s="93"/>
      <c r="L42" s="93"/>
      <c r="M42" s="93"/>
      <c r="N42" s="93"/>
      <c r="O42" s="93"/>
      <c r="P42" s="93"/>
      <c r="Q42" s="93"/>
      <c r="R42" s="93"/>
      <c r="S42" s="93"/>
      <c r="T42" s="93"/>
      <c r="U42" s="93"/>
      <c r="V42" s="93"/>
      <c r="W42" s="93"/>
      <c r="X42" s="93"/>
      <c r="Y42" s="93"/>
      <c r="Z42" s="93"/>
    </row>
    <row r="43" ht="14.25" customHeight="1">
      <c r="A43" s="109" t="s">
        <v>244</v>
      </c>
      <c r="B43" s="93">
        <v>2020.0</v>
      </c>
      <c r="C43" s="93" t="s">
        <v>256</v>
      </c>
      <c r="D43" s="128" t="s">
        <v>531</v>
      </c>
      <c r="E43" s="110">
        <v>0.0</v>
      </c>
      <c r="F43" s="110">
        <v>1.0</v>
      </c>
      <c r="G43" s="93">
        <f t="shared" si="7"/>
        <v>1</v>
      </c>
      <c r="H43" s="93"/>
      <c r="I43" s="111" t="s">
        <v>532</v>
      </c>
      <c r="J43" s="93"/>
      <c r="K43" s="93"/>
      <c r="L43" s="93"/>
      <c r="M43" s="93"/>
      <c r="N43" s="93"/>
      <c r="O43" s="93"/>
      <c r="P43" s="93"/>
      <c r="Q43" s="93"/>
      <c r="R43" s="93"/>
      <c r="S43" s="93"/>
      <c r="T43" s="93"/>
      <c r="U43" s="93"/>
      <c r="V43" s="93"/>
      <c r="W43" s="93"/>
      <c r="X43" s="93"/>
      <c r="Y43" s="93"/>
      <c r="Z43" s="93"/>
    </row>
    <row r="44" ht="14.25" customHeight="1">
      <c r="A44" s="109" t="s">
        <v>244</v>
      </c>
      <c r="B44" s="93">
        <v>2021.0</v>
      </c>
      <c r="C44" s="93" t="s">
        <v>256</v>
      </c>
      <c r="D44" s="126" t="s">
        <v>533</v>
      </c>
      <c r="E44" s="110">
        <v>0.0</v>
      </c>
      <c r="F44" s="110">
        <v>1.0</v>
      </c>
      <c r="G44" s="93">
        <f t="shared" si="7"/>
        <v>1</v>
      </c>
      <c r="H44" s="93"/>
      <c r="I44" s="111" t="s">
        <v>534</v>
      </c>
      <c r="J44" s="93"/>
      <c r="K44" s="93"/>
      <c r="L44" s="93"/>
      <c r="M44" s="93"/>
      <c r="N44" s="93"/>
      <c r="O44" s="93"/>
      <c r="P44" s="93"/>
      <c r="Q44" s="93"/>
      <c r="R44" s="93"/>
      <c r="S44" s="93"/>
      <c r="T44" s="93"/>
      <c r="U44" s="93"/>
      <c r="V44" s="93"/>
      <c r="W44" s="93"/>
      <c r="X44" s="93"/>
      <c r="Y44" s="93"/>
      <c r="Z44" s="93"/>
    </row>
    <row r="45" ht="14.25" customHeight="1">
      <c r="A45" s="109" t="s">
        <v>244</v>
      </c>
      <c r="B45" s="93">
        <v>2022.0</v>
      </c>
      <c r="C45" s="93" t="s">
        <v>256</v>
      </c>
      <c r="D45" s="126" t="s">
        <v>535</v>
      </c>
      <c r="E45" s="110">
        <v>0.0</v>
      </c>
      <c r="F45" s="110">
        <v>0.0</v>
      </c>
      <c r="G45" s="93">
        <f t="shared" si="7"/>
        <v>0</v>
      </c>
      <c r="H45" s="93"/>
      <c r="I45" s="111" t="s">
        <v>536</v>
      </c>
      <c r="J45" s="93"/>
      <c r="K45" s="93"/>
      <c r="L45" s="93"/>
      <c r="M45" s="93"/>
      <c r="N45" s="93"/>
      <c r="O45" s="93"/>
      <c r="P45" s="93"/>
      <c r="Q45" s="93"/>
      <c r="R45" s="93"/>
      <c r="S45" s="93"/>
      <c r="T45" s="93"/>
      <c r="U45" s="93"/>
      <c r="V45" s="93"/>
      <c r="W45" s="93"/>
      <c r="X45" s="93"/>
      <c r="Y45" s="93"/>
      <c r="Z45" s="93"/>
    </row>
    <row r="46" ht="40.5" customHeight="1">
      <c r="A46" s="109" t="s">
        <v>244</v>
      </c>
      <c r="B46" s="93">
        <v>2023.0</v>
      </c>
      <c r="C46" s="93" t="s">
        <v>256</v>
      </c>
      <c r="D46" s="126" t="s">
        <v>537</v>
      </c>
      <c r="E46" s="110">
        <v>0.0</v>
      </c>
      <c r="F46" s="110">
        <v>0.0</v>
      </c>
      <c r="G46" s="93">
        <f t="shared" si="7"/>
        <v>0</v>
      </c>
      <c r="H46" s="93"/>
      <c r="I46" s="111" t="s">
        <v>538</v>
      </c>
      <c r="J46" s="93"/>
      <c r="K46" s="93"/>
      <c r="L46" s="93"/>
      <c r="M46" s="93"/>
      <c r="N46" s="93"/>
      <c r="O46" s="93"/>
      <c r="P46" s="93"/>
      <c r="Q46" s="93"/>
      <c r="R46" s="93"/>
      <c r="S46" s="93"/>
      <c r="T46" s="93"/>
      <c r="U46" s="93"/>
      <c r="V46" s="93"/>
      <c r="W46" s="93"/>
      <c r="X46" s="93"/>
      <c r="Y46" s="93"/>
      <c r="Z46" s="93"/>
    </row>
    <row r="47" ht="14.25" customHeight="1">
      <c r="A47" s="109" t="s">
        <v>244</v>
      </c>
      <c r="B47" s="93">
        <v>2024.0</v>
      </c>
      <c r="C47" s="93" t="s">
        <v>256</v>
      </c>
      <c r="D47" s="126" t="s">
        <v>539</v>
      </c>
      <c r="E47" s="110">
        <v>0.0</v>
      </c>
      <c r="F47" s="110">
        <v>0.0</v>
      </c>
      <c r="G47" s="93">
        <f t="shared" si="7"/>
        <v>0</v>
      </c>
      <c r="H47" s="93"/>
      <c r="I47" s="111" t="s">
        <v>540</v>
      </c>
      <c r="J47" s="93"/>
      <c r="K47" s="93"/>
      <c r="L47" s="93"/>
      <c r="M47" s="93"/>
      <c r="N47" s="93"/>
      <c r="O47" s="93"/>
      <c r="P47" s="93"/>
      <c r="Q47" s="93"/>
      <c r="R47" s="93"/>
      <c r="S47" s="93"/>
      <c r="T47" s="93"/>
      <c r="U47" s="93"/>
      <c r="V47" s="93"/>
      <c r="W47" s="93"/>
      <c r="X47" s="93"/>
      <c r="Y47" s="93"/>
      <c r="Z47" s="93"/>
    </row>
    <row r="48" ht="14.25" customHeight="1">
      <c r="A48" s="109" t="s">
        <v>244</v>
      </c>
      <c r="B48" s="93">
        <v>2025.0</v>
      </c>
      <c r="C48" s="93" t="s">
        <v>256</v>
      </c>
      <c r="D48" s="126" t="s">
        <v>541</v>
      </c>
      <c r="E48" s="110">
        <v>0.0</v>
      </c>
      <c r="F48" s="110">
        <v>0.0</v>
      </c>
      <c r="G48" s="93">
        <f t="shared" si="7"/>
        <v>0</v>
      </c>
      <c r="H48" s="93"/>
      <c r="I48" s="111" t="s">
        <v>542</v>
      </c>
      <c r="J48" s="93"/>
      <c r="K48" s="93"/>
      <c r="L48" s="93"/>
      <c r="M48" s="93"/>
      <c r="N48" s="93"/>
      <c r="O48" s="93"/>
      <c r="P48" s="93"/>
      <c r="Q48" s="93"/>
      <c r="R48" s="93"/>
      <c r="S48" s="93"/>
      <c r="T48" s="93"/>
      <c r="U48" s="93"/>
      <c r="V48" s="93"/>
      <c r="W48" s="93"/>
      <c r="X48" s="93"/>
      <c r="Y48" s="93"/>
      <c r="Z48" s="93"/>
    </row>
    <row r="49" ht="14.25" customHeight="1">
      <c r="A49" s="129" t="s">
        <v>496</v>
      </c>
      <c r="B49" s="130"/>
      <c r="C49" s="130"/>
      <c r="D49" s="130"/>
      <c r="E49" s="130"/>
      <c r="F49" s="131"/>
      <c r="G49" s="82">
        <f>SUM(G38:G48)</f>
        <v>3</v>
      </c>
      <c r="H49" s="93"/>
      <c r="I49" s="111"/>
      <c r="J49" s="93"/>
      <c r="K49" s="93"/>
      <c r="L49" s="93"/>
      <c r="M49" s="93"/>
      <c r="N49" s="93"/>
      <c r="O49" s="93"/>
      <c r="P49" s="93"/>
      <c r="Q49" s="93"/>
      <c r="R49" s="93"/>
      <c r="S49" s="93"/>
      <c r="T49" s="93"/>
      <c r="U49" s="93"/>
      <c r="V49" s="93"/>
      <c r="W49" s="93"/>
      <c r="X49" s="93"/>
      <c r="Y49" s="93"/>
      <c r="Z49" s="93"/>
    </row>
    <row r="50" ht="39.75" customHeight="1">
      <c r="A50" s="105" t="s">
        <v>294</v>
      </c>
      <c r="B50" s="106">
        <v>2015.0</v>
      </c>
      <c r="C50" s="106" t="s">
        <v>306</v>
      </c>
      <c r="D50" s="132" t="s">
        <v>543</v>
      </c>
      <c r="E50" s="133">
        <v>0.0</v>
      </c>
      <c r="F50" s="133">
        <v>0.0</v>
      </c>
      <c r="G50" s="132">
        <f>SUM(E50:F50)</f>
        <v>0</v>
      </c>
      <c r="H50" s="132"/>
      <c r="I50" s="134" t="s">
        <v>544</v>
      </c>
      <c r="J50" s="93"/>
      <c r="K50" s="93"/>
      <c r="L50" s="93"/>
      <c r="M50" s="93"/>
      <c r="N50" s="93"/>
      <c r="O50" s="93"/>
      <c r="P50" s="93"/>
      <c r="Q50" s="93"/>
      <c r="R50" s="93"/>
      <c r="S50" s="93"/>
      <c r="T50" s="93"/>
      <c r="U50" s="93"/>
      <c r="V50" s="93"/>
      <c r="W50" s="93"/>
      <c r="X50" s="93"/>
      <c r="Y50" s="93"/>
      <c r="Z50" s="93"/>
    </row>
    <row r="51" ht="14.25" customHeight="1">
      <c r="A51" s="109" t="s">
        <v>294</v>
      </c>
      <c r="B51" s="93">
        <v>2016.0</v>
      </c>
      <c r="C51" s="93" t="s">
        <v>306</v>
      </c>
      <c r="D51" s="112" t="s">
        <v>545</v>
      </c>
      <c r="E51" s="113"/>
      <c r="F51" s="113"/>
      <c r="G51" s="135"/>
      <c r="H51" s="93"/>
      <c r="I51" s="136"/>
      <c r="J51" s="93"/>
      <c r="K51" s="93"/>
      <c r="L51" s="93"/>
      <c r="M51" s="93"/>
      <c r="N51" s="93"/>
      <c r="O51" s="93"/>
      <c r="P51" s="93"/>
      <c r="Q51" s="93"/>
      <c r="R51" s="93"/>
      <c r="S51" s="93"/>
      <c r="T51" s="93"/>
      <c r="U51" s="93"/>
      <c r="V51" s="93"/>
      <c r="W51" s="93"/>
      <c r="X51" s="93"/>
      <c r="Y51" s="93"/>
      <c r="Z51" s="93"/>
    </row>
    <row r="52" ht="14.25" customHeight="1">
      <c r="A52" s="109" t="s">
        <v>294</v>
      </c>
      <c r="B52" s="93">
        <v>2017.0</v>
      </c>
      <c r="C52" s="93" t="s">
        <v>306</v>
      </c>
      <c r="D52" s="114"/>
      <c r="E52" s="113"/>
      <c r="F52" s="113"/>
      <c r="G52" s="135"/>
      <c r="H52" s="93"/>
      <c r="I52" s="136"/>
      <c r="J52" s="93"/>
      <c r="K52" s="93"/>
      <c r="L52" s="93"/>
      <c r="M52" s="93"/>
      <c r="N52" s="93"/>
      <c r="O52" s="93"/>
      <c r="P52" s="93"/>
      <c r="Q52" s="93"/>
      <c r="R52" s="93"/>
      <c r="S52" s="93"/>
      <c r="T52" s="93"/>
      <c r="U52" s="93"/>
      <c r="V52" s="93"/>
      <c r="W52" s="93"/>
      <c r="X52" s="93"/>
      <c r="Y52" s="93"/>
      <c r="Z52" s="93"/>
    </row>
    <row r="53" ht="14.25" customHeight="1">
      <c r="A53" s="109" t="s">
        <v>294</v>
      </c>
      <c r="B53" s="93">
        <v>2018.0</v>
      </c>
      <c r="C53" s="93" t="s">
        <v>312</v>
      </c>
      <c r="D53" s="126" t="s">
        <v>546</v>
      </c>
      <c r="E53" s="110">
        <v>4.0</v>
      </c>
      <c r="F53" s="110">
        <v>0.0</v>
      </c>
      <c r="G53" s="126">
        <f t="shared" ref="G53:G60" si="8">SUM(E53:F53)</f>
        <v>4</v>
      </c>
      <c r="H53" s="93"/>
      <c r="I53" s="111" t="s">
        <v>547</v>
      </c>
      <c r="J53" s="93"/>
      <c r="K53" s="93"/>
      <c r="L53" s="93"/>
      <c r="M53" s="93"/>
      <c r="N53" s="93"/>
      <c r="O53" s="93"/>
      <c r="P53" s="93"/>
      <c r="Q53" s="93"/>
      <c r="R53" s="93"/>
      <c r="S53" s="93"/>
      <c r="T53" s="93"/>
      <c r="U53" s="93"/>
      <c r="V53" s="93"/>
      <c r="W53" s="93"/>
      <c r="X53" s="93"/>
      <c r="Y53" s="93"/>
      <c r="Z53" s="93"/>
    </row>
    <row r="54" ht="14.25" customHeight="1">
      <c r="A54" s="109" t="s">
        <v>294</v>
      </c>
      <c r="B54" s="93">
        <v>2019.0</v>
      </c>
      <c r="C54" s="93" t="s">
        <v>312</v>
      </c>
      <c r="D54" s="93" t="s">
        <v>548</v>
      </c>
      <c r="E54" s="110">
        <v>1.0</v>
      </c>
      <c r="F54" s="110">
        <v>2.0</v>
      </c>
      <c r="G54" s="126">
        <f t="shared" si="8"/>
        <v>3</v>
      </c>
      <c r="H54" s="93"/>
      <c r="I54" s="136" t="s">
        <v>549</v>
      </c>
      <c r="J54" s="93"/>
      <c r="K54" s="93"/>
      <c r="L54" s="93"/>
      <c r="M54" s="93"/>
      <c r="N54" s="93"/>
      <c r="O54" s="93"/>
      <c r="P54" s="93"/>
      <c r="Q54" s="93"/>
      <c r="R54" s="93"/>
      <c r="S54" s="93"/>
      <c r="T54" s="93"/>
      <c r="U54" s="93"/>
      <c r="V54" s="93"/>
      <c r="W54" s="93"/>
      <c r="X54" s="93"/>
      <c r="Y54" s="93"/>
      <c r="Z54" s="93"/>
    </row>
    <row r="55" ht="14.25" customHeight="1">
      <c r="A55" s="109" t="s">
        <v>294</v>
      </c>
      <c r="B55" s="93">
        <v>2020.0</v>
      </c>
      <c r="C55" s="93" t="s">
        <v>312</v>
      </c>
      <c r="D55" s="126" t="s">
        <v>550</v>
      </c>
      <c r="E55" s="110">
        <v>0.0</v>
      </c>
      <c r="F55" s="110">
        <v>0.0</v>
      </c>
      <c r="G55" s="126">
        <f t="shared" si="8"/>
        <v>0</v>
      </c>
      <c r="H55" s="93"/>
      <c r="I55" s="136" t="s">
        <v>551</v>
      </c>
      <c r="J55" s="93"/>
      <c r="K55" s="93"/>
      <c r="L55" s="93"/>
      <c r="M55" s="93"/>
      <c r="N55" s="93"/>
      <c r="O55" s="93"/>
      <c r="P55" s="93"/>
      <c r="Q55" s="93"/>
      <c r="R55" s="93"/>
      <c r="S55" s="93"/>
      <c r="T55" s="93"/>
      <c r="U55" s="93"/>
      <c r="V55" s="93"/>
      <c r="W55" s="93"/>
      <c r="X55" s="93"/>
      <c r="Y55" s="93"/>
      <c r="Z55" s="93"/>
    </row>
    <row r="56" ht="14.25" customHeight="1">
      <c r="A56" s="109" t="s">
        <v>294</v>
      </c>
      <c r="B56" s="93">
        <v>2021.0</v>
      </c>
      <c r="C56" s="93" t="s">
        <v>328</v>
      </c>
      <c r="D56" s="93" t="s">
        <v>552</v>
      </c>
      <c r="E56" s="110">
        <v>2.0</v>
      </c>
      <c r="F56" s="110">
        <v>0.0</v>
      </c>
      <c r="G56" s="126">
        <f t="shared" si="8"/>
        <v>2</v>
      </c>
      <c r="H56" s="93"/>
      <c r="I56" s="136" t="s">
        <v>553</v>
      </c>
      <c r="J56" s="93"/>
      <c r="K56" s="93"/>
      <c r="L56" s="93"/>
      <c r="M56" s="93"/>
      <c r="N56" s="93"/>
      <c r="O56" s="93"/>
      <c r="P56" s="93"/>
      <c r="Q56" s="93"/>
      <c r="R56" s="93"/>
      <c r="S56" s="93"/>
      <c r="T56" s="93"/>
      <c r="U56" s="93"/>
      <c r="V56" s="93"/>
      <c r="W56" s="93"/>
      <c r="X56" s="93"/>
      <c r="Y56" s="93"/>
      <c r="Z56" s="93"/>
    </row>
    <row r="57" ht="14.25" customHeight="1">
      <c r="A57" s="109" t="s">
        <v>294</v>
      </c>
      <c r="B57" s="93">
        <v>2022.0</v>
      </c>
      <c r="C57" s="93" t="s">
        <v>328</v>
      </c>
      <c r="D57" s="93" t="s">
        <v>554</v>
      </c>
      <c r="E57" s="110">
        <v>0.0</v>
      </c>
      <c r="F57" s="110">
        <v>0.0</v>
      </c>
      <c r="G57" s="126">
        <f t="shared" si="8"/>
        <v>0</v>
      </c>
      <c r="H57" s="93"/>
      <c r="I57" s="136" t="s">
        <v>555</v>
      </c>
      <c r="J57" s="93"/>
      <c r="K57" s="93"/>
      <c r="L57" s="93"/>
      <c r="M57" s="93"/>
      <c r="N57" s="93"/>
      <c r="O57" s="93"/>
      <c r="P57" s="93"/>
      <c r="Q57" s="93"/>
      <c r="R57" s="93"/>
      <c r="S57" s="93"/>
      <c r="T57" s="93"/>
      <c r="U57" s="93"/>
      <c r="V57" s="93"/>
      <c r="W57" s="93"/>
      <c r="X57" s="93"/>
      <c r="Y57" s="93"/>
      <c r="Z57" s="93"/>
    </row>
    <row r="58" ht="14.25" customHeight="1">
      <c r="A58" s="109" t="s">
        <v>294</v>
      </c>
      <c r="B58" s="93">
        <v>2023.0</v>
      </c>
      <c r="C58" s="93" t="s">
        <v>328</v>
      </c>
      <c r="D58" s="126" t="s">
        <v>556</v>
      </c>
      <c r="E58" s="110">
        <v>0.0</v>
      </c>
      <c r="F58" s="110">
        <v>1.0</v>
      </c>
      <c r="G58" s="126">
        <f t="shared" si="8"/>
        <v>1</v>
      </c>
      <c r="H58" s="93"/>
      <c r="I58" s="136" t="s">
        <v>557</v>
      </c>
      <c r="J58" s="93"/>
      <c r="K58" s="93"/>
      <c r="L58" s="93"/>
      <c r="M58" s="93"/>
      <c r="N58" s="93"/>
      <c r="O58" s="93"/>
      <c r="P58" s="93"/>
      <c r="Q58" s="93"/>
      <c r="R58" s="93"/>
      <c r="S58" s="93"/>
      <c r="T58" s="93"/>
      <c r="U58" s="93"/>
      <c r="V58" s="93"/>
      <c r="W58" s="93"/>
      <c r="X58" s="93"/>
      <c r="Y58" s="93"/>
      <c r="Z58" s="93"/>
    </row>
    <row r="59" ht="14.25" customHeight="1">
      <c r="A59" s="109" t="s">
        <v>294</v>
      </c>
      <c r="B59" s="93">
        <v>2024.0</v>
      </c>
      <c r="C59" s="93" t="s">
        <v>328</v>
      </c>
      <c r="D59" s="93" t="s">
        <v>558</v>
      </c>
      <c r="E59" s="110">
        <v>0.0</v>
      </c>
      <c r="F59" s="110">
        <v>1.0</v>
      </c>
      <c r="G59" s="126">
        <f t="shared" si="8"/>
        <v>1</v>
      </c>
      <c r="H59" s="93"/>
      <c r="I59" s="111" t="s">
        <v>559</v>
      </c>
      <c r="J59" s="93"/>
      <c r="K59" s="93"/>
      <c r="L59" s="93"/>
      <c r="M59" s="93"/>
      <c r="N59" s="93"/>
      <c r="O59" s="93"/>
      <c r="P59" s="93"/>
      <c r="Q59" s="93"/>
      <c r="R59" s="93"/>
      <c r="S59" s="93"/>
      <c r="T59" s="93"/>
      <c r="U59" s="93"/>
      <c r="V59" s="93"/>
      <c r="W59" s="93"/>
      <c r="X59" s="93"/>
      <c r="Y59" s="93"/>
      <c r="Z59" s="93"/>
    </row>
    <row r="60" ht="14.25" customHeight="1">
      <c r="A60" s="109" t="s">
        <v>294</v>
      </c>
      <c r="B60" s="93">
        <v>2025.0</v>
      </c>
      <c r="C60" s="93" t="s">
        <v>328</v>
      </c>
      <c r="D60" s="93" t="s">
        <v>560</v>
      </c>
      <c r="E60" s="110">
        <v>0.0</v>
      </c>
      <c r="F60" s="110">
        <v>0.0</v>
      </c>
      <c r="G60" s="126">
        <f t="shared" si="8"/>
        <v>0</v>
      </c>
      <c r="H60" s="93"/>
      <c r="I60" s="136" t="s">
        <v>561</v>
      </c>
      <c r="J60" s="93"/>
      <c r="K60" s="93"/>
      <c r="L60" s="93"/>
      <c r="M60" s="93"/>
      <c r="N60" s="93"/>
      <c r="O60" s="93"/>
      <c r="P60" s="93"/>
      <c r="Q60" s="93"/>
      <c r="R60" s="93"/>
      <c r="S60" s="93"/>
      <c r="T60" s="93"/>
      <c r="U60" s="93"/>
      <c r="V60" s="93"/>
      <c r="W60" s="93"/>
      <c r="X60" s="93"/>
      <c r="Y60" s="93"/>
      <c r="Z60" s="93"/>
    </row>
    <row r="61" ht="14.25" customHeight="1">
      <c r="A61" s="115" t="s">
        <v>496</v>
      </c>
      <c r="B61" s="116"/>
      <c r="C61" s="116"/>
      <c r="D61" s="116"/>
      <c r="E61" s="116"/>
      <c r="F61" s="117"/>
      <c r="G61" s="118">
        <f>SUM(G50:G60)</f>
        <v>11</v>
      </c>
      <c r="H61" s="119"/>
      <c r="I61" s="137"/>
      <c r="J61" s="93"/>
      <c r="K61" s="93"/>
      <c r="L61" s="93"/>
      <c r="M61" s="93"/>
      <c r="N61" s="93"/>
      <c r="O61" s="93"/>
      <c r="P61" s="93"/>
      <c r="Q61" s="93"/>
      <c r="R61" s="93"/>
      <c r="S61" s="93"/>
      <c r="T61" s="93"/>
      <c r="U61" s="93"/>
      <c r="V61" s="93"/>
      <c r="W61" s="93"/>
      <c r="X61" s="93"/>
      <c r="Y61" s="93"/>
      <c r="Z61" s="93"/>
    </row>
    <row r="62" ht="14.25" customHeight="1">
      <c r="A62" s="93"/>
      <c r="B62" s="93"/>
      <c r="C62" s="93"/>
      <c r="D62" s="93"/>
      <c r="E62" s="110"/>
      <c r="F62" s="110"/>
      <c r="G62" s="93"/>
      <c r="H62" s="93"/>
      <c r="I62" s="93"/>
      <c r="J62" s="93"/>
      <c r="K62" s="93"/>
      <c r="L62" s="93"/>
      <c r="M62" s="93"/>
      <c r="N62" s="93"/>
      <c r="O62" s="93"/>
      <c r="P62" s="93"/>
      <c r="Q62" s="93"/>
      <c r="R62" s="93"/>
      <c r="S62" s="93"/>
      <c r="T62" s="93"/>
      <c r="U62" s="93"/>
      <c r="V62" s="93"/>
      <c r="W62" s="93"/>
      <c r="X62" s="93"/>
      <c r="Y62" s="93"/>
      <c r="Z62" s="93"/>
    </row>
    <row r="63" ht="14.25" customHeight="1">
      <c r="A63" s="93"/>
      <c r="B63" s="93"/>
      <c r="C63" s="93"/>
      <c r="D63" s="93"/>
      <c r="E63" s="110"/>
      <c r="F63" s="110"/>
      <c r="G63" s="93"/>
      <c r="H63" s="93"/>
      <c r="I63" s="93"/>
      <c r="J63" s="93"/>
      <c r="K63" s="93"/>
      <c r="L63" s="93"/>
      <c r="M63" s="93"/>
      <c r="N63" s="93"/>
      <c r="O63" s="93"/>
      <c r="P63" s="93"/>
      <c r="Q63" s="93"/>
      <c r="R63" s="93"/>
      <c r="S63" s="93"/>
      <c r="T63" s="93"/>
      <c r="U63" s="93"/>
      <c r="V63" s="93"/>
      <c r="W63" s="93"/>
      <c r="X63" s="93"/>
      <c r="Y63" s="93"/>
      <c r="Z63" s="93"/>
    </row>
    <row r="64" ht="14.25" customHeight="1">
      <c r="A64" s="86" t="s">
        <v>1</v>
      </c>
      <c r="B64" s="86" t="s">
        <v>23</v>
      </c>
      <c r="C64" s="86" t="s">
        <v>130</v>
      </c>
      <c r="D64" s="86" t="s">
        <v>192</v>
      </c>
      <c r="E64" s="138" t="s">
        <v>244</v>
      </c>
      <c r="F64" s="138" t="s">
        <v>353</v>
      </c>
      <c r="G64" s="93"/>
      <c r="H64" s="93"/>
      <c r="I64" s="93"/>
      <c r="J64" s="93"/>
      <c r="K64" s="93"/>
      <c r="L64" s="93"/>
      <c r="M64" s="93"/>
      <c r="N64" s="93"/>
      <c r="O64" s="93"/>
      <c r="P64" s="93"/>
      <c r="Q64" s="93"/>
      <c r="R64" s="93"/>
      <c r="S64" s="93"/>
      <c r="T64" s="93"/>
      <c r="U64" s="93"/>
      <c r="V64" s="93"/>
      <c r="W64" s="93"/>
      <c r="X64" s="93"/>
      <c r="Y64" s="93"/>
      <c r="Z64" s="93"/>
    </row>
    <row r="65" ht="14.25" customHeight="1">
      <c r="A65" s="78">
        <v>2015.0</v>
      </c>
      <c r="B65" s="78">
        <v>3.0</v>
      </c>
      <c r="C65" s="78">
        <v>8.0</v>
      </c>
      <c r="D65" s="78">
        <v>1.0</v>
      </c>
      <c r="E65" s="80">
        <v>0.0</v>
      </c>
      <c r="F65" s="80">
        <v>0.0</v>
      </c>
      <c r="G65" s="93"/>
      <c r="H65" s="93"/>
      <c r="I65" s="93"/>
      <c r="J65" s="93"/>
      <c r="K65" s="93"/>
      <c r="L65" s="93"/>
      <c r="M65" s="93"/>
      <c r="N65" s="93"/>
      <c r="O65" s="93"/>
      <c r="P65" s="93"/>
      <c r="Q65" s="93"/>
      <c r="R65" s="93"/>
      <c r="S65" s="93"/>
      <c r="T65" s="93"/>
      <c r="U65" s="93"/>
      <c r="V65" s="93"/>
      <c r="W65" s="93"/>
      <c r="X65" s="93"/>
      <c r="Y65" s="93"/>
      <c r="Z65" s="93"/>
    </row>
    <row r="66" ht="14.25" customHeight="1">
      <c r="A66" s="78">
        <v>2016.0</v>
      </c>
      <c r="B66" s="78">
        <v>3.0</v>
      </c>
      <c r="C66" s="78">
        <v>5.0</v>
      </c>
      <c r="D66" s="78">
        <v>0.0</v>
      </c>
      <c r="E66" s="80">
        <v>0.0</v>
      </c>
      <c r="F66" s="80"/>
      <c r="G66" s="93"/>
      <c r="H66" s="93"/>
      <c r="I66" s="93"/>
      <c r="J66" s="93"/>
      <c r="K66" s="93"/>
      <c r="L66" s="93"/>
      <c r="M66" s="93"/>
      <c r="N66" s="93"/>
      <c r="O66" s="93"/>
      <c r="P66" s="93"/>
      <c r="Q66" s="93"/>
      <c r="R66" s="93"/>
      <c r="S66" s="93"/>
      <c r="T66" s="93"/>
      <c r="U66" s="93"/>
      <c r="V66" s="93"/>
      <c r="W66" s="93"/>
      <c r="X66" s="93"/>
      <c r="Y66" s="93"/>
      <c r="Z66" s="93"/>
    </row>
    <row r="67" ht="14.25" customHeight="1">
      <c r="A67" s="78">
        <v>2017.0</v>
      </c>
      <c r="B67" s="78"/>
      <c r="C67" s="78">
        <v>6.0</v>
      </c>
      <c r="D67" s="78">
        <v>3.0</v>
      </c>
      <c r="E67" s="80">
        <v>1.0</v>
      </c>
      <c r="F67" s="80"/>
      <c r="G67" s="93"/>
      <c r="H67" s="93"/>
      <c r="I67" s="93"/>
      <c r="J67" s="93"/>
      <c r="K67" s="93"/>
      <c r="L67" s="93"/>
      <c r="M67" s="93"/>
      <c r="N67" s="93"/>
      <c r="O67" s="93"/>
      <c r="P67" s="93"/>
      <c r="Q67" s="93"/>
      <c r="R67" s="93"/>
      <c r="S67" s="93"/>
      <c r="T67" s="93"/>
      <c r="U67" s="93"/>
      <c r="V67" s="93"/>
      <c r="W67" s="93"/>
      <c r="X67" s="93"/>
      <c r="Y67" s="93"/>
      <c r="Z67" s="93"/>
    </row>
    <row r="68" ht="14.25" customHeight="1">
      <c r="A68" s="78">
        <v>2018.0</v>
      </c>
      <c r="B68" s="78">
        <v>4.0</v>
      </c>
      <c r="C68" s="78">
        <v>5.0</v>
      </c>
      <c r="D68" s="78">
        <v>1.0</v>
      </c>
      <c r="E68" s="80">
        <v>0.0</v>
      </c>
      <c r="F68" s="80">
        <v>4.0</v>
      </c>
      <c r="G68" s="93"/>
      <c r="H68" s="93"/>
      <c r="I68" s="93"/>
      <c r="J68" s="93"/>
      <c r="K68" s="93"/>
      <c r="L68" s="93"/>
      <c r="M68" s="93"/>
      <c r="N68" s="93"/>
      <c r="O68" s="93"/>
      <c r="P68" s="93"/>
      <c r="Q68" s="93"/>
      <c r="R68" s="93"/>
      <c r="S68" s="93"/>
      <c r="T68" s="93"/>
      <c r="U68" s="93"/>
      <c r="V68" s="93"/>
      <c r="W68" s="93"/>
      <c r="X68" s="93"/>
      <c r="Y68" s="93"/>
      <c r="Z68" s="93"/>
    </row>
    <row r="69" ht="14.25" customHeight="1">
      <c r="A69" s="78">
        <v>2019.0</v>
      </c>
      <c r="B69" s="78">
        <v>4.0</v>
      </c>
      <c r="C69" s="78">
        <v>4.0</v>
      </c>
      <c r="D69" s="78">
        <v>0.0</v>
      </c>
      <c r="E69" s="80">
        <v>0.0</v>
      </c>
      <c r="F69" s="80">
        <v>3.0</v>
      </c>
      <c r="G69" s="93"/>
      <c r="H69" s="93"/>
      <c r="I69" s="93"/>
      <c r="J69" s="93"/>
      <c r="K69" s="93"/>
      <c r="L69" s="93"/>
      <c r="M69" s="93"/>
      <c r="N69" s="93"/>
      <c r="O69" s="93"/>
      <c r="P69" s="93"/>
      <c r="Q69" s="93"/>
      <c r="R69" s="93"/>
      <c r="S69" s="93"/>
      <c r="T69" s="93"/>
      <c r="U69" s="93"/>
      <c r="V69" s="93"/>
      <c r="W69" s="93"/>
      <c r="X69" s="93"/>
      <c r="Y69" s="93"/>
      <c r="Z69" s="93"/>
    </row>
    <row r="70" ht="14.25" customHeight="1">
      <c r="A70" s="78">
        <v>2020.0</v>
      </c>
      <c r="B70" s="78">
        <v>0.0</v>
      </c>
      <c r="C70" s="78">
        <v>1.0</v>
      </c>
      <c r="D70" s="78">
        <v>1.0</v>
      </c>
      <c r="E70" s="80">
        <v>1.0</v>
      </c>
      <c r="F70" s="80">
        <v>0.0</v>
      </c>
      <c r="G70" s="93"/>
      <c r="H70" s="93"/>
      <c r="I70" s="93"/>
      <c r="J70" s="93"/>
      <c r="K70" s="93"/>
      <c r="L70" s="93"/>
      <c r="M70" s="93"/>
      <c r="N70" s="93"/>
      <c r="O70" s="93"/>
      <c r="P70" s="93"/>
      <c r="Q70" s="93"/>
      <c r="R70" s="93"/>
      <c r="S70" s="93"/>
      <c r="T70" s="93"/>
      <c r="U70" s="93"/>
      <c r="V70" s="93"/>
      <c r="W70" s="93"/>
      <c r="X70" s="93"/>
      <c r="Y70" s="93"/>
      <c r="Z70" s="93"/>
    </row>
    <row r="71" ht="14.25" customHeight="1">
      <c r="A71" s="78">
        <v>2021.0</v>
      </c>
      <c r="B71" s="78">
        <v>2.0</v>
      </c>
      <c r="C71" s="78"/>
      <c r="D71" s="78">
        <v>1.0</v>
      </c>
      <c r="E71" s="80">
        <v>1.0</v>
      </c>
      <c r="F71" s="80">
        <v>2.0</v>
      </c>
      <c r="G71" s="93"/>
      <c r="H71" s="93"/>
      <c r="I71" s="93"/>
      <c r="J71" s="93"/>
      <c r="K71" s="93"/>
      <c r="L71" s="93"/>
      <c r="M71" s="93"/>
      <c r="N71" s="93"/>
      <c r="O71" s="93"/>
      <c r="P71" s="93"/>
      <c r="Q71" s="93"/>
      <c r="R71" s="93"/>
      <c r="S71" s="93"/>
      <c r="T71" s="93"/>
      <c r="U71" s="93"/>
      <c r="V71" s="93"/>
      <c r="W71" s="93"/>
      <c r="X71" s="93"/>
      <c r="Y71" s="93"/>
      <c r="Z71" s="93"/>
    </row>
    <row r="72" ht="14.25" customHeight="1">
      <c r="A72" s="78">
        <v>2022.0</v>
      </c>
      <c r="B72" s="78"/>
      <c r="C72" s="78">
        <v>3.0</v>
      </c>
      <c r="D72" s="78">
        <v>0.0</v>
      </c>
      <c r="E72" s="80">
        <v>0.0</v>
      </c>
      <c r="F72" s="80">
        <v>0.0</v>
      </c>
      <c r="G72" s="93"/>
      <c r="H72" s="93"/>
      <c r="I72" s="93"/>
      <c r="J72" s="93"/>
      <c r="K72" s="93"/>
      <c r="L72" s="93"/>
      <c r="M72" s="93"/>
      <c r="N72" s="93"/>
      <c r="O72" s="93"/>
      <c r="P72" s="93"/>
      <c r="Q72" s="93"/>
      <c r="R72" s="93"/>
      <c r="S72" s="93"/>
      <c r="T72" s="93"/>
      <c r="U72" s="93"/>
      <c r="V72" s="93"/>
      <c r="W72" s="93"/>
      <c r="X72" s="93"/>
      <c r="Y72" s="93"/>
      <c r="Z72" s="93"/>
    </row>
    <row r="73" ht="14.25" customHeight="1">
      <c r="A73" s="78">
        <v>2023.0</v>
      </c>
      <c r="B73" s="78">
        <v>0.0</v>
      </c>
      <c r="C73" s="78">
        <v>9.0</v>
      </c>
      <c r="D73" s="78">
        <v>3.0</v>
      </c>
      <c r="E73" s="80">
        <v>0.0</v>
      </c>
      <c r="F73" s="80">
        <v>1.0</v>
      </c>
      <c r="G73" s="93"/>
      <c r="H73" s="93"/>
      <c r="I73" s="93"/>
      <c r="J73" s="93"/>
      <c r="K73" s="93"/>
      <c r="L73" s="93"/>
      <c r="M73" s="93"/>
      <c r="N73" s="93"/>
      <c r="O73" s="93"/>
      <c r="P73" s="93"/>
      <c r="Q73" s="93"/>
      <c r="R73" s="93"/>
      <c r="S73" s="93"/>
      <c r="T73" s="93"/>
      <c r="U73" s="93"/>
      <c r="V73" s="93"/>
      <c r="W73" s="93"/>
      <c r="X73" s="93"/>
      <c r="Y73" s="93"/>
      <c r="Z73" s="93"/>
    </row>
    <row r="74" ht="14.25" customHeight="1">
      <c r="A74" s="78">
        <v>2024.0</v>
      </c>
      <c r="B74" s="78">
        <v>4.0</v>
      </c>
      <c r="C74" s="78">
        <v>5.0</v>
      </c>
      <c r="D74" s="78">
        <v>1.0</v>
      </c>
      <c r="E74" s="80">
        <v>0.0</v>
      </c>
      <c r="F74" s="80">
        <v>1.0</v>
      </c>
      <c r="G74" s="93"/>
      <c r="H74" s="93"/>
      <c r="I74" s="93"/>
      <c r="J74" s="93"/>
      <c r="K74" s="93"/>
      <c r="L74" s="93"/>
      <c r="M74" s="93"/>
      <c r="N74" s="93"/>
      <c r="O74" s="93"/>
      <c r="P74" s="93"/>
      <c r="Q74" s="93"/>
      <c r="R74" s="93"/>
      <c r="S74" s="93"/>
      <c r="T74" s="93"/>
      <c r="U74" s="93"/>
      <c r="V74" s="93"/>
      <c r="W74" s="93"/>
      <c r="X74" s="93"/>
      <c r="Y74" s="93"/>
      <c r="Z74" s="93"/>
    </row>
    <row r="75" ht="14.25" customHeight="1">
      <c r="A75" s="78">
        <v>2025.0</v>
      </c>
      <c r="B75" s="78"/>
      <c r="C75" s="78">
        <v>2.0</v>
      </c>
      <c r="D75" s="78">
        <v>5.0</v>
      </c>
      <c r="E75" s="80">
        <v>0.0</v>
      </c>
      <c r="F75" s="80">
        <v>0.0</v>
      </c>
      <c r="G75" s="93"/>
      <c r="H75" s="93"/>
      <c r="I75" s="93"/>
      <c r="J75" s="93"/>
      <c r="K75" s="93"/>
      <c r="L75" s="93"/>
      <c r="M75" s="93"/>
      <c r="N75" s="93"/>
      <c r="O75" s="93"/>
      <c r="P75" s="93"/>
      <c r="Q75" s="93"/>
      <c r="R75" s="93"/>
      <c r="S75" s="93"/>
      <c r="T75" s="93"/>
      <c r="U75" s="93"/>
      <c r="V75" s="93"/>
      <c r="W75" s="93"/>
      <c r="X75" s="93"/>
      <c r="Y75" s="93"/>
      <c r="Z75" s="93"/>
    </row>
    <row r="76" ht="14.25" customHeight="1">
      <c r="A76" s="86" t="s">
        <v>481</v>
      </c>
      <c r="B76" s="78">
        <f t="shared" ref="B76:F76" si="9">SUM(B65:B75)</f>
        <v>20</v>
      </c>
      <c r="C76" s="78">
        <f t="shared" si="9"/>
        <v>48</v>
      </c>
      <c r="D76" s="78">
        <f t="shared" si="9"/>
        <v>16</v>
      </c>
      <c r="E76" s="78">
        <f t="shared" si="9"/>
        <v>3</v>
      </c>
      <c r="F76" s="78">
        <f t="shared" si="9"/>
        <v>11</v>
      </c>
      <c r="G76" s="93"/>
      <c r="H76" s="93"/>
      <c r="I76" s="93"/>
      <c r="J76" s="93"/>
      <c r="K76" s="93"/>
      <c r="L76" s="93"/>
      <c r="M76" s="93"/>
      <c r="N76" s="93"/>
      <c r="O76" s="93"/>
      <c r="P76" s="93"/>
      <c r="Q76" s="93"/>
      <c r="R76" s="93"/>
      <c r="S76" s="93"/>
      <c r="T76" s="93"/>
      <c r="U76" s="93"/>
      <c r="V76" s="93"/>
      <c r="W76" s="93"/>
      <c r="X76" s="93"/>
      <c r="Y76" s="93"/>
      <c r="Z76" s="93"/>
    </row>
    <row r="77" ht="14.25" customHeight="1">
      <c r="A77" s="93"/>
      <c r="B77" s="93"/>
      <c r="C77" s="93"/>
      <c r="D77" s="93"/>
      <c r="E77" s="110"/>
      <c r="F77" s="110"/>
      <c r="G77" s="93"/>
      <c r="H77" s="93"/>
      <c r="I77" s="93"/>
      <c r="J77" s="93"/>
      <c r="K77" s="93"/>
      <c r="L77" s="93"/>
      <c r="M77" s="93"/>
      <c r="N77" s="93"/>
      <c r="O77" s="93"/>
      <c r="P77" s="93"/>
      <c r="Q77" s="93"/>
      <c r="R77" s="93"/>
      <c r="S77" s="93"/>
      <c r="T77" s="93"/>
      <c r="U77" s="93"/>
      <c r="V77" s="93"/>
      <c r="W77" s="93"/>
      <c r="X77" s="93"/>
      <c r="Y77" s="93"/>
      <c r="Z77" s="93"/>
    </row>
    <row r="78" ht="14.25" customHeight="1">
      <c r="A78" s="93"/>
      <c r="B78" s="93"/>
      <c r="C78" s="93"/>
      <c r="D78" s="93"/>
      <c r="E78" s="110"/>
      <c r="F78" s="110"/>
      <c r="G78" s="93"/>
      <c r="H78" s="93"/>
      <c r="I78" s="93"/>
      <c r="J78" s="93"/>
      <c r="K78" s="93"/>
      <c r="L78" s="93"/>
      <c r="M78" s="93"/>
      <c r="N78" s="93"/>
      <c r="O78" s="93"/>
      <c r="P78" s="93"/>
      <c r="Q78" s="93"/>
      <c r="R78" s="93"/>
      <c r="S78" s="93"/>
      <c r="T78" s="93"/>
      <c r="U78" s="93"/>
      <c r="V78" s="93"/>
      <c r="W78" s="93"/>
      <c r="X78" s="93"/>
      <c r="Y78" s="93"/>
      <c r="Z78" s="93"/>
    </row>
    <row r="79" ht="14.25" customHeight="1">
      <c r="A79" s="93"/>
      <c r="B79" s="93"/>
      <c r="C79" s="93"/>
      <c r="D79" s="93"/>
      <c r="E79" s="110"/>
      <c r="F79" s="110"/>
      <c r="G79" s="93"/>
      <c r="H79" s="93"/>
      <c r="I79" s="93"/>
      <c r="J79" s="93"/>
      <c r="K79" s="93"/>
      <c r="L79" s="93"/>
      <c r="M79" s="93"/>
      <c r="N79" s="93"/>
      <c r="O79" s="93"/>
      <c r="P79" s="93"/>
      <c r="Q79" s="93"/>
      <c r="R79" s="93"/>
      <c r="S79" s="93"/>
      <c r="T79" s="93"/>
      <c r="U79" s="93"/>
      <c r="V79" s="93"/>
      <c r="W79" s="93"/>
      <c r="X79" s="93"/>
      <c r="Y79" s="93"/>
      <c r="Z79" s="93"/>
    </row>
    <row r="80" ht="14.25" customHeight="1">
      <c r="A80" s="93"/>
      <c r="B80" s="93"/>
      <c r="C80" s="93"/>
      <c r="D80" s="93"/>
      <c r="E80" s="110"/>
      <c r="F80" s="110"/>
      <c r="G80" s="93"/>
      <c r="H80" s="93"/>
      <c r="I80" s="93"/>
      <c r="J80" s="93"/>
      <c r="K80" s="93"/>
      <c r="L80" s="93"/>
      <c r="M80" s="93"/>
      <c r="N80" s="93"/>
      <c r="O80" s="93"/>
      <c r="P80" s="93"/>
      <c r="Q80" s="93"/>
      <c r="R80" s="93"/>
      <c r="S80" s="93"/>
      <c r="T80" s="93"/>
      <c r="U80" s="93"/>
      <c r="V80" s="93"/>
      <c r="W80" s="93"/>
      <c r="X80" s="93"/>
      <c r="Y80" s="93"/>
      <c r="Z80" s="93"/>
    </row>
    <row r="81" ht="14.25" customHeight="1">
      <c r="A81" s="93"/>
      <c r="B81" s="93"/>
      <c r="C81" s="93"/>
      <c r="D81" s="93"/>
      <c r="E81" s="110"/>
      <c r="F81" s="110"/>
      <c r="G81" s="93"/>
      <c r="H81" s="93"/>
      <c r="I81" s="93"/>
      <c r="J81" s="93"/>
      <c r="K81" s="93"/>
      <c r="L81" s="93"/>
      <c r="M81" s="93"/>
      <c r="N81" s="93"/>
      <c r="O81" s="93"/>
      <c r="P81" s="93"/>
      <c r="Q81" s="93"/>
      <c r="R81" s="93"/>
      <c r="S81" s="93"/>
      <c r="T81" s="93"/>
      <c r="U81" s="93"/>
      <c r="V81" s="93"/>
      <c r="W81" s="93"/>
      <c r="X81" s="93"/>
      <c r="Y81" s="93"/>
      <c r="Z81" s="93"/>
    </row>
    <row r="82" ht="14.25" customHeight="1">
      <c r="A82" s="93"/>
      <c r="B82" s="93"/>
      <c r="C82" s="93"/>
      <c r="D82" s="93"/>
      <c r="E82" s="110"/>
      <c r="F82" s="110"/>
      <c r="G82" s="93"/>
      <c r="H82" s="93"/>
      <c r="I82" s="93"/>
      <c r="J82" s="93"/>
      <c r="K82" s="93"/>
      <c r="L82" s="93"/>
      <c r="M82" s="93"/>
      <c r="N82" s="93"/>
      <c r="O82" s="93"/>
      <c r="P82" s="93"/>
      <c r="Q82" s="93"/>
      <c r="R82" s="93"/>
      <c r="S82" s="93"/>
      <c r="T82" s="93"/>
      <c r="U82" s="93"/>
      <c r="V82" s="93"/>
      <c r="W82" s="93"/>
      <c r="X82" s="93"/>
      <c r="Y82" s="93"/>
      <c r="Z82" s="93"/>
    </row>
    <row r="83" ht="14.25" customHeight="1">
      <c r="A83" s="93"/>
      <c r="B83" s="93"/>
      <c r="C83" s="93"/>
      <c r="D83" s="93"/>
      <c r="E83" s="110"/>
      <c r="F83" s="110"/>
      <c r="G83" s="93"/>
      <c r="H83" s="93"/>
      <c r="I83" s="93"/>
      <c r="J83" s="93"/>
      <c r="K83" s="93"/>
      <c r="L83" s="93"/>
      <c r="M83" s="93"/>
      <c r="N83" s="93"/>
      <c r="O83" s="93"/>
      <c r="P83" s="93"/>
      <c r="Q83" s="93"/>
      <c r="R83" s="93"/>
      <c r="S83" s="93"/>
      <c r="T83" s="93"/>
      <c r="U83" s="93"/>
      <c r="V83" s="93"/>
      <c r="W83" s="93"/>
      <c r="X83" s="93"/>
      <c r="Y83" s="93"/>
      <c r="Z83" s="93"/>
    </row>
    <row r="84" ht="14.25" customHeight="1">
      <c r="A84" s="93"/>
      <c r="B84" s="93"/>
      <c r="C84" s="93"/>
      <c r="D84" s="93"/>
      <c r="E84" s="110"/>
      <c r="F84" s="110"/>
      <c r="G84" s="93"/>
      <c r="H84" s="93"/>
      <c r="I84" s="93"/>
      <c r="J84" s="93"/>
      <c r="K84" s="93"/>
      <c r="L84" s="93"/>
      <c r="M84" s="93"/>
      <c r="N84" s="93"/>
      <c r="O84" s="93"/>
      <c r="P84" s="93"/>
      <c r="Q84" s="93"/>
      <c r="R84" s="93"/>
      <c r="S84" s="93"/>
      <c r="T84" s="93"/>
      <c r="U84" s="93"/>
      <c r="V84" s="93"/>
      <c r="W84" s="93"/>
      <c r="X84" s="93"/>
      <c r="Y84" s="93"/>
      <c r="Z84" s="93"/>
    </row>
    <row r="85" ht="14.25" customHeight="1">
      <c r="A85" s="93"/>
      <c r="B85" s="93"/>
      <c r="C85" s="93"/>
      <c r="D85" s="93"/>
      <c r="E85" s="110"/>
      <c r="F85" s="110"/>
      <c r="G85" s="93"/>
      <c r="H85" s="93"/>
      <c r="I85" s="93"/>
      <c r="J85" s="93"/>
      <c r="K85" s="93"/>
      <c r="L85" s="93"/>
      <c r="M85" s="93"/>
      <c r="N85" s="93"/>
      <c r="O85" s="93"/>
      <c r="P85" s="93"/>
      <c r="Q85" s="93"/>
      <c r="R85" s="93"/>
      <c r="S85" s="93"/>
      <c r="T85" s="93"/>
      <c r="U85" s="93"/>
      <c r="V85" s="93"/>
      <c r="W85" s="93"/>
      <c r="X85" s="93"/>
      <c r="Y85" s="93"/>
      <c r="Z85" s="93"/>
    </row>
    <row r="86" ht="14.25" customHeight="1">
      <c r="A86" s="93"/>
      <c r="B86" s="93"/>
      <c r="C86" s="93"/>
      <c r="D86" s="93"/>
      <c r="E86" s="110"/>
      <c r="F86" s="110"/>
      <c r="G86" s="93"/>
      <c r="H86" s="93"/>
      <c r="I86" s="93"/>
      <c r="J86" s="93"/>
      <c r="K86" s="93"/>
      <c r="L86" s="93"/>
      <c r="M86" s="93"/>
      <c r="N86" s="93"/>
      <c r="O86" s="93"/>
      <c r="P86" s="93"/>
      <c r="Q86" s="93"/>
      <c r="R86" s="93"/>
      <c r="S86" s="93"/>
      <c r="T86" s="93"/>
      <c r="U86" s="93"/>
      <c r="V86" s="93"/>
      <c r="W86" s="93"/>
      <c r="X86" s="93"/>
      <c r="Y86" s="93"/>
      <c r="Z86" s="93"/>
    </row>
    <row r="87" ht="14.25" customHeight="1">
      <c r="A87" s="93"/>
      <c r="B87" s="93"/>
      <c r="C87" s="93"/>
      <c r="D87" s="93"/>
      <c r="E87" s="110"/>
      <c r="F87" s="110"/>
      <c r="G87" s="93"/>
      <c r="H87" s="93"/>
      <c r="I87" s="93"/>
      <c r="J87" s="93"/>
      <c r="K87" s="93"/>
      <c r="L87" s="93"/>
      <c r="M87" s="93"/>
      <c r="N87" s="93"/>
      <c r="O87" s="93"/>
      <c r="P87" s="93"/>
      <c r="Q87" s="93"/>
      <c r="R87" s="93"/>
      <c r="S87" s="93"/>
      <c r="T87" s="93"/>
      <c r="U87" s="93"/>
      <c r="V87" s="93"/>
      <c r="W87" s="93"/>
      <c r="X87" s="93"/>
      <c r="Y87" s="93"/>
      <c r="Z87" s="93"/>
    </row>
    <row r="88" ht="14.25" customHeight="1">
      <c r="A88" s="93"/>
      <c r="B88" s="93"/>
      <c r="C88" s="93"/>
      <c r="D88" s="93"/>
      <c r="E88" s="110"/>
      <c r="F88" s="110"/>
      <c r="G88" s="93"/>
      <c r="H88" s="93"/>
      <c r="I88" s="93"/>
      <c r="J88" s="93"/>
      <c r="K88" s="93"/>
      <c r="L88" s="93"/>
      <c r="M88" s="93"/>
      <c r="N88" s="93"/>
      <c r="O88" s="93"/>
      <c r="P88" s="93"/>
      <c r="Q88" s="93"/>
      <c r="R88" s="93"/>
      <c r="S88" s="93"/>
      <c r="T88" s="93"/>
      <c r="U88" s="93"/>
      <c r="V88" s="93"/>
      <c r="W88" s="93"/>
      <c r="X88" s="93"/>
      <c r="Y88" s="93"/>
      <c r="Z88" s="93"/>
    </row>
    <row r="89" ht="14.25" customHeight="1">
      <c r="A89" s="93"/>
      <c r="B89" s="93"/>
      <c r="C89" s="93"/>
      <c r="D89" s="93"/>
      <c r="E89" s="110"/>
      <c r="F89" s="110"/>
      <c r="G89" s="93"/>
      <c r="H89" s="93"/>
      <c r="I89" s="93"/>
      <c r="J89" s="93"/>
      <c r="K89" s="93"/>
      <c r="L89" s="93"/>
      <c r="M89" s="93"/>
      <c r="N89" s="93"/>
      <c r="O89" s="93"/>
      <c r="P89" s="93"/>
      <c r="Q89" s="93"/>
      <c r="R89" s="93"/>
      <c r="S89" s="93"/>
      <c r="T89" s="93"/>
      <c r="U89" s="93"/>
      <c r="V89" s="93"/>
      <c r="W89" s="93"/>
      <c r="X89" s="93"/>
      <c r="Y89" s="93"/>
      <c r="Z89" s="93"/>
    </row>
    <row r="90" ht="14.25" customHeight="1">
      <c r="A90" s="93"/>
      <c r="B90" s="93"/>
      <c r="C90" s="93"/>
      <c r="D90" s="93"/>
      <c r="E90" s="110"/>
      <c r="F90" s="110"/>
      <c r="G90" s="93"/>
      <c r="H90" s="93"/>
      <c r="I90" s="93"/>
      <c r="J90" s="93"/>
      <c r="K90" s="93"/>
      <c r="L90" s="93"/>
      <c r="M90" s="93"/>
      <c r="N90" s="93"/>
      <c r="O90" s="93"/>
      <c r="P90" s="93"/>
      <c r="Q90" s="93"/>
      <c r="R90" s="93"/>
      <c r="S90" s="93"/>
      <c r="T90" s="93"/>
      <c r="U90" s="93"/>
      <c r="V90" s="93"/>
      <c r="W90" s="93"/>
      <c r="X90" s="93"/>
      <c r="Y90" s="93"/>
      <c r="Z90" s="93"/>
    </row>
    <row r="91" ht="14.25" customHeight="1">
      <c r="A91" s="93"/>
      <c r="B91" s="93"/>
      <c r="C91" s="93"/>
      <c r="D91" s="93"/>
      <c r="E91" s="110"/>
      <c r="F91" s="110"/>
      <c r="G91" s="93"/>
      <c r="H91" s="93"/>
      <c r="I91" s="93"/>
      <c r="J91" s="93"/>
      <c r="K91" s="93"/>
      <c r="L91" s="93"/>
      <c r="M91" s="93"/>
      <c r="N91" s="93"/>
      <c r="O91" s="93"/>
      <c r="P91" s="93"/>
      <c r="Q91" s="93"/>
      <c r="R91" s="93"/>
      <c r="S91" s="93"/>
      <c r="T91" s="93"/>
      <c r="U91" s="93"/>
      <c r="V91" s="93"/>
      <c r="W91" s="93"/>
      <c r="X91" s="93"/>
      <c r="Y91" s="93"/>
      <c r="Z91" s="93"/>
    </row>
    <row r="92" ht="14.25" customHeight="1">
      <c r="A92" s="93"/>
      <c r="B92" s="93"/>
      <c r="C92" s="93"/>
      <c r="D92" s="93"/>
      <c r="E92" s="110"/>
      <c r="F92" s="110"/>
      <c r="G92" s="93"/>
      <c r="H92" s="93"/>
      <c r="I92" s="93"/>
      <c r="J92" s="93"/>
      <c r="K92" s="93"/>
      <c r="L92" s="93"/>
      <c r="M92" s="93"/>
      <c r="N92" s="93"/>
      <c r="O92" s="93"/>
      <c r="P92" s="93"/>
      <c r="Q92" s="93"/>
      <c r="R92" s="93"/>
      <c r="S92" s="93"/>
      <c r="T92" s="93"/>
      <c r="U92" s="93"/>
      <c r="V92" s="93"/>
      <c r="W92" s="93"/>
      <c r="X92" s="93"/>
      <c r="Y92" s="93"/>
      <c r="Z92" s="93"/>
    </row>
    <row r="93" ht="14.25" customHeight="1">
      <c r="A93" s="93"/>
      <c r="B93" s="93"/>
      <c r="C93" s="93"/>
      <c r="D93" s="93"/>
      <c r="E93" s="110"/>
      <c r="F93" s="110"/>
      <c r="G93" s="93"/>
      <c r="H93" s="93"/>
      <c r="I93" s="93"/>
      <c r="J93" s="93"/>
      <c r="K93" s="93"/>
      <c r="L93" s="93"/>
      <c r="M93" s="93"/>
      <c r="N93" s="93"/>
      <c r="O93" s="93"/>
      <c r="P93" s="93"/>
      <c r="Q93" s="93"/>
      <c r="R93" s="93"/>
      <c r="S93" s="93"/>
      <c r="T93" s="93"/>
      <c r="U93" s="93"/>
      <c r="V93" s="93"/>
      <c r="W93" s="93"/>
      <c r="X93" s="93"/>
      <c r="Y93" s="93"/>
      <c r="Z93" s="93"/>
    </row>
    <row r="94" ht="14.25" customHeight="1">
      <c r="A94" s="93"/>
      <c r="B94" s="93"/>
      <c r="C94" s="93"/>
      <c r="D94" s="93"/>
      <c r="E94" s="110"/>
      <c r="F94" s="110"/>
      <c r="G94" s="93"/>
      <c r="H94" s="93"/>
      <c r="I94" s="93"/>
      <c r="J94" s="93"/>
      <c r="K94" s="93"/>
      <c r="L94" s="93"/>
      <c r="M94" s="93"/>
      <c r="N94" s="93"/>
      <c r="O94" s="93"/>
      <c r="P94" s="93"/>
      <c r="Q94" s="93"/>
      <c r="R94" s="93"/>
      <c r="S94" s="93"/>
      <c r="T94" s="93"/>
      <c r="U94" s="93"/>
      <c r="V94" s="93"/>
      <c r="W94" s="93"/>
      <c r="X94" s="93"/>
      <c r="Y94" s="93"/>
      <c r="Z94" s="93"/>
    </row>
    <row r="95" ht="14.25" customHeight="1">
      <c r="A95" s="93"/>
      <c r="B95" s="93"/>
      <c r="C95" s="93"/>
      <c r="D95" s="93"/>
      <c r="E95" s="110"/>
      <c r="F95" s="110"/>
      <c r="G95" s="93"/>
      <c r="H95" s="93"/>
      <c r="I95" s="93"/>
      <c r="J95" s="93"/>
      <c r="K95" s="93"/>
      <c r="L95" s="93"/>
      <c r="M95" s="93"/>
      <c r="N95" s="93"/>
      <c r="O95" s="93"/>
      <c r="P95" s="93"/>
      <c r="Q95" s="93"/>
      <c r="R95" s="93"/>
      <c r="S95" s="93"/>
      <c r="T95" s="93"/>
      <c r="U95" s="93"/>
      <c r="V95" s="93"/>
      <c r="W95" s="93"/>
      <c r="X95" s="93"/>
      <c r="Y95" s="93"/>
      <c r="Z95" s="93"/>
    </row>
    <row r="96" ht="14.25" customHeight="1">
      <c r="A96" s="93"/>
      <c r="B96" s="93"/>
      <c r="C96" s="93"/>
      <c r="D96" s="93"/>
      <c r="E96" s="110"/>
      <c r="F96" s="110"/>
      <c r="G96" s="93"/>
      <c r="H96" s="93"/>
      <c r="I96" s="93"/>
      <c r="J96" s="93"/>
      <c r="K96" s="93"/>
      <c r="L96" s="93"/>
      <c r="M96" s="93"/>
      <c r="N96" s="93"/>
      <c r="O96" s="93"/>
      <c r="P96" s="93"/>
      <c r="Q96" s="93"/>
      <c r="R96" s="93"/>
      <c r="S96" s="93"/>
      <c r="T96" s="93"/>
      <c r="U96" s="93"/>
      <c r="V96" s="93"/>
      <c r="W96" s="93"/>
      <c r="X96" s="93"/>
      <c r="Y96" s="93"/>
      <c r="Z96" s="93"/>
    </row>
    <row r="97" ht="14.25" customHeight="1">
      <c r="A97" s="93"/>
      <c r="B97" s="93"/>
      <c r="C97" s="93"/>
      <c r="D97" s="93"/>
      <c r="E97" s="110"/>
      <c r="F97" s="110"/>
      <c r="G97" s="93"/>
      <c r="H97" s="93"/>
      <c r="I97" s="93"/>
      <c r="J97" s="93"/>
      <c r="K97" s="93"/>
      <c r="L97" s="93"/>
      <c r="M97" s="93"/>
      <c r="N97" s="93"/>
      <c r="O97" s="93"/>
      <c r="P97" s="93"/>
      <c r="Q97" s="93"/>
      <c r="R97" s="93"/>
      <c r="S97" s="93"/>
      <c r="T97" s="93"/>
      <c r="U97" s="93"/>
      <c r="V97" s="93"/>
      <c r="W97" s="93"/>
      <c r="X97" s="93"/>
      <c r="Y97" s="93"/>
      <c r="Z97" s="93"/>
    </row>
    <row r="98" ht="14.25" customHeight="1">
      <c r="A98" s="93"/>
      <c r="B98" s="93"/>
      <c r="C98" s="93"/>
      <c r="D98" s="93"/>
      <c r="E98" s="110"/>
      <c r="F98" s="110"/>
      <c r="G98" s="93"/>
      <c r="H98" s="93"/>
      <c r="I98" s="93"/>
      <c r="J98" s="93"/>
      <c r="K98" s="93"/>
      <c r="L98" s="93"/>
      <c r="M98" s="93"/>
      <c r="N98" s="93"/>
      <c r="O98" s="93"/>
      <c r="P98" s="93"/>
      <c r="Q98" s="93"/>
      <c r="R98" s="93"/>
      <c r="S98" s="93"/>
      <c r="T98" s="93"/>
      <c r="U98" s="93"/>
      <c r="V98" s="93"/>
      <c r="W98" s="93"/>
      <c r="X98" s="93"/>
      <c r="Y98" s="93"/>
      <c r="Z98" s="93"/>
    </row>
    <row r="99" ht="14.25" customHeight="1">
      <c r="A99" s="93"/>
      <c r="B99" s="93"/>
      <c r="C99" s="93"/>
      <c r="D99" s="93"/>
      <c r="E99" s="110"/>
      <c r="F99" s="110"/>
      <c r="G99" s="93"/>
      <c r="H99" s="93"/>
      <c r="I99" s="93"/>
      <c r="J99" s="93"/>
      <c r="K99" s="93"/>
      <c r="L99" s="93"/>
      <c r="M99" s="93"/>
      <c r="N99" s="93"/>
      <c r="O99" s="93"/>
      <c r="P99" s="93"/>
      <c r="Q99" s="93"/>
      <c r="R99" s="93"/>
      <c r="S99" s="93"/>
      <c r="T99" s="93"/>
      <c r="U99" s="93"/>
      <c r="V99" s="93"/>
      <c r="W99" s="93"/>
      <c r="X99" s="93"/>
      <c r="Y99" s="93"/>
      <c r="Z99" s="93"/>
    </row>
    <row r="100" ht="14.25" customHeight="1">
      <c r="A100" s="93"/>
      <c r="B100" s="93"/>
      <c r="C100" s="93"/>
      <c r="D100" s="93"/>
      <c r="E100" s="110"/>
      <c r="F100" s="110"/>
      <c r="G100" s="93"/>
      <c r="H100" s="93"/>
      <c r="I100" s="93"/>
      <c r="J100" s="93"/>
      <c r="K100" s="93"/>
      <c r="L100" s="93"/>
      <c r="M100" s="93"/>
      <c r="N100" s="93"/>
      <c r="O100" s="93"/>
      <c r="P100" s="93"/>
      <c r="Q100" s="93"/>
      <c r="R100" s="93"/>
      <c r="S100" s="93"/>
      <c r="T100" s="93"/>
      <c r="U100" s="93"/>
      <c r="V100" s="93"/>
      <c r="W100" s="93"/>
      <c r="X100" s="93"/>
      <c r="Y100" s="93"/>
      <c r="Z100" s="93"/>
    </row>
    <row r="101" ht="14.25" customHeight="1">
      <c r="A101" s="93"/>
      <c r="B101" s="93"/>
      <c r="C101" s="93"/>
      <c r="D101" s="93"/>
      <c r="E101" s="110"/>
      <c r="F101" s="110"/>
      <c r="G101" s="93"/>
      <c r="H101" s="93"/>
      <c r="I101" s="93"/>
      <c r="J101" s="93"/>
      <c r="K101" s="93"/>
      <c r="L101" s="93"/>
      <c r="M101" s="93"/>
      <c r="N101" s="93"/>
      <c r="O101" s="93"/>
      <c r="P101" s="93"/>
      <c r="Q101" s="93"/>
      <c r="R101" s="93"/>
      <c r="S101" s="93"/>
      <c r="T101" s="93"/>
      <c r="U101" s="93"/>
      <c r="V101" s="93"/>
      <c r="W101" s="93"/>
      <c r="X101" s="93"/>
      <c r="Y101" s="93"/>
      <c r="Z101" s="93"/>
    </row>
    <row r="102" ht="14.25" customHeight="1">
      <c r="A102" s="93"/>
      <c r="B102" s="93"/>
      <c r="C102" s="93"/>
      <c r="D102" s="93"/>
      <c r="E102" s="110"/>
      <c r="F102" s="110"/>
      <c r="G102" s="93"/>
      <c r="H102" s="93"/>
      <c r="I102" s="93"/>
      <c r="J102" s="93"/>
      <c r="K102" s="93"/>
      <c r="L102" s="93"/>
      <c r="M102" s="93"/>
      <c r="N102" s="93"/>
      <c r="O102" s="93"/>
      <c r="P102" s="93"/>
      <c r="Q102" s="93"/>
      <c r="R102" s="93"/>
      <c r="S102" s="93"/>
      <c r="T102" s="93"/>
      <c r="U102" s="93"/>
      <c r="V102" s="93"/>
      <c r="W102" s="93"/>
      <c r="X102" s="93"/>
      <c r="Y102" s="93"/>
      <c r="Z102" s="93"/>
    </row>
    <row r="103" ht="14.25" customHeight="1">
      <c r="A103" s="93"/>
      <c r="B103" s="93"/>
      <c r="C103" s="93"/>
      <c r="D103" s="93"/>
      <c r="E103" s="110"/>
      <c r="F103" s="110"/>
      <c r="G103" s="93"/>
      <c r="H103" s="93"/>
      <c r="I103" s="93"/>
      <c r="J103" s="93"/>
      <c r="K103" s="93"/>
      <c r="L103" s="93"/>
      <c r="M103" s="93"/>
      <c r="N103" s="93"/>
      <c r="O103" s="93"/>
      <c r="P103" s="93"/>
      <c r="Q103" s="93"/>
      <c r="R103" s="93"/>
      <c r="S103" s="93"/>
      <c r="T103" s="93"/>
      <c r="U103" s="93"/>
      <c r="V103" s="93"/>
      <c r="W103" s="93"/>
      <c r="X103" s="93"/>
      <c r="Y103" s="93"/>
      <c r="Z103" s="93"/>
    </row>
    <row r="104" ht="14.25" customHeight="1">
      <c r="A104" s="93"/>
      <c r="B104" s="93"/>
      <c r="C104" s="93"/>
      <c r="D104" s="93"/>
      <c r="E104" s="110"/>
      <c r="F104" s="110"/>
      <c r="G104" s="93"/>
      <c r="H104" s="93"/>
      <c r="I104" s="93"/>
      <c r="J104" s="93"/>
      <c r="K104" s="93"/>
      <c r="L104" s="93"/>
      <c r="M104" s="93"/>
      <c r="N104" s="93"/>
      <c r="O104" s="93"/>
      <c r="P104" s="93"/>
      <c r="Q104" s="93"/>
      <c r="R104" s="93"/>
      <c r="S104" s="93"/>
      <c r="T104" s="93"/>
      <c r="U104" s="93"/>
      <c r="V104" s="93"/>
      <c r="W104" s="93"/>
      <c r="X104" s="93"/>
      <c r="Y104" s="93"/>
      <c r="Z104" s="93"/>
    </row>
    <row r="105" ht="14.25" customHeight="1">
      <c r="A105" s="93"/>
      <c r="B105" s="93"/>
      <c r="C105" s="93"/>
      <c r="D105" s="93"/>
      <c r="E105" s="110"/>
      <c r="F105" s="110"/>
      <c r="G105" s="93"/>
      <c r="H105" s="93"/>
      <c r="I105" s="93"/>
      <c r="J105" s="93"/>
      <c r="K105" s="93"/>
      <c r="L105" s="93"/>
      <c r="M105" s="93"/>
      <c r="N105" s="93"/>
      <c r="O105" s="93"/>
      <c r="P105" s="93"/>
      <c r="Q105" s="93"/>
      <c r="R105" s="93"/>
      <c r="S105" s="93"/>
      <c r="T105" s="93"/>
      <c r="U105" s="93"/>
      <c r="V105" s="93"/>
      <c r="W105" s="93"/>
      <c r="X105" s="93"/>
      <c r="Y105" s="93"/>
      <c r="Z105" s="93"/>
    </row>
    <row r="106" ht="14.25" customHeight="1">
      <c r="A106" s="93"/>
      <c r="B106" s="93"/>
      <c r="C106" s="93"/>
      <c r="D106" s="93"/>
      <c r="E106" s="110"/>
      <c r="F106" s="110"/>
      <c r="G106" s="93"/>
      <c r="H106" s="93"/>
      <c r="I106" s="93"/>
      <c r="J106" s="93"/>
      <c r="K106" s="93"/>
      <c r="L106" s="93"/>
      <c r="M106" s="93"/>
      <c r="N106" s="93"/>
      <c r="O106" s="93"/>
      <c r="P106" s="93"/>
      <c r="Q106" s="93"/>
      <c r="R106" s="93"/>
      <c r="S106" s="93"/>
      <c r="T106" s="93"/>
      <c r="U106" s="93"/>
      <c r="V106" s="93"/>
      <c r="W106" s="93"/>
      <c r="X106" s="93"/>
      <c r="Y106" s="93"/>
      <c r="Z106" s="93"/>
    </row>
    <row r="107" ht="14.25" customHeight="1">
      <c r="A107" s="93"/>
      <c r="B107" s="93"/>
      <c r="C107" s="93"/>
      <c r="D107" s="93"/>
      <c r="E107" s="110"/>
      <c r="F107" s="110"/>
      <c r="G107" s="93"/>
      <c r="H107" s="93"/>
      <c r="I107" s="93"/>
      <c r="J107" s="93"/>
      <c r="K107" s="93"/>
      <c r="L107" s="93"/>
      <c r="M107" s="93"/>
      <c r="N107" s="93"/>
      <c r="O107" s="93"/>
      <c r="P107" s="93"/>
      <c r="Q107" s="93"/>
      <c r="R107" s="93"/>
      <c r="S107" s="93"/>
      <c r="T107" s="93"/>
      <c r="U107" s="93"/>
      <c r="V107" s="93"/>
      <c r="W107" s="93"/>
      <c r="X107" s="93"/>
      <c r="Y107" s="93"/>
      <c r="Z107" s="93"/>
    </row>
    <row r="108" ht="14.25" customHeight="1">
      <c r="A108" s="93"/>
      <c r="B108" s="93"/>
      <c r="C108" s="93"/>
      <c r="D108" s="93"/>
      <c r="E108" s="110"/>
      <c r="F108" s="110"/>
      <c r="G108" s="93"/>
      <c r="H108" s="93"/>
      <c r="I108" s="93"/>
      <c r="J108" s="93"/>
      <c r="K108" s="93"/>
      <c r="L108" s="93"/>
      <c r="M108" s="93"/>
      <c r="N108" s="93"/>
      <c r="O108" s="93"/>
      <c r="P108" s="93"/>
      <c r="Q108" s="93"/>
      <c r="R108" s="93"/>
      <c r="S108" s="93"/>
      <c r="T108" s="93"/>
      <c r="U108" s="93"/>
      <c r="V108" s="93"/>
      <c r="W108" s="93"/>
      <c r="X108" s="93"/>
      <c r="Y108" s="93"/>
      <c r="Z108" s="93"/>
    </row>
    <row r="109" ht="14.25" customHeight="1">
      <c r="A109" s="93"/>
      <c r="B109" s="93"/>
      <c r="C109" s="93"/>
      <c r="D109" s="93"/>
      <c r="E109" s="110"/>
      <c r="F109" s="110"/>
      <c r="G109" s="93"/>
      <c r="H109" s="93"/>
      <c r="I109" s="93"/>
      <c r="J109" s="93"/>
      <c r="K109" s="93"/>
      <c r="L109" s="93"/>
      <c r="M109" s="93"/>
      <c r="N109" s="93"/>
      <c r="O109" s="93"/>
      <c r="P109" s="93"/>
      <c r="Q109" s="93"/>
      <c r="R109" s="93"/>
      <c r="S109" s="93"/>
      <c r="T109" s="93"/>
      <c r="U109" s="93"/>
      <c r="V109" s="93"/>
      <c r="W109" s="93"/>
      <c r="X109" s="93"/>
      <c r="Y109" s="93"/>
      <c r="Z109" s="93"/>
    </row>
    <row r="110" ht="14.25" customHeight="1">
      <c r="A110" s="93"/>
      <c r="B110" s="93"/>
      <c r="C110" s="93"/>
      <c r="D110" s="93"/>
      <c r="E110" s="110"/>
      <c r="F110" s="110"/>
      <c r="G110" s="93"/>
      <c r="H110" s="93"/>
      <c r="I110" s="93"/>
      <c r="J110" s="93"/>
      <c r="K110" s="93"/>
      <c r="L110" s="93"/>
      <c r="M110" s="93"/>
      <c r="N110" s="93"/>
      <c r="O110" s="93"/>
      <c r="P110" s="93"/>
      <c r="Q110" s="93"/>
      <c r="R110" s="93"/>
      <c r="S110" s="93"/>
      <c r="T110" s="93"/>
      <c r="U110" s="93"/>
      <c r="V110" s="93"/>
      <c r="W110" s="93"/>
      <c r="X110" s="93"/>
      <c r="Y110" s="93"/>
      <c r="Z110" s="93"/>
    </row>
    <row r="111" ht="14.25" customHeight="1">
      <c r="A111" s="93"/>
      <c r="B111" s="93"/>
      <c r="C111" s="93"/>
      <c r="D111" s="93"/>
      <c r="E111" s="110"/>
      <c r="F111" s="110"/>
      <c r="G111" s="93"/>
      <c r="H111" s="93"/>
      <c r="I111" s="93"/>
      <c r="J111" s="93"/>
      <c r="K111" s="93"/>
      <c r="L111" s="93"/>
      <c r="M111" s="93"/>
      <c r="N111" s="93"/>
      <c r="O111" s="93"/>
      <c r="P111" s="93"/>
      <c r="Q111" s="93"/>
      <c r="R111" s="93"/>
      <c r="S111" s="93"/>
      <c r="T111" s="93"/>
      <c r="U111" s="93"/>
      <c r="V111" s="93"/>
      <c r="W111" s="93"/>
      <c r="X111" s="93"/>
      <c r="Y111" s="93"/>
      <c r="Z111" s="93"/>
    </row>
    <row r="112" ht="14.25" customHeight="1">
      <c r="A112" s="93"/>
      <c r="B112" s="93"/>
      <c r="C112" s="93"/>
      <c r="D112" s="93"/>
      <c r="E112" s="110"/>
      <c r="F112" s="110"/>
      <c r="G112" s="93"/>
      <c r="H112" s="93"/>
      <c r="I112" s="93"/>
      <c r="J112" s="93"/>
      <c r="K112" s="93"/>
      <c r="L112" s="93"/>
      <c r="M112" s="93"/>
      <c r="N112" s="93"/>
      <c r="O112" s="93"/>
      <c r="P112" s="93"/>
      <c r="Q112" s="93"/>
      <c r="R112" s="93"/>
      <c r="S112" s="93"/>
      <c r="T112" s="93"/>
      <c r="U112" s="93"/>
      <c r="V112" s="93"/>
      <c r="W112" s="93"/>
      <c r="X112" s="93"/>
      <c r="Y112" s="93"/>
      <c r="Z112" s="93"/>
    </row>
    <row r="113" ht="14.25" customHeight="1">
      <c r="A113" s="93"/>
      <c r="B113" s="93"/>
      <c r="C113" s="93"/>
      <c r="D113" s="93"/>
      <c r="E113" s="110"/>
      <c r="F113" s="110"/>
      <c r="G113" s="93"/>
      <c r="H113" s="93"/>
      <c r="I113" s="93"/>
      <c r="J113" s="93"/>
      <c r="K113" s="93"/>
      <c r="L113" s="93"/>
      <c r="M113" s="93"/>
      <c r="N113" s="93"/>
      <c r="O113" s="93"/>
      <c r="P113" s="93"/>
      <c r="Q113" s="93"/>
      <c r="R113" s="93"/>
      <c r="S113" s="93"/>
      <c r="T113" s="93"/>
      <c r="U113" s="93"/>
      <c r="V113" s="93"/>
      <c r="W113" s="93"/>
      <c r="X113" s="93"/>
      <c r="Y113" s="93"/>
      <c r="Z113" s="93"/>
    </row>
    <row r="114" ht="14.25" customHeight="1">
      <c r="A114" s="93"/>
      <c r="B114" s="93"/>
      <c r="C114" s="93"/>
      <c r="D114" s="93"/>
      <c r="E114" s="110"/>
      <c r="F114" s="110"/>
      <c r="G114" s="93"/>
      <c r="H114" s="93"/>
      <c r="I114" s="93"/>
      <c r="J114" s="93"/>
      <c r="K114" s="93"/>
      <c r="L114" s="93"/>
      <c r="M114" s="93"/>
      <c r="N114" s="93"/>
      <c r="O114" s="93"/>
      <c r="P114" s="93"/>
      <c r="Q114" s="93"/>
      <c r="R114" s="93"/>
      <c r="S114" s="93"/>
      <c r="T114" s="93"/>
      <c r="U114" s="93"/>
      <c r="V114" s="93"/>
      <c r="W114" s="93"/>
      <c r="X114" s="93"/>
      <c r="Y114" s="93"/>
      <c r="Z114" s="93"/>
    </row>
    <row r="115" ht="14.25" customHeight="1">
      <c r="A115" s="93"/>
      <c r="B115" s="93"/>
      <c r="C115" s="93"/>
      <c r="D115" s="93"/>
      <c r="E115" s="110"/>
      <c r="F115" s="110"/>
      <c r="G115" s="93"/>
      <c r="H115" s="93"/>
      <c r="I115" s="93"/>
      <c r="J115" s="93"/>
      <c r="K115" s="93"/>
      <c r="L115" s="93"/>
      <c r="M115" s="93"/>
      <c r="N115" s="93"/>
      <c r="O115" s="93"/>
      <c r="P115" s="93"/>
      <c r="Q115" s="93"/>
      <c r="R115" s="93"/>
      <c r="S115" s="93"/>
      <c r="T115" s="93"/>
      <c r="U115" s="93"/>
      <c r="V115" s="93"/>
      <c r="W115" s="93"/>
      <c r="X115" s="93"/>
      <c r="Y115" s="93"/>
      <c r="Z115" s="93"/>
    </row>
    <row r="116" ht="14.25" customHeight="1">
      <c r="A116" s="93"/>
      <c r="B116" s="93"/>
      <c r="C116" s="93"/>
      <c r="D116" s="93"/>
      <c r="E116" s="110"/>
      <c r="F116" s="110"/>
      <c r="G116" s="93"/>
      <c r="H116" s="93"/>
      <c r="I116" s="93"/>
      <c r="J116" s="93"/>
      <c r="K116" s="93"/>
      <c r="L116" s="93"/>
      <c r="M116" s="93"/>
      <c r="N116" s="93"/>
      <c r="O116" s="93"/>
      <c r="P116" s="93"/>
      <c r="Q116" s="93"/>
      <c r="R116" s="93"/>
      <c r="S116" s="93"/>
      <c r="T116" s="93"/>
      <c r="U116" s="93"/>
      <c r="V116" s="93"/>
      <c r="W116" s="93"/>
      <c r="X116" s="93"/>
      <c r="Y116" s="93"/>
      <c r="Z116" s="93"/>
    </row>
    <row r="117" ht="14.25" customHeight="1">
      <c r="A117" s="93"/>
      <c r="B117" s="93"/>
      <c r="C117" s="93"/>
      <c r="D117" s="93"/>
      <c r="E117" s="110"/>
      <c r="F117" s="110"/>
      <c r="G117" s="93"/>
      <c r="H117" s="93"/>
      <c r="I117" s="93"/>
      <c r="J117" s="93"/>
      <c r="K117" s="93"/>
      <c r="L117" s="93"/>
      <c r="M117" s="93"/>
      <c r="N117" s="93"/>
      <c r="O117" s="93"/>
      <c r="P117" s="93"/>
      <c r="Q117" s="93"/>
      <c r="R117" s="93"/>
      <c r="S117" s="93"/>
      <c r="T117" s="93"/>
      <c r="U117" s="93"/>
      <c r="V117" s="93"/>
      <c r="W117" s="93"/>
      <c r="X117" s="93"/>
      <c r="Y117" s="93"/>
      <c r="Z117" s="93"/>
    </row>
    <row r="118" ht="14.25" customHeight="1">
      <c r="A118" s="93"/>
      <c r="B118" s="93"/>
      <c r="C118" s="93"/>
      <c r="D118" s="93"/>
      <c r="E118" s="110"/>
      <c r="F118" s="110"/>
      <c r="G118" s="93"/>
      <c r="H118" s="93"/>
      <c r="I118" s="93"/>
      <c r="J118" s="93"/>
      <c r="K118" s="93"/>
      <c r="L118" s="93"/>
      <c r="M118" s="93"/>
      <c r="N118" s="93"/>
      <c r="O118" s="93"/>
      <c r="P118" s="93"/>
      <c r="Q118" s="93"/>
      <c r="R118" s="93"/>
      <c r="S118" s="93"/>
      <c r="T118" s="93"/>
      <c r="U118" s="93"/>
      <c r="V118" s="93"/>
      <c r="W118" s="93"/>
      <c r="X118" s="93"/>
      <c r="Y118" s="93"/>
      <c r="Z118" s="93"/>
    </row>
    <row r="119" ht="14.25" customHeight="1">
      <c r="A119" s="93"/>
      <c r="B119" s="93"/>
      <c r="C119" s="93"/>
      <c r="D119" s="93"/>
      <c r="E119" s="110"/>
      <c r="F119" s="110"/>
      <c r="G119" s="93"/>
      <c r="H119" s="93"/>
      <c r="I119" s="93"/>
      <c r="J119" s="93"/>
      <c r="K119" s="93"/>
      <c r="L119" s="93"/>
      <c r="M119" s="93"/>
      <c r="N119" s="93"/>
      <c r="O119" s="93"/>
      <c r="P119" s="93"/>
      <c r="Q119" s="93"/>
      <c r="R119" s="93"/>
      <c r="S119" s="93"/>
      <c r="T119" s="93"/>
      <c r="U119" s="93"/>
      <c r="V119" s="93"/>
      <c r="W119" s="93"/>
      <c r="X119" s="93"/>
      <c r="Y119" s="93"/>
      <c r="Z119" s="93"/>
    </row>
    <row r="120" ht="14.25" customHeight="1">
      <c r="A120" s="93"/>
      <c r="B120" s="93"/>
      <c r="C120" s="93"/>
      <c r="D120" s="93"/>
      <c r="E120" s="110"/>
      <c r="F120" s="110"/>
      <c r="G120" s="93"/>
      <c r="H120" s="93"/>
      <c r="I120" s="93"/>
      <c r="J120" s="93"/>
      <c r="K120" s="93"/>
      <c r="L120" s="93"/>
      <c r="M120" s="93"/>
      <c r="N120" s="93"/>
      <c r="O120" s="93"/>
      <c r="P120" s="93"/>
      <c r="Q120" s="93"/>
      <c r="R120" s="93"/>
      <c r="S120" s="93"/>
      <c r="T120" s="93"/>
      <c r="U120" s="93"/>
      <c r="V120" s="93"/>
      <c r="W120" s="93"/>
      <c r="X120" s="93"/>
      <c r="Y120" s="93"/>
      <c r="Z120" s="93"/>
    </row>
    <row r="121" ht="14.25" customHeight="1">
      <c r="A121" s="93"/>
      <c r="B121" s="93"/>
      <c r="C121" s="93"/>
      <c r="D121" s="93"/>
      <c r="E121" s="110"/>
      <c r="F121" s="110"/>
      <c r="G121" s="93"/>
      <c r="H121" s="93"/>
      <c r="I121" s="93"/>
      <c r="J121" s="93"/>
      <c r="K121" s="93"/>
      <c r="L121" s="93"/>
      <c r="M121" s="93"/>
      <c r="N121" s="93"/>
      <c r="O121" s="93"/>
      <c r="P121" s="93"/>
      <c r="Q121" s="93"/>
      <c r="R121" s="93"/>
      <c r="S121" s="93"/>
      <c r="T121" s="93"/>
      <c r="U121" s="93"/>
      <c r="V121" s="93"/>
      <c r="W121" s="93"/>
      <c r="X121" s="93"/>
      <c r="Y121" s="93"/>
      <c r="Z121" s="93"/>
    </row>
    <row r="122" ht="14.25" customHeight="1">
      <c r="A122" s="93"/>
      <c r="B122" s="93"/>
      <c r="C122" s="93"/>
      <c r="D122" s="93"/>
      <c r="E122" s="110"/>
      <c r="F122" s="110"/>
      <c r="G122" s="93"/>
      <c r="H122" s="93"/>
      <c r="I122" s="93"/>
      <c r="J122" s="93"/>
      <c r="K122" s="93"/>
      <c r="L122" s="93"/>
      <c r="M122" s="93"/>
      <c r="N122" s="93"/>
      <c r="O122" s="93"/>
      <c r="P122" s="93"/>
      <c r="Q122" s="93"/>
      <c r="R122" s="93"/>
      <c r="S122" s="93"/>
      <c r="T122" s="93"/>
      <c r="U122" s="93"/>
      <c r="V122" s="93"/>
      <c r="W122" s="93"/>
      <c r="X122" s="93"/>
      <c r="Y122" s="93"/>
      <c r="Z122" s="93"/>
    </row>
    <row r="123" ht="14.25" customHeight="1">
      <c r="A123" s="93"/>
      <c r="B123" s="93"/>
      <c r="C123" s="93"/>
      <c r="D123" s="93"/>
      <c r="E123" s="110"/>
      <c r="F123" s="110"/>
      <c r="G123" s="93"/>
      <c r="H123" s="93"/>
      <c r="I123" s="93"/>
      <c r="J123" s="93"/>
      <c r="K123" s="93"/>
      <c r="L123" s="93"/>
      <c r="M123" s="93"/>
      <c r="N123" s="93"/>
      <c r="O123" s="93"/>
      <c r="P123" s="93"/>
      <c r="Q123" s="93"/>
      <c r="R123" s="93"/>
      <c r="S123" s="93"/>
      <c r="T123" s="93"/>
      <c r="U123" s="93"/>
      <c r="V123" s="93"/>
      <c r="W123" s="93"/>
      <c r="X123" s="93"/>
      <c r="Y123" s="93"/>
      <c r="Z123" s="93"/>
    </row>
    <row r="124" ht="14.25" customHeight="1">
      <c r="A124" s="93"/>
      <c r="B124" s="93"/>
      <c r="C124" s="93"/>
      <c r="D124" s="93"/>
      <c r="E124" s="110"/>
      <c r="F124" s="110"/>
      <c r="G124" s="93"/>
      <c r="H124" s="93"/>
      <c r="I124" s="93"/>
      <c r="J124" s="93"/>
      <c r="K124" s="93"/>
      <c r="L124" s="93"/>
      <c r="M124" s="93"/>
      <c r="N124" s="93"/>
      <c r="O124" s="93"/>
      <c r="P124" s="93"/>
      <c r="Q124" s="93"/>
      <c r="R124" s="93"/>
      <c r="S124" s="93"/>
      <c r="T124" s="93"/>
      <c r="U124" s="93"/>
      <c r="V124" s="93"/>
      <c r="W124" s="93"/>
      <c r="X124" s="93"/>
      <c r="Y124" s="93"/>
      <c r="Z124" s="93"/>
    </row>
    <row r="125" ht="14.25" customHeight="1">
      <c r="A125" s="93"/>
      <c r="B125" s="93"/>
      <c r="C125" s="93"/>
      <c r="D125" s="93"/>
      <c r="E125" s="110"/>
      <c r="F125" s="110"/>
      <c r="G125" s="93"/>
      <c r="H125" s="93"/>
      <c r="I125" s="93"/>
      <c r="J125" s="93"/>
      <c r="K125" s="93"/>
      <c r="L125" s="93"/>
      <c r="M125" s="93"/>
      <c r="N125" s="93"/>
      <c r="O125" s="93"/>
      <c r="P125" s="93"/>
      <c r="Q125" s="93"/>
      <c r="R125" s="93"/>
      <c r="S125" s="93"/>
      <c r="T125" s="93"/>
      <c r="U125" s="93"/>
      <c r="V125" s="93"/>
      <c r="W125" s="93"/>
      <c r="X125" s="93"/>
      <c r="Y125" s="93"/>
      <c r="Z125" s="93"/>
    </row>
    <row r="126" ht="14.25" customHeight="1">
      <c r="A126" s="93"/>
      <c r="B126" s="93"/>
      <c r="C126" s="93"/>
      <c r="D126" s="93"/>
      <c r="E126" s="110"/>
      <c r="F126" s="110"/>
      <c r="G126" s="93"/>
      <c r="H126" s="93"/>
      <c r="I126" s="93"/>
      <c r="J126" s="93"/>
      <c r="K126" s="93"/>
      <c r="L126" s="93"/>
      <c r="M126" s="93"/>
      <c r="N126" s="93"/>
      <c r="O126" s="93"/>
      <c r="P126" s="93"/>
      <c r="Q126" s="93"/>
      <c r="R126" s="93"/>
      <c r="S126" s="93"/>
      <c r="T126" s="93"/>
      <c r="U126" s="93"/>
      <c r="V126" s="93"/>
      <c r="W126" s="93"/>
      <c r="X126" s="93"/>
      <c r="Y126" s="93"/>
      <c r="Z126" s="93"/>
    </row>
    <row r="127" ht="14.25" customHeight="1">
      <c r="A127" s="93"/>
      <c r="B127" s="93"/>
      <c r="C127" s="93"/>
      <c r="D127" s="93"/>
      <c r="E127" s="110"/>
      <c r="F127" s="110"/>
      <c r="G127" s="93"/>
      <c r="H127" s="93"/>
      <c r="I127" s="93"/>
      <c r="J127" s="93"/>
      <c r="K127" s="93"/>
      <c r="L127" s="93"/>
      <c r="M127" s="93"/>
      <c r="N127" s="93"/>
      <c r="O127" s="93"/>
      <c r="P127" s="93"/>
      <c r="Q127" s="93"/>
      <c r="R127" s="93"/>
      <c r="S127" s="93"/>
      <c r="T127" s="93"/>
      <c r="U127" s="93"/>
      <c r="V127" s="93"/>
      <c r="W127" s="93"/>
      <c r="X127" s="93"/>
      <c r="Y127" s="93"/>
      <c r="Z127" s="93"/>
    </row>
    <row r="128" ht="14.25" customHeight="1">
      <c r="A128" s="93"/>
      <c r="B128" s="93"/>
      <c r="C128" s="93"/>
      <c r="D128" s="93"/>
      <c r="E128" s="110"/>
      <c r="F128" s="110"/>
      <c r="G128" s="93"/>
      <c r="H128" s="93"/>
      <c r="I128" s="93"/>
      <c r="J128" s="93"/>
      <c r="K128" s="93"/>
      <c r="L128" s="93"/>
      <c r="M128" s="93"/>
      <c r="N128" s="93"/>
      <c r="O128" s="93"/>
      <c r="P128" s="93"/>
      <c r="Q128" s="93"/>
      <c r="R128" s="93"/>
      <c r="S128" s="93"/>
      <c r="T128" s="93"/>
      <c r="U128" s="93"/>
      <c r="V128" s="93"/>
      <c r="W128" s="93"/>
      <c r="X128" s="93"/>
      <c r="Y128" s="93"/>
      <c r="Z128" s="93"/>
    </row>
    <row r="129" ht="14.25" customHeight="1">
      <c r="A129" s="93"/>
      <c r="B129" s="93"/>
      <c r="C129" s="93"/>
      <c r="D129" s="93"/>
      <c r="E129" s="110"/>
      <c r="F129" s="110"/>
      <c r="G129" s="93"/>
      <c r="H129" s="93"/>
      <c r="I129" s="93"/>
      <c r="J129" s="93"/>
      <c r="K129" s="93"/>
      <c r="L129" s="93"/>
      <c r="M129" s="93"/>
      <c r="N129" s="93"/>
      <c r="O129" s="93"/>
      <c r="P129" s="93"/>
      <c r="Q129" s="93"/>
      <c r="R129" s="93"/>
      <c r="S129" s="93"/>
      <c r="T129" s="93"/>
      <c r="U129" s="93"/>
      <c r="V129" s="93"/>
      <c r="W129" s="93"/>
      <c r="X129" s="93"/>
      <c r="Y129" s="93"/>
      <c r="Z129" s="93"/>
    </row>
    <row r="130" ht="14.25" customHeight="1">
      <c r="A130" s="93"/>
      <c r="B130" s="93"/>
      <c r="C130" s="93"/>
      <c r="D130" s="93"/>
      <c r="E130" s="110"/>
      <c r="F130" s="110"/>
      <c r="G130" s="93"/>
      <c r="H130" s="93"/>
      <c r="I130" s="93"/>
      <c r="J130" s="93"/>
      <c r="K130" s="93"/>
      <c r="L130" s="93"/>
      <c r="M130" s="93"/>
      <c r="N130" s="93"/>
      <c r="O130" s="93"/>
      <c r="P130" s="93"/>
      <c r="Q130" s="93"/>
      <c r="R130" s="93"/>
      <c r="S130" s="93"/>
      <c r="T130" s="93"/>
      <c r="U130" s="93"/>
      <c r="V130" s="93"/>
      <c r="W130" s="93"/>
      <c r="X130" s="93"/>
      <c r="Y130" s="93"/>
      <c r="Z130" s="93"/>
    </row>
    <row r="131" ht="14.25" customHeight="1">
      <c r="A131" s="93"/>
      <c r="B131" s="93"/>
      <c r="C131" s="93"/>
      <c r="D131" s="93"/>
      <c r="E131" s="110"/>
      <c r="F131" s="110"/>
      <c r="G131" s="93"/>
      <c r="H131" s="93"/>
      <c r="I131" s="93"/>
      <c r="J131" s="93"/>
      <c r="K131" s="93"/>
      <c r="L131" s="93"/>
      <c r="M131" s="93"/>
      <c r="N131" s="93"/>
      <c r="O131" s="93"/>
      <c r="P131" s="93"/>
      <c r="Q131" s="93"/>
      <c r="R131" s="93"/>
      <c r="S131" s="93"/>
      <c r="T131" s="93"/>
      <c r="U131" s="93"/>
      <c r="V131" s="93"/>
      <c r="W131" s="93"/>
      <c r="X131" s="93"/>
      <c r="Y131" s="93"/>
      <c r="Z131" s="93"/>
    </row>
    <row r="132" ht="14.25" customHeight="1">
      <c r="A132" s="93"/>
      <c r="B132" s="93"/>
      <c r="C132" s="93"/>
      <c r="D132" s="93"/>
      <c r="E132" s="110"/>
      <c r="F132" s="110"/>
      <c r="G132" s="93"/>
      <c r="H132" s="93"/>
      <c r="I132" s="93"/>
      <c r="J132" s="93"/>
      <c r="K132" s="93"/>
      <c r="L132" s="93"/>
      <c r="M132" s="93"/>
      <c r="N132" s="93"/>
      <c r="O132" s="93"/>
      <c r="P132" s="93"/>
      <c r="Q132" s="93"/>
      <c r="R132" s="93"/>
      <c r="S132" s="93"/>
      <c r="T132" s="93"/>
      <c r="U132" s="93"/>
      <c r="V132" s="93"/>
      <c r="W132" s="93"/>
      <c r="X132" s="93"/>
      <c r="Y132" s="93"/>
      <c r="Z132" s="93"/>
    </row>
    <row r="133" ht="14.25" customHeight="1">
      <c r="A133" s="93"/>
      <c r="B133" s="93"/>
      <c r="C133" s="93"/>
      <c r="D133" s="93"/>
      <c r="E133" s="110"/>
      <c r="F133" s="110"/>
      <c r="G133" s="93"/>
      <c r="H133" s="93"/>
      <c r="I133" s="93"/>
      <c r="J133" s="93"/>
      <c r="K133" s="93"/>
      <c r="L133" s="93"/>
      <c r="M133" s="93"/>
      <c r="N133" s="93"/>
      <c r="O133" s="93"/>
      <c r="P133" s="93"/>
      <c r="Q133" s="93"/>
      <c r="R133" s="93"/>
      <c r="S133" s="93"/>
      <c r="T133" s="93"/>
      <c r="U133" s="93"/>
      <c r="V133" s="93"/>
      <c r="W133" s="93"/>
      <c r="X133" s="93"/>
      <c r="Y133" s="93"/>
      <c r="Z133" s="93"/>
    </row>
    <row r="134" ht="14.25" customHeight="1">
      <c r="A134" s="93"/>
      <c r="B134" s="93"/>
      <c r="C134" s="93"/>
      <c r="D134" s="93"/>
      <c r="E134" s="110"/>
      <c r="F134" s="110"/>
      <c r="G134" s="93"/>
      <c r="H134" s="93"/>
      <c r="I134" s="93"/>
      <c r="J134" s="93"/>
      <c r="K134" s="93"/>
      <c r="L134" s="93"/>
      <c r="M134" s="93"/>
      <c r="N134" s="93"/>
      <c r="O134" s="93"/>
      <c r="P134" s="93"/>
      <c r="Q134" s="93"/>
      <c r="R134" s="93"/>
      <c r="S134" s="93"/>
      <c r="T134" s="93"/>
      <c r="U134" s="93"/>
      <c r="V134" s="93"/>
      <c r="W134" s="93"/>
      <c r="X134" s="93"/>
      <c r="Y134" s="93"/>
      <c r="Z134" s="93"/>
    </row>
    <row r="135" ht="14.25" customHeight="1">
      <c r="A135" s="93"/>
      <c r="B135" s="93"/>
      <c r="C135" s="93"/>
      <c r="D135" s="93"/>
      <c r="E135" s="110"/>
      <c r="F135" s="110"/>
      <c r="G135" s="93"/>
      <c r="H135" s="93"/>
      <c r="I135" s="93"/>
      <c r="J135" s="93"/>
      <c r="K135" s="93"/>
      <c r="L135" s="93"/>
      <c r="M135" s="93"/>
      <c r="N135" s="93"/>
      <c r="O135" s="93"/>
      <c r="P135" s="93"/>
      <c r="Q135" s="93"/>
      <c r="R135" s="93"/>
      <c r="S135" s="93"/>
      <c r="T135" s="93"/>
      <c r="U135" s="93"/>
      <c r="V135" s="93"/>
      <c r="W135" s="93"/>
      <c r="X135" s="93"/>
      <c r="Y135" s="93"/>
      <c r="Z135" s="93"/>
    </row>
    <row r="136" ht="14.25" customHeight="1">
      <c r="A136" s="93"/>
      <c r="B136" s="93"/>
      <c r="C136" s="93"/>
      <c r="D136" s="93"/>
      <c r="E136" s="110"/>
      <c r="F136" s="110"/>
      <c r="G136" s="93"/>
      <c r="H136" s="93"/>
      <c r="I136" s="93"/>
      <c r="J136" s="93"/>
      <c r="K136" s="93"/>
      <c r="L136" s="93"/>
      <c r="M136" s="93"/>
      <c r="N136" s="93"/>
      <c r="O136" s="93"/>
      <c r="P136" s="93"/>
      <c r="Q136" s="93"/>
      <c r="R136" s="93"/>
      <c r="S136" s="93"/>
      <c r="T136" s="93"/>
      <c r="U136" s="93"/>
      <c r="V136" s="93"/>
      <c r="W136" s="93"/>
      <c r="X136" s="93"/>
      <c r="Y136" s="93"/>
      <c r="Z136" s="93"/>
    </row>
    <row r="137" ht="14.25" customHeight="1">
      <c r="A137" s="93"/>
      <c r="B137" s="93"/>
      <c r="C137" s="93"/>
      <c r="D137" s="93"/>
      <c r="E137" s="110"/>
      <c r="F137" s="110"/>
      <c r="G137" s="93"/>
      <c r="H137" s="93"/>
      <c r="I137" s="93"/>
      <c r="J137" s="93"/>
      <c r="K137" s="93"/>
      <c r="L137" s="93"/>
      <c r="M137" s="93"/>
      <c r="N137" s="93"/>
      <c r="O137" s="93"/>
      <c r="P137" s="93"/>
      <c r="Q137" s="93"/>
      <c r="R137" s="93"/>
      <c r="S137" s="93"/>
      <c r="T137" s="93"/>
      <c r="U137" s="93"/>
      <c r="V137" s="93"/>
      <c r="W137" s="93"/>
      <c r="X137" s="93"/>
      <c r="Y137" s="93"/>
      <c r="Z137" s="93"/>
    </row>
    <row r="138" ht="14.25" customHeight="1">
      <c r="A138" s="93"/>
      <c r="B138" s="93"/>
      <c r="C138" s="93"/>
      <c r="D138" s="93"/>
      <c r="E138" s="110"/>
      <c r="F138" s="110"/>
      <c r="G138" s="93"/>
      <c r="H138" s="93"/>
      <c r="I138" s="93"/>
      <c r="J138" s="93"/>
      <c r="K138" s="93"/>
      <c r="L138" s="93"/>
      <c r="M138" s="93"/>
      <c r="N138" s="93"/>
      <c r="O138" s="93"/>
      <c r="P138" s="93"/>
      <c r="Q138" s="93"/>
      <c r="R138" s="93"/>
      <c r="S138" s="93"/>
      <c r="T138" s="93"/>
      <c r="U138" s="93"/>
      <c r="V138" s="93"/>
      <c r="W138" s="93"/>
      <c r="X138" s="93"/>
      <c r="Y138" s="93"/>
      <c r="Z138" s="93"/>
    </row>
    <row r="139" ht="14.25" customHeight="1">
      <c r="A139" s="93"/>
      <c r="B139" s="93"/>
      <c r="C139" s="93"/>
      <c r="D139" s="93"/>
      <c r="E139" s="110"/>
      <c r="F139" s="110"/>
      <c r="G139" s="93"/>
      <c r="H139" s="93"/>
      <c r="I139" s="93"/>
      <c r="J139" s="93"/>
      <c r="K139" s="93"/>
      <c r="L139" s="93"/>
      <c r="M139" s="93"/>
      <c r="N139" s="93"/>
      <c r="O139" s="93"/>
      <c r="P139" s="93"/>
      <c r="Q139" s="93"/>
      <c r="R139" s="93"/>
      <c r="S139" s="93"/>
      <c r="T139" s="93"/>
      <c r="U139" s="93"/>
      <c r="V139" s="93"/>
      <c r="W139" s="93"/>
      <c r="X139" s="93"/>
      <c r="Y139" s="93"/>
      <c r="Z139" s="93"/>
    </row>
    <row r="140" ht="14.25" customHeight="1">
      <c r="A140" s="93"/>
      <c r="B140" s="93"/>
      <c r="C140" s="93"/>
      <c r="D140" s="93"/>
      <c r="E140" s="110"/>
      <c r="F140" s="110"/>
      <c r="G140" s="93"/>
      <c r="H140" s="93"/>
      <c r="I140" s="93"/>
      <c r="J140" s="93"/>
      <c r="K140" s="93"/>
      <c r="L140" s="93"/>
      <c r="M140" s="93"/>
      <c r="N140" s="93"/>
      <c r="O140" s="93"/>
      <c r="P140" s="93"/>
      <c r="Q140" s="93"/>
      <c r="R140" s="93"/>
      <c r="S140" s="93"/>
      <c r="T140" s="93"/>
      <c r="U140" s="93"/>
      <c r="V140" s="93"/>
      <c r="W140" s="93"/>
      <c r="X140" s="93"/>
      <c r="Y140" s="93"/>
      <c r="Z140" s="93"/>
    </row>
    <row r="141" ht="14.25" customHeight="1">
      <c r="A141" s="93"/>
      <c r="B141" s="93"/>
      <c r="C141" s="93"/>
      <c r="D141" s="93"/>
      <c r="E141" s="110"/>
      <c r="F141" s="110"/>
      <c r="G141" s="93"/>
      <c r="H141" s="93"/>
      <c r="I141" s="93"/>
      <c r="J141" s="93"/>
      <c r="K141" s="93"/>
      <c r="L141" s="93"/>
      <c r="M141" s="93"/>
      <c r="N141" s="93"/>
      <c r="O141" s="93"/>
      <c r="P141" s="93"/>
      <c r="Q141" s="93"/>
      <c r="R141" s="93"/>
      <c r="S141" s="93"/>
      <c r="T141" s="93"/>
      <c r="U141" s="93"/>
      <c r="V141" s="93"/>
      <c r="W141" s="93"/>
      <c r="X141" s="93"/>
      <c r="Y141" s="93"/>
      <c r="Z141" s="93"/>
    </row>
    <row r="142" ht="14.25" customHeight="1">
      <c r="A142" s="93"/>
      <c r="B142" s="93"/>
      <c r="C142" s="93"/>
      <c r="D142" s="93"/>
      <c r="E142" s="110"/>
      <c r="F142" s="110"/>
      <c r="G142" s="93"/>
      <c r="H142" s="93"/>
      <c r="I142" s="93"/>
      <c r="J142" s="93"/>
      <c r="K142" s="93"/>
      <c r="L142" s="93"/>
      <c r="M142" s="93"/>
      <c r="N142" s="93"/>
      <c r="O142" s="93"/>
      <c r="P142" s="93"/>
      <c r="Q142" s="93"/>
      <c r="R142" s="93"/>
      <c r="S142" s="93"/>
      <c r="T142" s="93"/>
      <c r="U142" s="93"/>
      <c r="V142" s="93"/>
      <c r="W142" s="93"/>
      <c r="X142" s="93"/>
      <c r="Y142" s="93"/>
      <c r="Z142" s="93"/>
    </row>
    <row r="143" ht="14.25" customHeight="1">
      <c r="A143" s="93"/>
      <c r="B143" s="93"/>
      <c r="C143" s="93"/>
      <c r="D143" s="93"/>
      <c r="E143" s="110"/>
      <c r="F143" s="110"/>
      <c r="G143" s="93"/>
      <c r="H143" s="93"/>
      <c r="I143" s="93"/>
      <c r="J143" s="93"/>
      <c r="K143" s="93"/>
      <c r="L143" s="93"/>
      <c r="M143" s="93"/>
      <c r="N143" s="93"/>
      <c r="O143" s="93"/>
      <c r="P143" s="93"/>
      <c r="Q143" s="93"/>
      <c r="R143" s="93"/>
      <c r="S143" s="93"/>
      <c r="T143" s="93"/>
      <c r="U143" s="93"/>
      <c r="V143" s="93"/>
      <c r="W143" s="93"/>
      <c r="X143" s="93"/>
      <c r="Y143" s="93"/>
      <c r="Z143" s="93"/>
    </row>
    <row r="144" ht="14.25" customHeight="1">
      <c r="A144" s="93"/>
      <c r="B144" s="93"/>
      <c r="C144" s="93"/>
      <c r="D144" s="93"/>
      <c r="E144" s="110"/>
      <c r="F144" s="110"/>
      <c r="G144" s="93"/>
      <c r="H144" s="93"/>
      <c r="I144" s="93"/>
      <c r="J144" s="93"/>
      <c r="K144" s="93"/>
      <c r="L144" s="93"/>
      <c r="M144" s="93"/>
      <c r="N144" s="93"/>
      <c r="O144" s="93"/>
      <c r="P144" s="93"/>
      <c r="Q144" s="93"/>
      <c r="R144" s="93"/>
      <c r="S144" s="93"/>
      <c r="T144" s="93"/>
      <c r="U144" s="93"/>
      <c r="V144" s="93"/>
      <c r="W144" s="93"/>
      <c r="X144" s="93"/>
      <c r="Y144" s="93"/>
      <c r="Z144" s="93"/>
    </row>
    <row r="145" ht="14.25" customHeight="1">
      <c r="A145" s="93"/>
      <c r="B145" s="93"/>
      <c r="C145" s="93"/>
      <c r="D145" s="93"/>
      <c r="E145" s="110"/>
      <c r="F145" s="110"/>
      <c r="G145" s="93"/>
      <c r="H145" s="93"/>
      <c r="I145" s="93"/>
      <c r="J145" s="93"/>
      <c r="K145" s="93"/>
      <c r="L145" s="93"/>
      <c r="M145" s="93"/>
      <c r="N145" s="93"/>
      <c r="O145" s="93"/>
      <c r="P145" s="93"/>
      <c r="Q145" s="93"/>
      <c r="R145" s="93"/>
      <c r="S145" s="93"/>
      <c r="T145" s="93"/>
      <c r="U145" s="93"/>
      <c r="V145" s="93"/>
      <c r="W145" s="93"/>
      <c r="X145" s="93"/>
      <c r="Y145" s="93"/>
      <c r="Z145" s="93"/>
    </row>
    <row r="146" ht="14.25" customHeight="1">
      <c r="A146" s="93"/>
      <c r="B146" s="93"/>
      <c r="C146" s="93"/>
      <c r="D146" s="93"/>
      <c r="E146" s="110"/>
      <c r="F146" s="110"/>
      <c r="G146" s="93"/>
      <c r="H146" s="93"/>
      <c r="I146" s="93"/>
      <c r="J146" s="93"/>
      <c r="K146" s="93"/>
      <c r="L146" s="93"/>
      <c r="M146" s="93"/>
      <c r="N146" s="93"/>
      <c r="O146" s="93"/>
      <c r="P146" s="93"/>
      <c r="Q146" s="93"/>
      <c r="R146" s="93"/>
      <c r="S146" s="93"/>
      <c r="T146" s="93"/>
      <c r="U146" s="93"/>
      <c r="V146" s="93"/>
      <c r="W146" s="93"/>
      <c r="X146" s="93"/>
      <c r="Y146" s="93"/>
      <c r="Z146" s="93"/>
    </row>
    <row r="147" ht="14.25" customHeight="1">
      <c r="A147" s="93"/>
      <c r="B147" s="93"/>
      <c r="C147" s="93"/>
      <c r="D147" s="93"/>
      <c r="E147" s="110"/>
      <c r="F147" s="110"/>
      <c r="G147" s="93"/>
      <c r="H147" s="93"/>
      <c r="I147" s="93"/>
      <c r="J147" s="93"/>
      <c r="K147" s="93"/>
      <c r="L147" s="93"/>
      <c r="M147" s="93"/>
      <c r="N147" s="93"/>
      <c r="O147" s="93"/>
      <c r="P147" s="93"/>
      <c r="Q147" s="93"/>
      <c r="R147" s="93"/>
      <c r="S147" s="93"/>
      <c r="T147" s="93"/>
      <c r="U147" s="93"/>
      <c r="V147" s="93"/>
      <c r="W147" s="93"/>
      <c r="X147" s="93"/>
      <c r="Y147" s="93"/>
      <c r="Z147" s="93"/>
    </row>
    <row r="148" ht="14.25" customHeight="1">
      <c r="A148" s="93"/>
      <c r="B148" s="93"/>
      <c r="C148" s="93"/>
      <c r="D148" s="93"/>
      <c r="E148" s="110"/>
      <c r="F148" s="110"/>
      <c r="G148" s="93"/>
      <c r="H148" s="93"/>
      <c r="I148" s="93"/>
      <c r="J148" s="93"/>
      <c r="K148" s="93"/>
      <c r="L148" s="93"/>
      <c r="M148" s="93"/>
      <c r="N148" s="93"/>
      <c r="O148" s="93"/>
      <c r="P148" s="93"/>
      <c r="Q148" s="93"/>
      <c r="R148" s="93"/>
      <c r="S148" s="93"/>
      <c r="T148" s="93"/>
      <c r="U148" s="93"/>
      <c r="V148" s="93"/>
      <c r="W148" s="93"/>
      <c r="X148" s="93"/>
      <c r="Y148" s="93"/>
      <c r="Z148" s="93"/>
    </row>
    <row r="149" ht="14.25" customHeight="1">
      <c r="A149" s="93"/>
      <c r="B149" s="93"/>
      <c r="C149" s="93"/>
      <c r="D149" s="93"/>
      <c r="E149" s="110"/>
      <c r="F149" s="110"/>
      <c r="G149" s="93"/>
      <c r="H149" s="93"/>
      <c r="I149" s="93"/>
      <c r="J149" s="93"/>
      <c r="K149" s="93"/>
      <c r="L149" s="93"/>
      <c r="M149" s="93"/>
      <c r="N149" s="93"/>
      <c r="O149" s="93"/>
      <c r="P149" s="93"/>
      <c r="Q149" s="93"/>
      <c r="R149" s="93"/>
      <c r="S149" s="93"/>
      <c r="T149" s="93"/>
      <c r="U149" s="93"/>
      <c r="V149" s="93"/>
      <c r="W149" s="93"/>
      <c r="X149" s="93"/>
      <c r="Y149" s="93"/>
      <c r="Z149" s="93"/>
    </row>
    <row r="150" ht="14.25" customHeight="1">
      <c r="A150" s="93"/>
      <c r="B150" s="93"/>
      <c r="C150" s="93"/>
      <c r="D150" s="93"/>
      <c r="E150" s="110"/>
      <c r="F150" s="110"/>
      <c r="G150" s="93"/>
      <c r="H150" s="93"/>
      <c r="I150" s="93"/>
      <c r="J150" s="93"/>
      <c r="K150" s="93"/>
      <c r="L150" s="93"/>
      <c r="M150" s="93"/>
      <c r="N150" s="93"/>
      <c r="O150" s="93"/>
      <c r="P150" s="93"/>
      <c r="Q150" s="93"/>
      <c r="R150" s="93"/>
      <c r="S150" s="93"/>
      <c r="T150" s="93"/>
      <c r="U150" s="93"/>
      <c r="V150" s="93"/>
      <c r="W150" s="93"/>
      <c r="X150" s="93"/>
      <c r="Y150" s="93"/>
      <c r="Z150" s="93"/>
    </row>
    <row r="151" ht="14.25" customHeight="1">
      <c r="A151" s="93"/>
      <c r="B151" s="93"/>
      <c r="C151" s="93"/>
      <c r="D151" s="93"/>
      <c r="E151" s="110"/>
      <c r="F151" s="110"/>
      <c r="G151" s="93"/>
      <c r="H151" s="93"/>
      <c r="I151" s="93"/>
      <c r="J151" s="93"/>
      <c r="K151" s="93"/>
      <c r="L151" s="93"/>
      <c r="M151" s="93"/>
      <c r="N151" s="93"/>
      <c r="O151" s="93"/>
      <c r="P151" s="93"/>
      <c r="Q151" s="93"/>
      <c r="R151" s="93"/>
      <c r="S151" s="93"/>
      <c r="T151" s="93"/>
      <c r="U151" s="93"/>
      <c r="V151" s="93"/>
      <c r="W151" s="93"/>
      <c r="X151" s="93"/>
      <c r="Y151" s="93"/>
      <c r="Z151" s="93"/>
    </row>
    <row r="152" ht="14.25" customHeight="1">
      <c r="A152" s="93"/>
      <c r="B152" s="93"/>
      <c r="C152" s="93"/>
      <c r="D152" s="93"/>
      <c r="E152" s="110"/>
      <c r="F152" s="110"/>
      <c r="G152" s="93"/>
      <c r="H152" s="93"/>
      <c r="I152" s="93"/>
      <c r="J152" s="93"/>
      <c r="K152" s="93"/>
      <c r="L152" s="93"/>
      <c r="M152" s="93"/>
      <c r="N152" s="93"/>
      <c r="O152" s="93"/>
      <c r="P152" s="93"/>
      <c r="Q152" s="93"/>
      <c r="R152" s="93"/>
      <c r="S152" s="93"/>
      <c r="T152" s="93"/>
      <c r="U152" s="93"/>
      <c r="V152" s="93"/>
      <c r="W152" s="93"/>
      <c r="X152" s="93"/>
      <c r="Y152" s="93"/>
      <c r="Z152" s="93"/>
    </row>
    <row r="153" ht="14.25" customHeight="1">
      <c r="A153" s="93"/>
      <c r="B153" s="93"/>
      <c r="C153" s="93"/>
      <c r="D153" s="93"/>
      <c r="E153" s="110"/>
      <c r="F153" s="110"/>
      <c r="G153" s="93"/>
      <c r="H153" s="93"/>
      <c r="I153" s="93"/>
      <c r="J153" s="93"/>
      <c r="K153" s="93"/>
      <c r="L153" s="93"/>
      <c r="M153" s="93"/>
      <c r="N153" s="93"/>
      <c r="O153" s="93"/>
      <c r="P153" s="93"/>
      <c r="Q153" s="93"/>
      <c r="R153" s="93"/>
      <c r="S153" s="93"/>
      <c r="T153" s="93"/>
      <c r="U153" s="93"/>
      <c r="V153" s="93"/>
      <c r="W153" s="93"/>
      <c r="X153" s="93"/>
      <c r="Y153" s="93"/>
      <c r="Z153" s="93"/>
    </row>
    <row r="154" ht="14.25" customHeight="1">
      <c r="A154" s="93"/>
      <c r="B154" s="93"/>
      <c r="C154" s="93"/>
      <c r="D154" s="93"/>
      <c r="E154" s="110"/>
      <c r="F154" s="110"/>
      <c r="G154" s="93"/>
      <c r="H154" s="93"/>
      <c r="I154" s="93"/>
      <c r="J154" s="93"/>
      <c r="K154" s="93"/>
      <c r="L154" s="93"/>
      <c r="M154" s="93"/>
      <c r="N154" s="93"/>
      <c r="O154" s="93"/>
      <c r="P154" s="93"/>
      <c r="Q154" s="93"/>
      <c r="R154" s="93"/>
      <c r="S154" s="93"/>
      <c r="T154" s="93"/>
      <c r="U154" s="93"/>
      <c r="V154" s="93"/>
      <c r="W154" s="93"/>
      <c r="X154" s="93"/>
      <c r="Y154" s="93"/>
      <c r="Z154" s="93"/>
    </row>
    <row r="155" ht="14.25" customHeight="1">
      <c r="A155" s="93"/>
      <c r="B155" s="93"/>
      <c r="C155" s="93"/>
      <c r="D155" s="93"/>
      <c r="E155" s="110"/>
      <c r="F155" s="110"/>
      <c r="G155" s="93"/>
      <c r="H155" s="93"/>
      <c r="I155" s="93"/>
      <c r="J155" s="93"/>
      <c r="K155" s="93"/>
      <c r="L155" s="93"/>
      <c r="M155" s="93"/>
      <c r="N155" s="93"/>
      <c r="O155" s="93"/>
      <c r="P155" s="93"/>
      <c r="Q155" s="93"/>
      <c r="R155" s="93"/>
      <c r="S155" s="93"/>
      <c r="T155" s="93"/>
      <c r="U155" s="93"/>
      <c r="V155" s="93"/>
      <c r="W155" s="93"/>
      <c r="X155" s="93"/>
      <c r="Y155" s="93"/>
      <c r="Z155" s="93"/>
    </row>
    <row r="156" ht="14.25" customHeight="1">
      <c r="A156" s="93"/>
      <c r="B156" s="93"/>
      <c r="C156" s="93"/>
      <c r="D156" s="93"/>
      <c r="E156" s="110"/>
      <c r="F156" s="110"/>
      <c r="G156" s="93"/>
      <c r="H156" s="93"/>
      <c r="I156" s="93"/>
      <c r="J156" s="93"/>
      <c r="K156" s="93"/>
      <c r="L156" s="93"/>
      <c r="M156" s="93"/>
      <c r="N156" s="93"/>
      <c r="O156" s="93"/>
      <c r="P156" s="93"/>
      <c r="Q156" s="93"/>
      <c r="R156" s="93"/>
      <c r="S156" s="93"/>
      <c r="T156" s="93"/>
      <c r="U156" s="93"/>
      <c r="V156" s="93"/>
      <c r="W156" s="93"/>
      <c r="X156" s="93"/>
      <c r="Y156" s="93"/>
      <c r="Z156" s="93"/>
    </row>
    <row r="157" ht="14.25" customHeight="1">
      <c r="A157" s="93"/>
      <c r="B157" s="93"/>
      <c r="C157" s="93"/>
      <c r="D157" s="93"/>
      <c r="E157" s="110"/>
      <c r="F157" s="110"/>
      <c r="G157" s="93"/>
      <c r="H157" s="93"/>
      <c r="I157" s="93"/>
      <c r="J157" s="93"/>
      <c r="K157" s="93"/>
      <c r="L157" s="93"/>
      <c r="M157" s="93"/>
      <c r="N157" s="93"/>
      <c r="O157" s="93"/>
      <c r="P157" s="93"/>
      <c r="Q157" s="93"/>
      <c r="R157" s="93"/>
      <c r="S157" s="93"/>
      <c r="T157" s="93"/>
      <c r="U157" s="93"/>
      <c r="V157" s="93"/>
      <c r="W157" s="93"/>
      <c r="X157" s="93"/>
      <c r="Y157" s="93"/>
      <c r="Z157" s="93"/>
    </row>
    <row r="158" ht="14.25" customHeight="1">
      <c r="A158" s="93"/>
      <c r="B158" s="93"/>
      <c r="C158" s="93"/>
      <c r="D158" s="93"/>
      <c r="E158" s="110"/>
      <c r="F158" s="110"/>
      <c r="G158" s="93"/>
      <c r="H158" s="93"/>
      <c r="I158" s="93"/>
      <c r="J158" s="93"/>
      <c r="K158" s="93"/>
      <c r="L158" s="93"/>
      <c r="M158" s="93"/>
      <c r="N158" s="93"/>
      <c r="O158" s="93"/>
      <c r="P158" s="93"/>
      <c r="Q158" s="93"/>
      <c r="R158" s="93"/>
      <c r="S158" s="93"/>
      <c r="T158" s="93"/>
      <c r="U158" s="93"/>
      <c r="V158" s="93"/>
      <c r="W158" s="93"/>
      <c r="X158" s="93"/>
      <c r="Y158" s="93"/>
      <c r="Z158" s="93"/>
    </row>
    <row r="159" ht="14.25" customHeight="1">
      <c r="A159" s="93"/>
      <c r="B159" s="93"/>
      <c r="C159" s="93"/>
      <c r="D159" s="93"/>
      <c r="E159" s="110"/>
      <c r="F159" s="110"/>
      <c r="G159" s="93"/>
      <c r="H159" s="93"/>
      <c r="I159" s="93"/>
      <c r="J159" s="93"/>
      <c r="K159" s="93"/>
      <c r="L159" s="93"/>
      <c r="M159" s="93"/>
      <c r="N159" s="93"/>
      <c r="O159" s="93"/>
      <c r="P159" s="93"/>
      <c r="Q159" s="93"/>
      <c r="R159" s="93"/>
      <c r="S159" s="93"/>
      <c r="T159" s="93"/>
      <c r="U159" s="93"/>
      <c r="V159" s="93"/>
      <c r="W159" s="93"/>
      <c r="X159" s="93"/>
      <c r="Y159" s="93"/>
      <c r="Z159" s="93"/>
    </row>
    <row r="160" ht="14.25" customHeight="1">
      <c r="A160" s="93"/>
      <c r="B160" s="93"/>
      <c r="C160" s="93"/>
      <c r="D160" s="93"/>
      <c r="E160" s="110"/>
      <c r="F160" s="110"/>
      <c r="G160" s="93"/>
      <c r="H160" s="93"/>
      <c r="I160" s="93"/>
      <c r="J160" s="93"/>
      <c r="K160" s="93"/>
      <c r="L160" s="93"/>
      <c r="M160" s="93"/>
      <c r="N160" s="93"/>
      <c r="O160" s="93"/>
      <c r="P160" s="93"/>
      <c r="Q160" s="93"/>
      <c r="R160" s="93"/>
      <c r="S160" s="93"/>
      <c r="T160" s="93"/>
      <c r="U160" s="93"/>
      <c r="V160" s="93"/>
      <c r="W160" s="93"/>
      <c r="X160" s="93"/>
      <c r="Y160" s="93"/>
      <c r="Z160" s="93"/>
    </row>
    <row r="161" ht="14.25" customHeight="1">
      <c r="A161" s="93"/>
      <c r="B161" s="93"/>
      <c r="C161" s="93"/>
      <c r="D161" s="93"/>
      <c r="E161" s="110"/>
      <c r="F161" s="110"/>
      <c r="G161" s="93"/>
      <c r="H161" s="93"/>
      <c r="I161" s="93"/>
      <c r="J161" s="93"/>
      <c r="K161" s="93"/>
      <c r="L161" s="93"/>
      <c r="M161" s="93"/>
      <c r="N161" s="93"/>
      <c r="O161" s="93"/>
      <c r="P161" s="93"/>
      <c r="Q161" s="93"/>
      <c r="R161" s="93"/>
      <c r="S161" s="93"/>
      <c r="T161" s="93"/>
      <c r="U161" s="93"/>
      <c r="V161" s="93"/>
      <c r="W161" s="93"/>
      <c r="X161" s="93"/>
      <c r="Y161" s="93"/>
      <c r="Z161" s="93"/>
    </row>
    <row r="162" ht="14.25" customHeight="1">
      <c r="A162" s="93"/>
      <c r="B162" s="93"/>
      <c r="C162" s="93"/>
      <c r="D162" s="93"/>
      <c r="E162" s="110"/>
      <c r="F162" s="110"/>
      <c r="G162" s="93"/>
      <c r="H162" s="93"/>
      <c r="I162" s="93"/>
      <c r="J162" s="93"/>
      <c r="K162" s="93"/>
      <c r="L162" s="93"/>
      <c r="M162" s="93"/>
      <c r="N162" s="93"/>
      <c r="O162" s="93"/>
      <c r="P162" s="93"/>
      <c r="Q162" s="93"/>
      <c r="R162" s="93"/>
      <c r="S162" s="93"/>
      <c r="T162" s="93"/>
      <c r="U162" s="93"/>
      <c r="V162" s="93"/>
      <c r="W162" s="93"/>
      <c r="X162" s="93"/>
      <c r="Y162" s="93"/>
      <c r="Z162" s="93"/>
    </row>
    <row r="163" ht="14.25" customHeight="1">
      <c r="A163" s="93"/>
      <c r="B163" s="93"/>
      <c r="C163" s="93"/>
      <c r="D163" s="93"/>
      <c r="E163" s="110"/>
      <c r="F163" s="110"/>
      <c r="G163" s="93"/>
      <c r="H163" s="93"/>
      <c r="I163" s="93"/>
      <c r="J163" s="93"/>
      <c r="K163" s="93"/>
      <c r="L163" s="93"/>
      <c r="M163" s="93"/>
      <c r="N163" s="93"/>
      <c r="O163" s="93"/>
      <c r="P163" s="93"/>
      <c r="Q163" s="93"/>
      <c r="R163" s="93"/>
      <c r="S163" s="93"/>
      <c r="T163" s="93"/>
      <c r="U163" s="93"/>
      <c r="V163" s="93"/>
      <c r="W163" s="93"/>
      <c r="X163" s="93"/>
      <c r="Y163" s="93"/>
      <c r="Z163" s="93"/>
    </row>
    <row r="164" ht="14.25" customHeight="1">
      <c r="A164" s="93"/>
      <c r="B164" s="93"/>
      <c r="C164" s="93"/>
      <c r="D164" s="93"/>
      <c r="E164" s="110"/>
      <c r="F164" s="110"/>
      <c r="G164" s="93"/>
      <c r="H164" s="93"/>
      <c r="I164" s="93"/>
      <c r="J164" s="93"/>
      <c r="K164" s="93"/>
      <c r="L164" s="93"/>
      <c r="M164" s="93"/>
      <c r="N164" s="93"/>
      <c r="O164" s="93"/>
      <c r="P164" s="93"/>
      <c r="Q164" s="93"/>
      <c r="R164" s="93"/>
      <c r="S164" s="93"/>
      <c r="T164" s="93"/>
      <c r="U164" s="93"/>
      <c r="V164" s="93"/>
      <c r="W164" s="93"/>
      <c r="X164" s="93"/>
      <c r="Y164" s="93"/>
      <c r="Z164" s="93"/>
    </row>
    <row r="165" ht="14.25" customHeight="1">
      <c r="A165" s="93"/>
      <c r="B165" s="93"/>
      <c r="C165" s="93"/>
      <c r="D165" s="93"/>
      <c r="E165" s="110"/>
      <c r="F165" s="110"/>
      <c r="G165" s="93"/>
      <c r="H165" s="93"/>
      <c r="I165" s="93"/>
      <c r="J165" s="93"/>
      <c r="K165" s="93"/>
      <c r="L165" s="93"/>
      <c r="M165" s="93"/>
      <c r="N165" s="93"/>
      <c r="O165" s="93"/>
      <c r="P165" s="93"/>
      <c r="Q165" s="93"/>
      <c r="R165" s="93"/>
      <c r="S165" s="93"/>
      <c r="T165" s="93"/>
      <c r="U165" s="93"/>
      <c r="V165" s="93"/>
      <c r="W165" s="93"/>
      <c r="X165" s="93"/>
      <c r="Y165" s="93"/>
      <c r="Z165" s="93"/>
    </row>
    <row r="166" ht="14.25" customHeight="1">
      <c r="A166" s="93"/>
      <c r="B166" s="93"/>
      <c r="C166" s="93"/>
      <c r="D166" s="93"/>
      <c r="E166" s="110"/>
      <c r="F166" s="110"/>
      <c r="G166" s="93"/>
      <c r="H166" s="93"/>
      <c r="I166" s="93"/>
      <c r="J166" s="93"/>
      <c r="K166" s="93"/>
      <c r="L166" s="93"/>
      <c r="M166" s="93"/>
      <c r="N166" s="93"/>
      <c r="O166" s="93"/>
      <c r="P166" s="93"/>
      <c r="Q166" s="93"/>
      <c r="R166" s="93"/>
      <c r="S166" s="93"/>
      <c r="T166" s="93"/>
      <c r="U166" s="93"/>
      <c r="V166" s="93"/>
      <c r="W166" s="93"/>
      <c r="X166" s="93"/>
      <c r="Y166" s="93"/>
      <c r="Z166" s="93"/>
    </row>
    <row r="167" ht="14.25" customHeight="1">
      <c r="A167" s="93"/>
      <c r="B167" s="93"/>
      <c r="C167" s="93"/>
      <c r="D167" s="93"/>
      <c r="E167" s="110"/>
      <c r="F167" s="110"/>
      <c r="G167" s="93"/>
      <c r="H167" s="93"/>
      <c r="I167" s="93"/>
      <c r="J167" s="93"/>
      <c r="K167" s="93"/>
      <c r="L167" s="93"/>
      <c r="M167" s="93"/>
      <c r="N167" s="93"/>
      <c r="O167" s="93"/>
      <c r="P167" s="93"/>
      <c r="Q167" s="93"/>
      <c r="R167" s="93"/>
      <c r="S167" s="93"/>
      <c r="T167" s="93"/>
      <c r="U167" s="93"/>
      <c r="V167" s="93"/>
      <c r="W167" s="93"/>
      <c r="X167" s="93"/>
      <c r="Y167" s="93"/>
      <c r="Z167" s="93"/>
    </row>
    <row r="168" ht="14.25" customHeight="1">
      <c r="A168" s="93"/>
      <c r="B168" s="93"/>
      <c r="C168" s="93"/>
      <c r="D168" s="93"/>
      <c r="E168" s="110"/>
      <c r="F168" s="110"/>
      <c r="G168" s="93"/>
      <c r="H168" s="93"/>
      <c r="I168" s="93"/>
      <c r="J168" s="93"/>
      <c r="K168" s="93"/>
      <c r="L168" s="93"/>
      <c r="M168" s="93"/>
      <c r="N168" s="93"/>
      <c r="O168" s="93"/>
      <c r="P168" s="93"/>
      <c r="Q168" s="93"/>
      <c r="R168" s="93"/>
      <c r="S168" s="93"/>
      <c r="T168" s="93"/>
      <c r="U168" s="93"/>
      <c r="V168" s="93"/>
      <c r="W168" s="93"/>
      <c r="X168" s="93"/>
      <c r="Y168" s="93"/>
      <c r="Z168" s="93"/>
    </row>
    <row r="169" ht="14.25" customHeight="1">
      <c r="A169" s="93"/>
      <c r="B169" s="93"/>
      <c r="C169" s="93"/>
      <c r="D169" s="93"/>
      <c r="E169" s="110"/>
      <c r="F169" s="110"/>
      <c r="G169" s="93"/>
      <c r="H169" s="93"/>
      <c r="I169" s="93"/>
      <c r="J169" s="93"/>
      <c r="K169" s="93"/>
      <c r="L169" s="93"/>
      <c r="M169" s="93"/>
      <c r="N169" s="93"/>
      <c r="O169" s="93"/>
      <c r="P169" s="93"/>
      <c r="Q169" s="93"/>
      <c r="R169" s="93"/>
      <c r="S169" s="93"/>
      <c r="T169" s="93"/>
      <c r="U169" s="93"/>
      <c r="V169" s="93"/>
      <c r="W169" s="93"/>
      <c r="X169" s="93"/>
      <c r="Y169" s="93"/>
      <c r="Z169" s="93"/>
    </row>
    <row r="170" ht="14.25" customHeight="1">
      <c r="A170" s="93"/>
      <c r="B170" s="93"/>
      <c r="C170" s="93"/>
      <c r="D170" s="93"/>
      <c r="E170" s="110"/>
      <c r="F170" s="110"/>
      <c r="G170" s="93"/>
      <c r="H170" s="93"/>
      <c r="I170" s="93"/>
      <c r="J170" s="93"/>
      <c r="K170" s="93"/>
      <c r="L170" s="93"/>
      <c r="M170" s="93"/>
      <c r="N170" s="93"/>
      <c r="O170" s="93"/>
      <c r="P170" s="93"/>
      <c r="Q170" s="93"/>
      <c r="R170" s="93"/>
      <c r="S170" s="93"/>
      <c r="T170" s="93"/>
      <c r="U170" s="93"/>
      <c r="V170" s="93"/>
      <c r="W170" s="93"/>
      <c r="X170" s="93"/>
      <c r="Y170" s="93"/>
      <c r="Z170" s="93"/>
    </row>
    <row r="171" ht="14.25" customHeight="1">
      <c r="A171" s="93"/>
      <c r="B171" s="93"/>
      <c r="C171" s="93"/>
      <c r="D171" s="93"/>
      <c r="E171" s="110"/>
      <c r="F171" s="110"/>
      <c r="G171" s="93"/>
      <c r="H171" s="93"/>
      <c r="I171" s="93"/>
      <c r="J171" s="93"/>
      <c r="K171" s="93"/>
      <c r="L171" s="93"/>
      <c r="M171" s="93"/>
      <c r="N171" s="93"/>
      <c r="O171" s="93"/>
      <c r="P171" s="93"/>
      <c r="Q171" s="93"/>
      <c r="R171" s="93"/>
      <c r="S171" s="93"/>
      <c r="T171" s="93"/>
      <c r="U171" s="93"/>
      <c r="V171" s="93"/>
      <c r="W171" s="93"/>
      <c r="X171" s="93"/>
      <c r="Y171" s="93"/>
      <c r="Z171" s="93"/>
    </row>
    <row r="172" ht="14.25" customHeight="1">
      <c r="A172" s="93"/>
      <c r="B172" s="93"/>
      <c r="C172" s="93"/>
      <c r="D172" s="93"/>
      <c r="E172" s="110"/>
      <c r="F172" s="110"/>
      <c r="G172" s="93"/>
      <c r="H172" s="93"/>
      <c r="I172" s="93"/>
      <c r="J172" s="93"/>
      <c r="K172" s="93"/>
      <c r="L172" s="93"/>
      <c r="M172" s="93"/>
      <c r="N172" s="93"/>
      <c r="O172" s="93"/>
      <c r="P172" s="93"/>
      <c r="Q172" s="93"/>
      <c r="R172" s="93"/>
      <c r="S172" s="93"/>
      <c r="T172" s="93"/>
      <c r="U172" s="93"/>
      <c r="V172" s="93"/>
      <c r="W172" s="93"/>
      <c r="X172" s="93"/>
      <c r="Y172" s="93"/>
      <c r="Z172" s="93"/>
    </row>
    <row r="173" ht="14.25" customHeight="1">
      <c r="A173" s="93"/>
      <c r="B173" s="93"/>
      <c r="C173" s="93"/>
      <c r="D173" s="93"/>
      <c r="E173" s="110"/>
      <c r="F173" s="110"/>
      <c r="G173" s="93"/>
      <c r="H173" s="93"/>
      <c r="I173" s="93"/>
      <c r="J173" s="93"/>
      <c r="K173" s="93"/>
      <c r="L173" s="93"/>
      <c r="M173" s="93"/>
      <c r="N173" s="93"/>
      <c r="O173" s="93"/>
      <c r="P173" s="93"/>
      <c r="Q173" s="93"/>
      <c r="R173" s="93"/>
      <c r="S173" s="93"/>
      <c r="T173" s="93"/>
      <c r="U173" s="93"/>
      <c r="V173" s="93"/>
      <c r="W173" s="93"/>
      <c r="X173" s="93"/>
      <c r="Y173" s="93"/>
      <c r="Z173" s="93"/>
    </row>
    <row r="174" ht="14.25" customHeight="1">
      <c r="A174" s="93"/>
      <c r="B174" s="93"/>
      <c r="C174" s="93"/>
      <c r="D174" s="93"/>
      <c r="E174" s="110"/>
      <c r="F174" s="110"/>
      <c r="G174" s="93"/>
      <c r="H174" s="93"/>
      <c r="I174" s="93"/>
      <c r="J174" s="93"/>
      <c r="K174" s="93"/>
      <c r="L174" s="93"/>
      <c r="M174" s="93"/>
      <c r="N174" s="93"/>
      <c r="O174" s="93"/>
      <c r="P174" s="93"/>
      <c r="Q174" s="93"/>
      <c r="R174" s="93"/>
      <c r="S174" s="93"/>
      <c r="T174" s="93"/>
      <c r="U174" s="93"/>
      <c r="V174" s="93"/>
      <c r="W174" s="93"/>
      <c r="X174" s="93"/>
      <c r="Y174" s="93"/>
      <c r="Z174" s="93"/>
    </row>
    <row r="175" ht="14.25" customHeight="1">
      <c r="A175" s="93"/>
      <c r="B175" s="93"/>
      <c r="C175" s="93"/>
      <c r="D175" s="93"/>
      <c r="E175" s="110"/>
      <c r="F175" s="110"/>
      <c r="G175" s="93"/>
      <c r="H175" s="93"/>
      <c r="I175" s="93"/>
      <c r="J175" s="93"/>
      <c r="K175" s="93"/>
      <c r="L175" s="93"/>
      <c r="M175" s="93"/>
      <c r="N175" s="93"/>
      <c r="O175" s="93"/>
      <c r="P175" s="93"/>
      <c r="Q175" s="93"/>
      <c r="R175" s="93"/>
      <c r="S175" s="93"/>
      <c r="T175" s="93"/>
      <c r="U175" s="93"/>
      <c r="V175" s="93"/>
      <c r="W175" s="93"/>
      <c r="X175" s="93"/>
      <c r="Y175" s="93"/>
      <c r="Z175" s="93"/>
    </row>
    <row r="176" ht="14.25" customHeight="1">
      <c r="A176" s="93"/>
      <c r="B176" s="93"/>
      <c r="C176" s="93"/>
      <c r="D176" s="93"/>
      <c r="E176" s="110"/>
      <c r="F176" s="110"/>
      <c r="G176" s="93"/>
      <c r="H176" s="93"/>
      <c r="I176" s="93"/>
      <c r="J176" s="93"/>
      <c r="K176" s="93"/>
      <c r="L176" s="93"/>
      <c r="M176" s="93"/>
      <c r="N176" s="93"/>
      <c r="O176" s="93"/>
      <c r="P176" s="93"/>
      <c r="Q176" s="93"/>
      <c r="R176" s="93"/>
      <c r="S176" s="93"/>
      <c r="T176" s="93"/>
      <c r="U176" s="93"/>
      <c r="V176" s="93"/>
      <c r="W176" s="93"/>
      <c r="X176" s="93"/>
      <c r="Y176" s="93"/>
      <c r="Z176" s="93"/>
    </row>
    <row r="177" ht="14.25" customHeight="1">
      <c r="A177" s="93"/>
      <c r="B177" s="93"/>
      <c r="C177" s="93"/>
      <c r="D177" s="93"/>
      <c r="E177" s="110"/>
      <c r="F177" s="110"/>
      <c r="G177" s="93"/>
      <c r="H177" s="93"/>
      <c r="I177" s="93"/>
      <c r="J177" s="93"/>
      <c r="K177" s="93"/>
      <c r="L177" s="93"/>
      <c r="M177" s="93"/>
      <c r="N177" s="93"/>
      <c r="O177" s="93"/>
      <c r="P177" s="93"/>
      <c r="Q177" s="93"/>
      <c r="R177" s="93"/>
      <c r="S177" s="93"/>
      <c r="T177" s="93"/>
      <c r="U177" s="93"/>
      <c r="V177" s="93"/>
      <c r="W177" s="93"/>
      <c r="X177" s="93"/>
      <c r="Y177" s="93"/>
      <c r="Z177" s="93"/>
    </row>
    <row r="178" ht="14.25" customHeight="1">
      <c r="A178" s="93"/>
      <c r="B178" s="93"/>
      <c r="C178" s="93"/>
      <c r="D178" s="93"/>
      <c r="E178" s="110"/>
      <c r="F178" s="110"/>
      <c r="G178" s="93"/>
      <c r="H178" s="93"/>
      <c r="I178" s="93"/>
      <c r="J178" s="93"/>
      <c r="K178" s="93"/>
      <c r="L178" s="93"/>
      <c r="M178" s="93"/>
      <c r="N178" s="93"/>
      <c r="O178" s="93"/>
      <c r="P178" s="93"/>
      <c r="Q178" s="93"/>
      <c r="R178" s="93"/>
      <c r="S178" s="93"/>
      <c r="T178" s="93"/>
      <c r="U178" s="93"/>
      <c r="V178" s="93"/>
      <c r="W178" s="93"/>
      <c r="X178" s="93"/>
      <c r="Y178" s="93"/>
      <c r="Z178" s="93"/>
    </row>
    <row r="179" ht="14.25" customHeight="1">
      <c r="A179" s="93"/>
      <c r="B179" s="93"/>
      <c r="C179" s="93"/>
      <c r="D179" s="93"/>
      <c r="E179" s="110"/>
      <c r="F179" s="110"/>
      <c r="G179" s="93"/>
      <c r="H179" s="93"/>
      <c r="I179" s="93"/>
      <c r="J179" s="93"/>
      <c r="K179" s="93"/>
      <c r="L179" s="93"/>
      <c r="M179" s="93"/>
      <c r="N179" s="93"/>
      <c r="O179" s="93"/>
      <c r="P179" s="93"/>
      <c r="Q179" s="93"/>
      <c r="R179" s="93"/>
      <c r="S179" s="93"/>
      <c r="T179" s="93"/>
      <c r="U179" s="93"/>
      <c r="V179" s="93"/>
      <c r="W179" s="93"/>
      <c r="X179" s="93"/>
      <c r="Y179" s="93"/>
      <c r="Z179" s="93"/>
    </row>
    <row r="180" ht="14.25" customHeight="1">
      <c r="A180" s="93"/>
      <c r="B180" s="93"/>
      <c r="C180" s="93"/>
      <c r="D180" s="93"/>
      <c r="E180" s="110"/>
      <c r="F180" s="110"/>
      <c r="G180" s="93"/>
      <c r="H180" s="93"/>
      <c r="I180" s="93"/>
      <c r="J180" s="93"/>
      <c r="K180" s="93"/>
      <c r="L180" s="93"/>
      <c r="M180" s="93"/>
      <c r="N180" s="93"/>
      <c r="O180" s="93"/>
      <c r="P180" s="93"/>
      <c r="Q180" s="93"/>
      <c r="R180" s="93"/>
      <c r="S180" s="93"/>
      <c r="T180" s="93"/>
      <c r="U180" s="93"/>
      <c r="V180" s="93"/>
      <c r="W180" s="93"/>
      <c r="X180" s="93"/>
      <c r="Y180" s="93"/>
      <c r="Z180" s="93"/>
    </row>
    <row r="181" ht="14.25" customHeight="1">
      <c r="A181" s="93"/>
      <c r="B181" s="93"/>
      <c r="C181" s="93"/>
      <c r="D181" s="93"/>
      <c r="E181" s="110"/>
      <c r="F181" s="110"/>
      <c r="G181" s="93"/>
      <c r="H181" s="93"/>
      <c r="I181" s="93"/>
      <c r="J181" s="93"/>
      <c r="K181" s="93"/>
      <c r="L181" s="93"/>
      <c r="M181" s="93"/>
      <c r="N181" s="93"/>
      <c r="O181" s="93"/>
      <c r="P181" s="93"/>
      <c r="Q181" s="93"/>
      <c r="R181" s="93"/>
      <c r="S181" s="93"/>
      <c r="T181" s="93"/>
      <c r="U181" s="93"/>
      <c r="V181" s="93"/>
      <c r="W181" s="93"/>
      <c r="X181" s="93"/>
      <c r="Y181" s="93"/>
      <c r="Z181" s="93"/>
    </row>
    <row r="182" ht="14.25" customHeight="1">
      <c r="A182" s="93"/>
      <c r="B182" s="93"/>
      <c r="C182" s="93"/>
      <c r="D182" s="93"/>
      <c r="E182" s="110"/>
      <c r="F182" s="110"/>
      <c r="G182" s="93"/>
      <c r="H182" s="93"/>
      <c r="I182" s="93"/>
      <c r="J182" s="93"/>
      <c r="K182" s="93"/>
      <c r="L182" s="93"/>
      <c r="M182" s="93"/>
      <c r="N182" s="93"/>
      <c r="O182" s="93"/>
      <c r="P182" s="93"/>
      <c r="Q182" s="93"/>
      <c r="R182" s="93"/>
      <c r="S182" s="93"/>
      <c r="T182" s="93"/>
      <c r="U182" s="93"/>
      <c r="V182" s="93"/>
      <c r="W182" s="93"/>
      <c r="X182" s="93"/>
      <c r="Y182" s="93"/>
      <c r="Z182" s="93"/>
    </row>
    <row r="183" ht="14.25" customHeight="1">
      <c r="A183" s="93"/>
      <c r="B183" s="93"/>
      <c r="C183" s="93"/>
      <c r="D183" s="93"/>
      <c r="E183" s="110"/>
      <c r="F183" s="110"/>
      <c r="G183" s="93"/>
      <c r="H183" s="93"/>
      <c r="I183" s="93"/>
      <c r="J183" s="93"/>
      <c r="K183" s="93"/>
      <c r="L183" s="93"/>
      <c r="M183" s="93"/>
      <c r="N183" s="93"/>
      <c r="O183" s="93"/>
      <c r="P183" s="93"/>
      <c r="Q183" s="93"/>
      <c r="R183" s="93"/>
      <c r="S183" s="93"/>
      <c r="T183" s="93"/>
      <c r="U183" s="93"/>
      <c r="V183" s="93"/>
      <c r="W183" s="93"/>
      <c r="X183" s="93"/>
      <c r="Y183" s="93"/>
      <c r="Z183" s="93"/>
    </row>
    <row r="184" ht="14.25" customHeight="1">
      <c r="A184" s="93"/>
      <c r="B184" s="93"/>
      <c r="C184" s="93"/>
      <c r="D184" s="93"/>
      <c r="E184" s="110"/>
      <c r="F184" s="110"/>
      <c r="G184" s="93"/>
      <c r="H184" s="93"/>
      <c r="I184" s="93"/>
      <c r="J184" s="93"/>
      <c r="K184" s="93"/>
      <c r="L184" s="93"/>
      <c r="M184" s="93"/>
      <c r="N184" s="93"/>
      <c r="O184" s="93"/>
      <c r="P184" s="93"/>
      <c r="Q184" s="93"/>
      <c r="R184" s="93"/>
      <c r="S184" s="93"/>
      <c r="T184" s="93"/>
      <c r="U184" s="93"/>
      <c r="V184" s="93"/>
      <c r="W184" s="93"/>
      <c r="X184" s="93"/>
      <c r="Y184" s="93"/>
      <c r="Z184" s="93"/>
    </row>
    <row r="185" ht="14.25" customHeight="1">
      <c r="A185" s="93"/>
      <c r="B185" s="93"/>
      <c r="C185" s="93"/>
      <c r="D185" s="93"/>
      <c r="E185" s="110"/>
      <c r="F185" s="110"/>
      <c r="G185" s="93"/>
      <c r="H185" s="93"/>
      <c r="I185" s="93"/>
      <c r="J185" s="93"/>
      <c r="K185" s="93"/>
      <c r="L185" s="93"/>
      <c r="M185" s="93"/>
      <c r="N185" s="93"/>
      <c r="O185" s="93"/>
      <c r="P185" s="93"/>
      <c r="Q185" s="93"/>
      <c r="R185" s="93"/>
      <c r="S185" s="93"/>
      <c r="T185" s="93"/>
      <c r="U185" s="93"/>
      <c r="V185" s="93"/>
      <c r="W185" s="93"/>
      <c r="X185" s="93"/>
      <c r="Y185" s="93"/>
      <c r="Z185" s="93"/>
    </row>
    <row r="186" ht="14.25" customHeight="1">
      <c r="A186" s="93"/>
      <c r="B186" s="93"/>
      <c r="C186" s="93"/>
      <c r="D186" s="93"/>
      <c r="E186" s="110"/>
      <c r="F186" s="110"/>
      <c r="G186" s="93"/>
      <c r="H186" s="93"/>
      <c r="I186" s="93"/>
      <c r="J186" s="93"/>
      <c r="K186" s="93"/>
      <c r="L186" s="93"/>
      <c r="M186" s="93"/>
      <c r="N186" s="93"/>
      <c r="O186" s="93"/>
      <c r="P186" s="93"/>
      <c r="Q186" s="93"/>
      <c r="R186" s="93"/>
      <c r="S186" s="93"/>
      <c r="T186" s="93"/>
      <c r="U186" s="93"/>
      <c r="V186" s="93"/>
      <c r="W186" s="93"/>
      <c r="X186" s="93"/>
      <c r="Y186" s="93"/>
      <c r="Z186" s="93"/>
    </row>
    <row r="187" ht="14.25" customHeight="1">
      <c r="A187" s="93"/>
      <c r="B187" s="93"/>
      <c r="C187" s="93"/>
      <c r="D187" s="93"/>
      <c r="E187" s="110"/>
      <c r="F187" s="110"/>
      <c r="G187" s="93"/>
      <c r="H187" s="93"/>
      <c r="I187" s="93"/>
      <c r="J187" s="93"/>
      <c r="K187" s="93"/>
      <c r="L187" s="93"/>
      <c r="M187" s="93"/>
      <c r="N187" s="93"/>
      <c r="O187" s="93"/>
      <c r="P187" s="93"/>
      <c r="Q187" s="93"/>
      <c r="R187" s="93"/>
      <c r="S187" s="93"/>
      <c r="T187" s="93"/>
      <c r="U187" s="93"/>
      <c r="V187" s="93"/>
      <c r="W187" s="93"/>
      <c r="X187" s="93"/>
      <c r="Y187" s="93"/>
      <c r="Z187" s="93"/>
    </row>
    <row r="188" ht="14.25" customHeight="1">
      <c r="A188" s="93"/>
      <c r="B188" s="93"/>
      <c r="C188" s="93"/>
      <c r="D188" s="93"/>
      <c r="E188" s="110"/>
      <c r="F188" s="110"/>
      <c r="G188" s="93"/>
      <c r="H188" s="93"/>
      <c r="I188" s="93"/>
      <c r="J188" s="93"/>
      <c r="K188" s="93"/>
      <c r="L188" s="93"/>
      <c r="M188" s="93"/>
      <c r="N188" s="93"/>
      <c r="O188" s="93"/>
      <c r="P188" s="93"/>
      <c r="Q188" s="93"/>
      <c r="R188" s="93"/>
      <c r="S188" s="93"/>
      <c r="T188" s="93"/>
      <c r="U188" s="93"/>
      <c r="V188" s="93"/>
      <c r="W188" s="93"/>
      <c r="X188" s="93"/>
      <c r="Y188" s="93"/>
      <c r="Z188" s="93"/>
    </row>
    <row r="189" ht="14.25" customHeight="1">
      <c r="A189" s="93"/>
      <c r="B189" s="93"/>
      <c r="C189" s="93"/>
      <c r="D189" s="93"/>
      <c r="E189" s="110"/>
      <c r="F189" s="110"/>
      <c r="G189" s="93"/>
      <c r="H189" s="93"/>
      <c r="I189" s="93"/>
      <c r="J189" s="93"/>
      <c r="K189" s="93"/>
      <c r="L189" s="93"/>
      <c r="M189" s="93"/>
      <c r="N189" s="93"/>
      <c r="O189" s="93"/>
      <c r="P189" s="93"/>
      <c r="Q189" s="93"/>
      <c r="R189" s="93"/>
      <c r="S189" s="93"/>
      <c r="T189" s="93"/>
      <c r="U189" s="93"/>
      <c r="V189" s="93"/>
      <c r="W189" s="93"/>
      <c r="X189" s="93"/>
      <c r="Y189" s="93"/>
      <c r="Z189" s="93"/>
    </row>
    <row r="190" ht="14.25" customHeight="1">
      <c r="A190" s="93"/>
      <c r="B190" s="93"/>
      <c r="C190" s="93"/>
      <c r="D190" s="93"/>
      <c r="E190" s="110"/>
      <c r="F190" s="110"/>
      <c r="G190" s="93"/>
      <c r="H190" s="93"/>
      <c r="I190" s="93"/>
      <c r="J190" s="93"/>
      <c r="K190" s="93"/>
      <c r="L190" s="93"/>
      <c r="M190" s="93"/>
      <c r="N190" s="93"/>
      <c r="O190" s="93"/>
      <c r="P190" s="93"/>
      <c r="Q190" s="93"/>
      <c r="R190" s="93"/>
      <c r="S190" s="93"/>
      <c r="T190" s="93"/>
      <c r="U190" s="93"/>
      <c r="V190" s="93"/>
      <c r="W190" s="93"/>
      <c r="X190" s="93"/>
      <c r="Y190" s="93"/>
      <c r="Z190" s="93"/>
    </row>
    <row r="191" ht="14.25" customHeight="1">
      <c r="A191" s="93"/>
      <c r="B191" s="93"/>
      <c r="C191" s="93"/>
      <c r="D191" s="93"/>
      <c r="E191" s="110"/>
      <c r="F191" s="110"/>
      <c r="G191" s="93"/>
      <c r="H191" s="93"/>
      <c r="I191" s="93"/>
      <c r="J191" s="93"/>
      <c r="K191" s="93"/>
      <c r="L191" s="93"/>
      <c r="M191" s="93"/>
      <c r="N191" s="93"/>
      <c r="O191" s="93"/>
      <c r="P191" s="93"/>
      <c r="Q191" s="93"/>
      <c r="R191" s="93"/>
      <c r="S191" s="93"/>
      <c r="T191" s="93"/>
      <c r="U191" s="93"/>
      <c r="V191" s="93"/>
      <c r="W191" s="93"/>
      <c r="X191" s="93"/>
      <c r="Y191" s="93"/>
      <c r="Z191" s="93"/>
    </row>
    <row r="192" ht="14.25" customHeight="1">
      <c r="A192" s="93"/>
      <c r="B192" s="93"/>
      <c r="C192" s="93"/>
      <c r="D192" s="93"/>
      <c r="E192" s="110"/>
      <c r="F192" s="110"/>
      <c r="G192" s="93"/>
      <c r="H192" s="93"/>
      <c r="I192" s="93"/>
      <c r="J192" s="93"/>
      <c r="K192" s="93"/>
      <c r="L192" s="93"/>
      <c r="M192" s="93"/>
      <c r="N192" s="93"/>
      <c r="O192" s="93"/>
      <c r="P192" s="93"/>
      <c r="Q192" s="93"/>
      <c r="R192" s="93"/>
      <c r="S192" s="93"/>
      <c r="T192" s="93"/>
      <c r="U192" s="93"/>
      <c r="V192" s="93"/>
      <c r="W192" s="93"/>
      <c r="X192" s="93"/>
      <c r="Y192" s="93"/>
      <c r="Z192" s="93"/>
    </row>
    <row r="193" ht="14.25" customHeight="1">
      <c r="A193" s="93"/>
      <c r="B193" s="93"/>
      <c r="C193" s="93"/>
      <c r="D193" s="93"/>
      <c r="E193" s="110"/>
      <c r="F193" s="110"/>
      <c r="G193" s="93"/>
      <c r="H193" s="93"/>
      <c r="I193" s="93"/>
      <c r="J193" s="93"/>
      <c r="K193" s="93"/>
      <c r="L193" s="93"/>
      <c r="M193" s="93"/>
      <c r="N193" s="93"/>
      <c r="O193" s="93"/>
      <c r="P193" s="93"/>
      <c r="Q193" s="93"/>
      <c r="R193" s="93"/>
      <c r="S193" s="93"/>
      <c r="T193" s="93"/>
      <c r="U193" s="93"/>
      <c r="V193" s="93"/>
      <c r="W193" s="93"/>
      <c r="X193" s="93"/>
      <c r="Y193" s="93"/>
      <c r="Z193" s="93"/>
    </row>
    <row r="194" ht="14.25" customHeight="1">
      <c r="A194" s="93"/>
      <c r="B194" s="93"/>
      <c r="C194" s="93"/>
      <c r="D194" s="93"/>
      <c r="E194" s="110"/>
      <c r="F194" s="110"/>
      <c r="G194" s="93"/>
      <c r="H194" s="93"/>
      <c r="I194" s="93"/>
      <c r="J194" s="93"/>
      <c r="K194" s="93"/>
      <c r="L194" s="93"/>
      <c r="M194" s="93"/>
      <c r="N194" s="93"/>
      <c r="O194" s="93"/>
      <c r="P194" s="93"/>
      <c r="Q194" s="93"/>
      <c r="R194" s="93"/>
      <c r="S194" s="93"/>
      <c r="T194" s="93"/>
      <c r="U194" s="93"/>
      <c r="V194" s="93"/>
      <c r="W194" s="93"/>
      <c r="X194" s="93"/>
      <c r="Y194" s="93"/>
      <c r="Z194" s="93"/>
    </row>
    <row r="195" ht="14.25" customHeight="1">
      <c r="A195" s="93"/>
      <c r="B195" s="93"/>
      <c r="C195" s="93"/>
      <c r="D195" s="93"/>
      <c r="E195" s="110"/>
      <c r="F195" s="110"/>
      <c r="G195" s="93"/>
      <c r="H195" s="93"/>
      <c r="I195" s="93"/>
      <c r="J195" s="93"/>
      <c r="K195" s="93"/>
      <c r="L195" s="93"/>
      <c r="M195" s="93"/>
      <c r="N195" s="93"/>
      <c r="O195" s="93"/>
      <c r="P195" s="93"/>
      <c r="Q195" s="93"/>
      <c r="R195" s="93"/>
      <c r="S195" s="93"/>
      <c r="T195" s="93"/>
      <c r="U195" s="93"/>
      <c r="V195" s="93"/>
      <c r="W195" s="93"/>
      <c r="X195" s="93"/>
      <c r="Y195" s="93"/>
      <c r="Z195" s="93"/>
    </row>
    <row r="196" ht="14.25" customHeight="1">
      <c r="A196" s="93"/>
      <c r="B196" s="93"/>
      <c r="C196" s="93"/>
      <c r="D196" s="93"/>
      <c r="E196" s="110"/>
      <c r="F196" s="110"/>
      <c r="G196" s="93"/>
      <c r="H196" s="93"/>
      <c r="I196" s="93"/>
      <c r="J196" s="93"/>
      <c r="K196" s="93"/>
      <c r="L196" s="93"/>
      <c r="M196" s="93"/>
      <c r="N196" s="93"/>
      <c r="O196" s="93"/>
      <c r="P196" s="93"/>
      <c r="Q196" s="93"/>
      <c r="R196" s="93"/>
      <c r="S196" s="93"/>
      <c r="T196" s="93"/>
      <c r="U196" s="93"/>
      <c r="V196" s="93"/>
      <c r="W196" s="93"/>
      <c r="X196" s="93"/>
      <c r="Y196" s="93"/>
      <c r="Z196" s="93"/>
    </row>
    <row r="197" ht="14.25" customHeight="1">
      <c r="A197" s="93"/>
      <c r="B197" s="93"/>
      <c r="C197" s="93"/>
      <c r="D197" s="93"/>
      <c r="E197" s="110"/>
      <c r="F197" s="110"/>
      <c r="G197" s="93"/>
      <c r="H197" s="93"/>
      <c r="I197" s="93"/>
      <c r="J197" s="93"/>
      <c r="K197" s="93"/>
      <c r="L197" s="93"/>
      <c r="M197" s="93"/>
      <c r="N197" s="93"/>
      <c r="O197" s="93"/>
      <c r="P197" s="93"/>
      <c r="Q197" s="93"/>
      <c r="R197" s="93"/>
      <c r="S197" s="93"/>
      <c r="T197" s="93"/>
      <c r="U197" s="93"/>
      <c r="V197" s="93"/>
      <c r="W197" s="93"/>
      <c r="X197" s="93"/>
      <c r="Y197" s="93"/>
      <c r="Z197" s="93"/>
    </row>
    <row r="198" ht="14.25" customHeight="1">
      <c r="A198" s="93"/>
      <c r="B198" s="93"/>
      <c r="C198" s="93"/>
      <c r="D198" s="93"/>
      <c r="E198" s="110"/>
      <c r="F198" s="110"/>
      <c r="G198" s="93"/>
      <c r="H198" s="93"/>
      <c r="I198" s="93"/>
      <c r="J198" s="93"/>
      <c r="K198" s="93"/>
      <c r="L198" s="93"/>
      <c r="M198" s="93"/>
      <c r="N198" s="93"/>
      <c r="O198" s="93"/>
      <c r="P198" s="93"/>
      <c r="Q198" s="93"/>
      <c r="R198" s="93"/>
      <c r="S198" s="93"/>
      <c r="T198" s="93"/>
      <c r="U198" s="93"/>
      <c r="V198" s="93"/>
      <c r="W198" s="93"/>
      <c r="X198" s="93"/>
      <c r="Y198" s="93"/>
      <c r="Z198" s="93"/>
    </row>
    <row r="199" ht="14.25" customHeight="1">
      <c r="A199" s="93"/>
      <c r="B199" s="93"/>
      <c r="C199" s="93"/>
      <c r="D199" s="93"/>
      <c r="E199" s="110"/>
      <c r="F199" s="110"/>
      <c r="G199" s="93"/>
      <c r="H199" s="93"/>
      <c r="I199" s="93"/>
      <c r="J199" s="93"/>
      <c r="K199" s="93"/>
      <c r="L199" s="93"/>
      <c r="M199" s="93"/>
      <c r="N199" s="93"/>
      <c r="O199" s="93"/>
      <c r="P199" s="93"/>
      <c r="Q199" s="93"/>
      <c r="R199" s="93"/>
      <c r="S199" s="93"/>
      <c r="T199" s="93"/>
      <c r="U199" s="93"/>
      <c r="V199" s="93"/>
      <c r="W199" s="93"/>
      <c r="X199" s="93"/>
      <c r="Y199" s="93"/>
      <c r="Z199" s="93"/>
    </row>
    <row r="200" ht="14.25" customHeight="1">
      <c r="A200" s="93"/>
      <c r="B200" s="93"/>
      <c r="C200" s="93"/>
      <c r="D200" s="93"/>
      <c r="E200" s="110"/>
      <c r="F200" s="110"/>
      <c r="G200" s="93"/>
      <c r="H200" s="93"/>
      <c r="I200" s="93"/>
      <c r="J200" s="93"/>
      <c r="K200" s="93"/>
      <c r="L200" s="93"/>
      <c r="M200" s="93"/>
      <c r="N200" s="93"/>
      <c r="O200" s="93"/>
      <c r="P200" s="93"/>
      <c r="Q200" s="93"/>
      <c r="R200" s="93"/>
      <c r="S200" s="93"/>
      <c r="T200" s="93"/>
      <c r="U200" s="93"/>
      <c r="V200" s="93"/>
      <c r="W200" s="93"/>
      <c r="X200" s="93"/>
      <c r="Y200" s="93"/>
      <c r="Z200" s="93"/>
    </row>
    <row r="201" ht="14.25" customHeight="1">
      <c r="A201" s="93"/>
      <c r="B201" s="93"/>
      <c r="C201" s="93"/>
      <c r="D201" s="93"/>
      <c r="E201" s="110"/>
      <c r="F201" s="110"/>
      <c r="G201" s="93"/>
      <c r="H201" s="93"/>
      <c r="I201" s="93"/>
      <c r="J201" s="93"/>
      <c r="K201" s="93"/>
      <c r="L201" s="93"/>
      <c r="M201" s="93"/>
      <c r="N201" s="93"/>
      <c r="O201" s="93"/>
      <c r="P201" s="93"/>
      <c r="Q201" s="93"/>
      <c r="R201" s="93"/>
      <c r="S201" s="93"/>
      <c r="T201" s="93"/>
      <c r="U201" s="93"/>
      <c r="V201" s="93"/>
      <c r="W201" s="93"/>
      <c r="X201" s="93"/>
      <c r="Y201" s="93"/>
      <c r="Z201" s="93"/>
    </row>
    <row r="202" ht="14.25" customHeight="1">
      <c r="A202" s="93"/>
      <c r="B202" s="93"/>
      <c r="C202" s="93"/>
      <c r="D202" s="93"/>
      <c r="E202" s="110"/>
      <c r="F202" s="110"/>
      <c r="G202" s="93"/>
      <c r="H202" s="93"/>
      <c r="I202" s="93"/>
      <c r="J202" s="93"/>
      <c r="K202" s="93"/>
      <c r="L202" s="93"/>
      <c r="M202" s="93"/>
      <c r="N202" s="93"/>
      <c r="O202" s="93"/>
      <c r="P202" s="93"/>
      <c r="Q202" s="93"/>
      <c r="R202" s="93"/>
      <c r="S202" s="93"/>
      <c r="T202" s="93"/>
      <c r="U202" s="93"/>
      <c r="V202" s="93"/>
      <c r="W202" s="93"/>
      <c r="X202" s="93"/>
      <c r="Y202" s="93"/>
      <c r="Z202" s="93"/>
    </row>
    <row r="203" ht="14.25" customHeight="1">
      <c r="A203" s="93"/>
      <c r="B203" s="93"/>
      <c r="C203" s="93"/>
      <c r="D203" s="93"/>
      <c r="E203" s="110"/>
      <c r="F203" s="110"/>
      <c r="G203" s="93"/>
      <c r="H203" s="93"/>
      <c r="I203" s="93"/>
      <c r="J203" s="93"/>
      <c r="K203" s="93"/>
      <c r="L203" s="93"/>
      <c r="M203" s="93"/>
      <c r="N203" s="93"/>
      <c r="O203" s="93"/>
      <c r="P203" s="93"/>
      <c r="Q203" s="93"/>
      <c r="R203" s="93"/>
      <c r="S203" s="93"/>
      <c r="T203" s="93"/>
      <c r="U203" s="93"/>
      <c r="V203" s="93"/>
      <c r="W203" s="93"/>
      <c r="X203" s="93"/>
      <c r="Y203" s="93"/>
      <c r="Z203" s="93"/>
    </row>
    <row r="204" ht="14.25" customHeight="1">
      <c r="A204" s="93"/>
      <c r="B204" s="93"/>
      <c r="C204" s="93"/>
      <c r="D204" s="93"/>
      <c r="E204" s="110"/>
      <c r="F204" s="110"/>
      <c r="G204" s="93"/>
      <c r="H204" s="93"/>
      <c r="I204" s="93"/>
      <c r="J204" s="93"/>
      <c r="K204" s="93"/>
      <c r="L204" s="93"/>
      <c r="M204" s="93"/>
      <c r="N204" s="93"/>
      <c r="O204" s="93"/>
      <c r="P204" s="93"/>
      <c r="Q204" s="93"/>
      <c r="R204" s="93"/>
      <c r="S204" s="93"/>
      <c r="T204" s="93"/>
      <c r="U204" s="93"/>
      <c r="V204" s="93"/>
      <c r="W204" s="93"/>
      <c r="X204" s="93"/>
      <c r="Y204" s="93"/>
      <c r="Z204" s="93"/>
    </row>
    <row r="205" ht="14.25" customHeight="1">
      <c r="A205" s="93"/>
      <c r="B205" s="93"/>
      <c r="C205" s="93"/>
      <c r="D205" s="93"/>
      <c r="E205" s="110"/>
      <c r="F205" s="110"/>
      <c r="G205" s="93"/>
      <c r="H205" s="93"/>
      <c r="I205" s="93"/>
      <c r="J205" s="93"/>
      <c r="K205" s="93"/>
      <c r="L205" s="93"/>
      <c r="M205" s="93"/>
      <c r="N205" s="93"/>
      <c r="O205" s="93"/>
      <c r="P205" s="93"/>
      <c r="Q205" s="93"/>
      <c r="R205" s="93"/>
      <c r="S205" s="93"/>
      <c r="T205" s="93"/>
      <c r="U205" s="93"/>
      <c r="V205" s="93"/>
      <c r="W205" s="93"/>
      <c r="X205" s="93"/>
      <c r="Y205" s="93"/>
      <c r="Z205" s="93"/>
    </row>
    <row r="206" ht="14.25" customHeight="1">
      <c r="A206" s="93"/>
      <c r="B206" s="93"/>
      <c r="C206" s="93"/>
      <c r="D206" s="93"/>
      <c r="E206" s="110"/>
      <c r="F206" s="110"/>
      <c r="G206" s="93"/>
      <c r="H206" s="93"/>
      <c r="I206" s="93"/>
      <c r="J206" s="93"/>
      <c r="K206" s="93"/>
      <c r="L206" s="93"/>
      <c r="M206" s="93"/>
      <c r="N206" s="93"/>
      <c r="O206" s="93"/>
      <c r="P206" s="93"/>
      <c r="Q206" s="93"/>
      <c r="R206" s="93"/>
      <c r="S206" s="93"/>
      <c r="T206" s="93"/>
      <c r="U206" s="93"/>
      <c r="V206" s="93"/>
      <c r="W206" s="93"/>
      <c r="X206" s="93"/>
      <c r="Y206" s="93"/>
      <c r="Z206" s="93"/>
    </row>
    <row r="207" ht="14.25" customHeight="1">
      <c r="A207" s="93"/>
      <c r="B207" s="93"/>
      <c r="C207" s="93"/>
      <c r="D207" s="93"/>
      <c r="E207" s="110"/>
      <c r="F207" s="110"/>
      <c r="G207" s="93"/>
      <c r="H207" s="93"/>
      <c r="I207" s="93"/>
      <c r="J207" s="93"/>
      <c r="K207" s="93"/>
      <c r="L207" s="93"/>
      <c r="M207" s="93"/>
      <c r="N207" s="93"/>
      <c r="O207" s="93"/>
      <c r="P207" s="93"/>
      <c r="Q207" s="93"/>
      <c r="R207" s="93"/>
      <c r="S207" s="93"/>
      <c r="T207" s="93"/>
      <c r="U207" s="93"/>
      <c r="V207" s="93"/>
      <c r="W207" s="93"/>
      <c r="X207" s="93"/>
      <c r="Y207" s="93"/>
      <c r="Z207" s="93"/>
    </row>
    <row r="208" ht="14.25" customHeight="1">
      <c r="A208" s="93"/>
      <c r="B208" s="93"/>
      <c r="C208" s="93"/>
      <c r="D208" s="93"/>
      <c r="E208" s="110"/>
      <c r="F208" s="110"/>
      <c r="G208" s="93"/>
      <c r="H208" s="93"/>
      <c r="I208" s="93"/>
      <c r="J208" s="93"/>
      <c r="K208" s="93"/>
      <c r="L208" s="93"/>
      <c r="M208" s="93"/>
      <c r="N208" s="93"/>
      <c r="O208" s="93"/>
      <c r="P208" s="93"/>
      <c r="Q208" s="93"/>
      <c r="R208" s="93"/>
      <c r="S208" s="93"/>
      <c r="T208" s="93"/>
      <c r="U208" s="93"/>
      <c r="V208" s="93"/>
      <c r="W208" s="93"/>
      <c r="X208" s="93"/>
      <c r="Y208" s="93"/>
      <c r="Z208" s="93"/>
    </row>
    <row r="209" ht="14.25" customHeight="1">
      <c r="A209" s="93"/>
      <c r="B209" s="93"/>
      <c r="C209" s="93"/>
      <c r="D209" s="93"/>
      <c r="E209" s="110"/>
      <c r="F209" s="110"/>
      <c r="G209" s="93"/>
      <c r="H209" s="93"/>
      <c r="I209" s="93"/>
      <c r="J209" s="93"/>
      <c r="K209" s="93"/>
      <c r="L209" s="93"/>
      <c r="M209" s="93"/>
      <c r="N209" s="93"/>
      <c r="O209" s="93"/>
      <c r="P209" s="93"/>
      <c r="Q209" s="93"/>
      <c r="R209" s="93"/>
      <c r="S209" s="93"/>
      <c r="T209" s="93"/>
      <c r="U209" s="93"/>
      <c r="V209" s="93"/>
      <c r="W209" s="93"/>
      <c r="X209" s="93"/>
      <c r="Y209" s="93"/>
      <c r="Z209" s="93"/>
    </row>
    <row r="210" ht="14.25" customHeight="1">
      <c r="A210" s="93"/>
      <c r="B210" s="93"/>
      <c r="C210" s="93"/>
      <c r="D210" s="93"/>
      <c r="E210" s="110"/>
      <c r="F210" s="110"/>
      <c r="G210" s="93"/>
      <c r="H210" s="93"/>
      <c r="I210" s="93"/>
      <c r="J210" s="93"/>
      <c r="K210" s="93"/>
      <c r="L210" s="93"/>
      <c r="M210" s="93"/>
      <c r="N210" s="93"/>
      <c r="O210" s="93"/>
      <c r="P210" s="93"/>
      <c r="Q210" s="93"/>
      <c r="R210" s="93"/>
      <c r="S210" s="93"/>
      <c r="T210" s="93"/>
      <c r="U210" s="93"/>
      <c r="V210" s="93"/>
      <c r="W210" s="93"/>
      <c r="X210" s="93"/>
      <c r="Y210" s="93"/>
      <c r="Z210" s="93"/>
    </row>
    <row r="211" ht="14.25" customHeight="1">
      <c r="A211" s="93"/>
      <c r="B211" s="93"/>
      <c r="C211" s="93"/>
      <c r="D211" s="93"/>
      <c r="E211" s="110"/>
      <c r="F211" s="110"/>
      <c r="G211" s="93"/>
      <c r="H211" s="93"/>
      <c r="I211" s="93"/>
      <c r="J211" s="93"/>
      <c r="K211" s="93"/>
      <c r="L211" s="93"/>
      <c r="M211" s="93"/>
      <c r="N211" s="93"/>
      <c r="O211" s="93"/>
      <c r="P211" s="93"/>
      <c r="Q211" s="93"/>
      <c r="R211" s="93"/>
      <c r="S211" s="93"/>
      <c r="T211" s="93"/>
      <c r="U211" s="93"/>
      <c r="V211" s="93"/>
      <c r="W211" s="93"/>
      <c r="X211" s="93"/>
      <c r="Y211" s="93"/>
      <c r="Z211" s="93"/>
    </row>
    <row r="212" ht="14.25" customHeight="1">
      <c r="A212" s="93"/>
      <c r="B212" s="93"/>
      <c r="C212" s="93"/>
      <c r="D212" s="93"/>
      <c r="E212" s="110"/>
      <c r="F212" s="110"/>
      <c r="G212" s="93"/>
      <c r="H212" s="93"/>
      <c r="I212" s="93"/>
      <c r="J212" s="93"/>
      <c r="K212" s="93"/>
      <c r="L212" s="93"/>
      <c r="M212" s="93"/>
      <c r="N212" s="93"/>
      <c r="O212" s="93"/>
      <c r="P212" s="93"/>
      <c r="Q212" s="93"/>
      <c r="R212" s="93"/>
      <c r="S212" s="93"/>
      <c r="T212" s="93"/>
      <c r="U212" s="93"/>
      <c r="V212" s="93"/>
      <c r="W212" s="93"/>
      <c r="X212" s="93"/>
      <c r="Y212" s="93"/>
      <c r="Z212" s="93"/>
    </row>
    <row r="213" ht="14.25" customHeight="1">
      <c r="A213" s="93"/>
      <c r="B213" s="93"/>
      <c r="C213" s="93"/>
      <c r="D213" s="93"/>
      <c r="E213" s="110"/>
      <c r="F213" s="110"/>
      <c r="G213" s="93"/>
      <c r="H213" s="93"/>
      <c r="I213" s="93"/>
      <c r="J213" s="93"/>
      <c r="K213" s="93"/>
      <c r="L213" s="93"/>
      <c r="M213" s="93"/>
      <c r="N213" s="93"/>
      <c r="O213" s="93"/>
      <c r="P213" s="93"/>
      <c r="Q213" s="93"/>
      <c r="R213" s="93"/>
      <c r="S213" s="93"/>
      <c r="T213" s="93"/>
      <c r="U213" s="93"/>
      <c r="V213" s="93"/>
      <c r="W213" s="93"/>
      <c r="X213" s="93"/>
      <c r="Y213" s="93"/>
      <c r="Z213" s="93"/>
    </row>
    <row r="214" ht="14.25" customHeight="1">
      <c r="A214" s="93"/>
      <c r="B214" s="93"/>
      <c r="C214" s="93"/>
      <c r="D214" s="93"/>
      <c r="E214" s="110"/>
      <c r="F214" s="110"/>
      <c r="G214" s="93"/>
      <c r="H214" s="93"/>
      <c r="I214" s="93"/>
      <c r="J214" s="93"/>
      <c r="K214" s="93"/>
      <c r="L214" s="93"/>
      <c r="M214" s="93"/>
      <c r="N214" s="93"/>
      <c r="O214" s="93"/>
      <c r="P214" s="93"/>
      <c r="Q214" s="93"/>
      <c r="R214" s="93"/>
      <c r="S214" s="93"/>
      <c r="T214" s="93"/>
      <c r="U214" s="93"/>
      <c r="V214" s="93"/>
      <c r="W214" s="93"/>
      <c r="X214" s="93"/>
      <c r="Y214" s="93"/>
      <c r="Z214" s="93"/>
    </row>
    <row r="215" ht="14.25" customHeight="1">
      <c r="A215" s="93"/>
      <c r="B215" s="93"/>
      <c r="C215" s="93"/>
      <c r="D215" s="93"/>
      <c r="E215" s="110"/>
      <c r="F215" s="110"/>
      <c r="G215" s="93"/>
      <c r="H215" s="93"/>
      <c r="I215" s="93"/>
      <c r="J215" s="93"/>
      <c r="K215" s="93"/>
      <c r="L215" s="93"/>
      <c r="M215" s="93"/>
      <c r="N215" s="93"/>
      <c r="O215" s="93"/>
      <c r="P215" s="93"/>
      <c r="Q215" s="93"/>
      <c r="R215" s="93"/>
      <c r="S215" s="93"/>
      <c r="T215" s="93"/>
      <c r="U215" s="93"/>
      <c r="V215" s="93"/>
      <c r="W215" s="93"/>
      <c r="X215" s="93"/>
      <c r="Y215" s="93"/>
      <c r="Z215" s="93"/>
    </row>
    <row r="216" ht="14.25" customHeight="1">
      <c r="A216" s="93"/>
      <c r="B216" s="93"/>
      <c r="C216" s="93"/>
      <c r="D216" s="93"/>
      <c r="E216" s="110"/>
      <c r="F216" s="110"/>
      <c r="G216" s="93"/>
      <c r="H216" s="93"/>
      <c r="I216" s="93"/>
      <c r="J216" s="93"/>
      <c r="K216" s="93"/>
      <c r="L216" s="93"/>
      <c r="M216" s="93"/>
      <c r="N216" s="93"/>
      <c r="O216" s="93"/>
      <c r="P216" s="93"/>
      <c r="Q216" s="93"/>
      <c r="R216" s="93"/>
      <c r="S216" s="93"/>
      <c r="T216" s="93"/>
      <c r="U216" s="93"/>
      <c r="V216" s="93"/>
      <c r="W216" s="93"/>
      <c r="X216" s="93"/>
      <c r="Y216" s="93"/>
      <c r="Z216" s="93"/>
    </row>
    <row r="217" ht="14.25" customHeight="1">
      <c r="A217" s="93"/>
      <c r="B217" s="93"/>
      <c r="C217" s="93"/>
      <c r="D217" s="93"/>
      <c r="E217" s="110"/>
      <c r="F217" s="110"/>
      <c r="G217" s="93"/>
      <c r="H217" s="93"/>
      <c r="I217" s="93"/>
      <c r="J217" s="93"/>
      <c r="K217" s="93"/>
      <c r="L217" s="93"/>
      <c r="M217" s="93"/>
      <c r="N217" s="93"/>
      <c r="O217" s="93"/>
      <c r="P217" s="93"/>
      <c r="Q217" s="93"/>
      <c r="R217" s="93"/>
      <c r="S217" s="93"/>
      <c r="T217" s="93"/>
      <c r="U217" s="93"/>
      <c r="V217" s="93"/>
      <c r="W217" s="93"/>
      <c r="X217" s="93"/>
      <c r="Y217" s="93"/>
      <c r="Z217" s="93"/>
    </row>
    <row r="218" ht="14.25" customHeight="1">
      <c r="A218" s="93"/>
      <c r="B218" s="93"/>
      <c r="C218" s="93"/>
      <c r="D218" s="93"/>
      <c r="E218" s="110"/>
      <c r="F218" s="110"/>
      <c r="G218" s="93"/>
      <c r="H218" s="93"/>
      <c r="I218" s="93"/>
      <c r="J218" s="93"/>
      <c r="K218" s="93"/>
      <c r="L218" s="93"/>
      <c r="M218" s="93"/>
      <c r="N218" s="93"/>
      <c r="O218" s="93"/>
      <c r="P218" s="93"/>
      <c r="Q218" s="93"/>
      <c r="R218" s="93"/>
      <c r="S218" s="93"/>
      <c r="T218" s="93"/>
      <c r="U218" s="93"/>
      <c r="V218" s="93"/>
      <c r="W218" s="93"/>
      <c r="X218" s="93"/>
      <c r="Y218" s="93"/>
      <c r="Z218" s="93"/>
    </row>
    <row r="219" ht="14.25" customHeight="1">
      <c r="A219" s="93"/>
      <c r="B219" s="93"/>
      <c r="C219" s="93"/>
      <c r="D219" s="93"/>
      <c r="E219" s="110"/>
      <c r="F219" s="110"/>
      <c r="G219" s="93"/>
      <c r="H219" s="93"/>
      <c r="I219" s="93"/>
      <c r="J219" s="93"/>
      <c r="K219" s="93"/>
      <c r="L219" s="93"/>
      <c r="M219" s="93"/>
      <c r="N219" s="93"/>
      <c r="O219" s="93"/>
      <c r="P219" s="93"/>
      <c r="Q219" s="93"/>
      <c r="R219" s="93"/>
      <c r="S219" s="93"/>
      <c r="T219" s="93"/>
      <c r="U219" s="93"/>
      <c r="V219" s="93"/>
      <c r="W219" s="93"/>
      <c r="X219" s="93"/>
      <c r="Y219" s="93"/>
      <c r="Z219" s="93"/>
    </row>
    <row r="220" ht="14.25" customHeight="1">
      <c r="A220" s="93"/>
      <c r="B220" s="93"/>
      <c r="C220" s="93"/>
      <c r="D220" s="93"/>
      <c r="E220" s="110"/>
      <c r="F220" s="110"/>
      <c r="G220" s="93"/>
      <c r="H220" s="93"/>
      <c r="I220" s="93"/>
      <c r="J220" s="93"/>
      <c r="K220" s="93"/>
      <c r="L220" s="93"/>
      <c r="M220" s="93"/>
      <c r="N220" s="93"/>
      <c r="O220" s="93"/>
      <c r="P220" s="93"/>
      <c r="Q220" s="93"/>
      <c r="R220" s="93"/>
      <c r="S220" s="93"/>
      <c r="T220" s="93"/>
      <c r="U220" s="93"/>
      <c r="V220" s="93"/>
      <c r="W220" s="93"/>
      <c r="X220" s="93"/>
      <c r="Y220" s="93"/>
      <c r="Z220" s="93"/>
    </row>
    <row r="221" ht="14.25" customHeight="1">
      <c r="A221" s="93"/>
      <c r="B221" s="93"/>
      <c r="C221" s="93"/>
      <c r="D221" s="93"/>
      <c r="E221" s="110"/>
      <c r="F221" s="110"/>
      <c r="G221" s="93"/>
      <c r="H221" s="93"/>
      <c r="I221" s="93"/>
      <c r="J221" s="93"/>
      <c r="K221" s="93"/>
      <c r="L221" s="93"/>
      <c r="M221" s="93"/>
      <c r="N221" s="93"/>
      <c r="O221" s="93"/>
      <c r="P221" s="93"/>
      <c r="Q221" s="93"/>
      <c r="R221" s="93"/>
      <c r="S221" s="93"/>
      <c r="T221" s="93"/>
      <c r="U221" s="93"/>
      <c r="V221" s="93"/>
      <c r="W221" s="93"/>
      <c r="X221" s="93"/>
      <c r="Y221" s="93"/>
      <c r="Z221" s="93"/>
    </row>
    <row r="222" ht="14.25" customHeight="1">
      <c r="A222" s="93"/>
      <c r="B222" s="93"/>
      <c r="C222" s="93"/>
      <c r="D222" s="93"/>
      <c r="E222" s="110"/>
      <c r="F222" s="110"/>
      <c r="G222" s="93"/>
      <c r="H222" s="93"/>
      <c r="I222" s="93"/>
      <c r="J222" s="93"/>
      <c r="K222" s="93"/>
      <c r="L222" s="93"/>
      <c r="M222" s="93"/>
      <c r="N222" s="93"/>
      <c r="O222" s="93"/>
      <c r="P222" s="93"/>
      <c r="Q222" s="93"/>
      <c r="R222" s="93"/>
      <c r="S222" s="93"/>
      <c r="T222" s="93"/>
      <c r="U222" s="93"/>
      <c r="V222" s="93"/>
      <c r="W222" s="93"/>
      <c r="X222" s="93"/>
      <c r="Y222" s="93"/>
      <c r="Z222" s="93"/>
    </row>
    <row r="223" ht="14.25" customHeight="1">
      <c r="A223" s="93"/>
      <c r="B223" s="93"/>
      <c r="C223" s="93"/>
      <c r="D223" s="93"/>
      <c r="E223" s="110"/>
      <c r="F223" s="110"/>
      <c r="G223" s="93"/>
      <c r="H223" s="93"/>
      <c r="I223" s="93"/>
      <c r="J223" s="93"/>
      <c r="K223" s="93"/>
      <c r="L223" s="93"/>
      <c r="M223" s="93"/>
      <c r="N223" s="93"/>
      <c r="O223" s="93"/>
      <c r="P223" s="93"/>
      <c r="Q223" s="93"/>
      <c r="R223" s="93"/>
      <c r="S223" s="93"/>
      <c r="T223" s="93"/>
      <c r="U223" s="93"/>
      <c r="V223" s="93"/>
      <c r="W223" s="93"/>
      <c r="X223" s="93"/>
      <c r="Y223" s="93"/>
      <c r="Z223" s="93"/>
    </row>
    <row r="224" ht="14.25" customHeight="1">
      <c r="A224" s="93"/>
      <c r="B224" s="93"/>
      <c r="C224" s="93"/>
      <c r="D224" s="93"/>
      <c r="E224" s="110"/>
      <c r="F224" s="110"/>
      <c r="G224" s="93"/>
      <c r="H224" s="93"/>
      <c r="I224" s="93"/>
      <c r="J224" s="93"/>
      <c r="K224" s="93"/>
      <c r="L224" s="93"/>
      <c r="M224" s="93"/>
      <c r="N224" s="93"/>
      <c r="O224" s="93"/>
      <c r="P224" s="93"/>
      <c r="Q224" s="93"/>
      <c r="R224" s="93"/>
      <c r="S224" s="93"/>
      <c r="T224" s="93"/>
      <c r="U224" s="93"/>
      <c r="V224" s="93"/>
      <c r="W224" s="93"/>
      <c r="X224" s="93"/>
      <c r="Y224" s="93"/>
      <c r="Z224" s="93"/>
    </row>
    <row r="225" ht="14.25" customHeight="1">
      <c r="A225" s="93"/>
      <c r="B225" s="93"/>
      <c r="C225" s="93"/>
      <c r="D225" s="93"/>
      <c r="E225" s="110"/>
      <c r="F225" s="110"/>
      <c r="G225" s="93"/>
      <c r="H225" s="93"/>
      <c r="I225" s="93"/>
      <c r="J225" s="93"/>
      <c r="K225" s="93"/>
      <c r="L225" s="93"/>
      <c r="M225" s="93"/>
      <c r="N225" s="93"/>
      <c r="O225" s="93"/>
      <c r="P225" s="93"/>
      <c r="Q225" s="93"/>
      <c r="R225" s="93"/>
      <c r="S225" s="93"/>
      <c r="T225" s="93"/>
      <c r="U225" s="93"/>
      <c r="V225" s="93"/>
      <c r="W225" s="93"/>
      <c r="X225" s="93"/>
      <c r="Y225" s="93"/>
      <c r="Z225" s="93"/>
    </row>
    <row r="226" ht="14.25" customHeight="1">
      <c r="A226" s="93"/>
      <c r="B226" s="93"/>
      <c r="C226" s="93"/>
      <c r="D226" s="93"/>
      <c r="E226" s="110"/>
      <c r="F226" s="110"/>
      <c r="G226" s="93"/>
      <c r="H226" s="93"/>
      <c r="I226" s="93"/>
      <c r="J226" s="93"/>
      <c r="K226" s="93"/>
      <c r="L226" s="93"/>
      <c r="M226" s="93"/>
      <c r="N226" s="93"/>
      <c r="O226" s="93"/>
      <c r="P226" s="93"/>
      <c r="Q226" s="93"/>
      <c r="R226" s="93"/>
      <c r="S226" s="93"/>
      <c r="T226" s="93"/>
      <c r="U226" s="93"/>
      <c r="V226" s="93"/>
      <c r="W226" s="93"/>
      <c r="X226" s="93"/>
      <c r="Y226" s="93"/>
      <c r="Z226" s="93"/>
    </row>
    <row r="227" ht="14.25" customHeight="1">
      <c r="A227" s="93"/>
      <c r="B227" s="93"/>
      <c r="C227" s="93"/>
      <c r="D227" s="93"/>
      <c r="E227" s="110"/>
      <c r="F227" s="110"/>
      <c r="G227" s="93"/>
      <c r="H227" s="93"/>
      <c r="I227" s="93"/>
      <c r="J227" s="93"/>
      <c r="K227" s="93"/>
      <c r="L227" s="93"/>
      <c r="M227" s="93"/>
      <c r="N227" s="93"/>
      <c r="O227" s="93"/>
      <c r="P227" s="93"/>
      <c r="Q227" s="93"/>
      <c r="R227" s="93"/>
      <c r="S227" s="93"/>
      <c r="T227" s="93"/>
      <c r="U227" s="93"/>
      <c r="V227" s="93"/>
      <c r="W227" s="93"/>
      <c r="X227" s="93"/>
      <c r="Y227" s="93"/>
      <c r="Z227" s="93"/>
    </row>
    <row r="228" ht="14.25" customHeight="1">
      <c r="A228" s="93"/>
      <c r="B228" s="93"/>
      <c r="C228" s="93"/>
      <c r="D228" s="93"/>
      <c r="E228" s="110"/>
      <c r="F228" s="110"/>
      <c r="G228" s="93"/>
      <c r="H228" s="93"/>
      <c r="I228" s="93"/>
      <c r="J228" s="93"/>
      <c r="K228" s="93"/>
      <c r="L228" s="93"/>
      <c r="M228" s="93"/>
      <c r="N228" s="93"/>
      <c r="O228" s="93"/>
      <c r="P228" s="93"/>
      <c r="Q228" s="93"/>
      <c r="R228" s="93"/>
      <c r="S228" s="93"/>
      <c r="T228" s="93"/>
      <c r="U228" s="93"/>
      <c r="V228" s="93"/>
      <c r="W228" s="93"/>
      <c r="X228" s="93"/>
      <c r="Y228" s="93"/>
      <c r="Z228" s="93"/>
    </row>
    <row r="229" ht="14.25" customHeight="1">
      <c r="A229" s="93"/>
      <c r="B229" s="93"/>
      <c r="C229" s="93"/>
      <c r="D229" s="93"/>
      <c r="E229" s="110"/>
      <c r="F229" s="110"/>
      <c r="G229" s="93"/>
      <c r="H229" s="93"/>
      <c r="I229" s="93"/>
      <c r="J229" s="93"/>
      <c r="K229" s="93"/>
      <c r="L229" s="93"/>
      <c r="M229" s="93"/>
      <c r="N229" s="93"/>
      <c r="O229" s="93"/>
      <c r="P229" s="93"/>
      <c r="Q229" s="93"/>
      <c r="R229" s="93"/>
      <c r="S229" s="93"/>
      <c r="T229" s="93"/>
      <c r="U229" s="93"/>
      <c r="V229" s="93"/>
      <c r="W229" s="93"/>
      <c r="X229" s="93"/>
      <c r="Y229" s="93"/>
      <c r="Z229" s="93"/>
    </row>
    <row r="230" ht="14.25" customHeight="1">
      <c r="A230" s="93"/>
      <c r="B230" s="93"/>
      <c r="C230" s="93"/>
      <c r="D230" s="93"/>
      <c r="E230" s="110"/>
      <c r="F230" s="110"/>
      <c r="G230" s="93"/>
      <c r="H230" s="93"/>
      <c r="I230" s="93"/>
      <c r="J230" s="93"/>
      <c r="K230" s="93"/>
      <c r="L230" s="93"/>
      <c r="M230" s="93"/>
      <c r="N230" s="93"/>
      <c r="O230" s="93"/>
      <c r="P230" s="93"/>
      <c r="Q230" s="93"/>
      <c r="R230" s="93"/>
      <c r="S230" s="93"/>
      <c r="T230" s="93"/>
      <c r="U230" s="93"/>
      <c r="V230" s="93"/>
      <c r="W230" s="93"/>
      <c r="X230" s="93"/>
      <c r="Y230" s="93"/>
      <c r="Z230" s="93"/>
    </row>
    <row r="231" ht="14.25" customHeight="1">
      <c r="A231" s="93"/>
      <c r="B231" s="93"/>
      <c r="C231" s="93"/>
      <c r="D231" s="93"/>
      <c r="E231" s="110"/>
      <c r="F231" s="110"/>
      <c r="G231" s="93"/>
      <c r="H231" s="93"/>
      <c r="I231" s="93"/>
      <c r="J231" s="93"/>
      <c r="K231" s="93"/>
      <c r="L231" s="93"/>
      <c r="M231" s="93"/>
      <c r="N231" s="93"/>
      <c r="O231" s="93"/>
      <c r="P231" s="93"/>
      <c r="Q231" s="93"/>
      <c r="R231" s="93"/>
      <c r="S231" s="93"/>
      <c r="T231" s="93"/>
      <c r="U231" s="93"/>
      <c r="V231" s="93"/>
      <c r="W231" s="93"/>
      <c r="X231" s="93"/>
      <c r="Y231" s="93"/>
      <c r="Z231" s="93"/>
    </row>
    <row r="232" ht="14.25" customHeight="1">
      <c r="A232" s="93"/>
      <c r="B232" s="93"/>
      <c r="C232" s="93"/>
      <c r="D232" s="93"/>
      <c r="E232" s="110"/>
      <c r="F232" s="110"/>
      <c r="G232" s="93"/>
      <c r="H232" s="93"/>
      <c r="I232" s="93"/>
      <c r="J232" s="93"/>
      <c r="K232" s="93"/>
      <c r="L232" s="93"/>
      <c r="M232" s="93"/>
      <c r="N232" s="93"/>
      <c r="O232" s="93"/>
      <c r="P232" s="93"/>
      <c r="Q232" s="93"/>
      <c r="R232" s="93"/>
      <c r="S232" s="93"/>
      <c r="T232" s="93"/>
      <c r="U232" s="93"/>
      <c r="V232" s="93"/>
      <c r="W232" s="93"/>
      <c r="X232" s="93"/>
      <c r="Y232" s="93"/>
      <c r="Z232" s="93"/>
    </row>
    <row r="233" ht="14.25" customHeight="1">
      <c r="A233" s="93"/>
      <c r="B233" s="93"/>
      <c r="C233" s="93"/>
      <c r="D233" s="93"/>
      <c r="E233" s="110"/>
      <c r="F233" s="110"/>
      <c r="G233" s="93"/>
      <c r="H233" s="93"/>
      <c r="I233" s="93"/>
      <c r="J233" s="93"/>
      <c r="K233" s="93"/>
      <c r="L233" s="93"/>
      <c r="M233" s="93"/>
      <c r="N233" s="93"/>
      <c r="O233" s="93"/>
      <c r="P233" s="93"/>
      <c r="Q233" s="93"/>
      <c r="R233" s="93"/>
      <c r="S233" s="93"/>
      <c r="T233" s="93"/>
      <c r="U233" s="93"/>
      <c r="V233" s="93"/>
      <c r="W233" s="93"/>
      <c r="X233" s="93"/>
      <c r="Y233" s="93"/>
      <c r="Z233" s="93"/>
    </row>
    <row r="234" ht="14.25" customHeight="1">
      <c r="A234" s="93"/>
      <c r="B234" s="93"/>
      <c r="C234" s="93"/>
      <c r="D234" s="93"/>
      <c r="E234" s="110"/>
      <c r="F234" s="110"/>
      <c r="G234" s="93"/>
      <c r="H234" s="93"/>
      <c r="I234" s="93"/>
      <c r="J234" s="93"/>
      <c r="K234" s="93"/>
      <c r="L234" s="93"/>
      <c r="M234" s="93"/>
      <c r="N234" s="93"/>
      <c r="O234" s="93"/>
      <c r="P234" s="93"/>
      <c r="Q234" s="93"/>
      <c r="R234" s="93"/>
      <c r="S234" s="93"/>
      <c r="T234" s="93"/>
      <c r="U234" s="93"/>
      <c r="V234" s="93"/>
      <c r="W234" s="93"/>
      <c r="X234" s="93"/>
      <c r="Y234" s="93"/>
      <c r="Z234" s="93"/>
    </row>
    <row r="235" ht="14.25" customHeight="1">
      <c r="A235" s="93"/>
      <c r="B235" s="93"/>
      <c r="C235" s="93"/>
      <c r="D235" s="93"/>
      <c r="E235" s="110"/>
      <c r="F235" s="110"/>
      <c r="G235" s="93"/>
      <c r="H235" s="93"/>
      <c r="I235" s="93"/>
      <c r="J235" s="93"/>
      <c r="K235" s="93"/>
      <c r="L235" s="93"/>
      <c r="M235" s="93"/>
      <c r="N235" s="93"/>
      <c r="O235" s="93"/>
      <c r="P235" s="93"/>
      <c r="Q235" s="93"/>
      <c r="R235" s="93"/>
      <c r="S235" s="93"/>
      <c r="T235" s="93"/>
      <c r="U235" s="93"/>
      <c r="V235" s="93"/>
      <c r="W235" s="93"/>
      <c r="X235" s="93"/>
      <c r="Y235" s="93"/>
      <c r="Z235" s="93"/>
    </row>
    <row r="236" ht="14.25" customHeight="1">
      <c r="A236" s="93"/>
      <c r="B236" s="93"/>
      <c r="C236" s="93"/>
      <c r="D236" s="93"/>
      <c r="E236" s="110"/>
      <c r="F236" s="110"/>
      <c r="G236" s="93"/>
      <c r="H236" s="93"/>
      <c r="I236" s="93"/>
      <c r="J236" s="93"/>
      <c r="K236" s="93"/>
      <c r="L236" s="93"/>
      <c r="M236" s="93"/>
      <c r="N236" s="93"/>
      <c r="O236" s="93"/>
      <c r="P236" s="93"/>
      <c r="Q236" s="93"/>
      <c r="R236" s="93"/>
      <c r="S236" s="93"/>
      <c r="T236" s="93"/>
      <c r="U236" s="93"/>
      <c r="V236" s="93"/>
      <c r="W236" s="93"/>
      <c r="X236" s="93"/>
      <c r="Y236" s="93"/>
      <c r="Z236" s="93"/>
    </row>
    <row r="237" ht="14.25" customHeight="1">
      <c r="A237" s="93"/>
      <c r="B237" s="93"/>
      <c r="C237" s="93"/>
      <c r="D237" s="93"/>
      <c r="E237" s="110"/>
      <c r="F237" s="110"/>
      <c r="G237" s="93"/>
      <c r="H237" s="93"/>
      <c r="I237" s="93"/>
      <c r="J237" s="93"/>
      <c r="K237" s="93"/>
      <c r="L237" s="93"/>
      <c r="M237" s="93"/>
      <c r="N237" s="93"/>
      <c r="O237" s="93"/>
      <c r="P237" s="93"/>
      <c r="Q237" s="93"/>
      <c r="R237" s="93"/>
      <c r="S237" s="93"/>
      <c r="T237" s="93"/>
      <c r="U237" s="93"/>
      <c r="V237" s="93"/>
      <c r="W237" s="93"/>
      <c r="X237" s="93"/>
      <c r="Y237" s="93"/>
      <c r="Z237" s="93"/>
    </row>
    <row r="238" ht="14.25" customHeight="1">
      <c r="A238" s="93"/>
      <c r="B238" s="93"/>
      <c r="C238" s="93"/>
      <c r="D238" s="93"/>
      <c r="E238" s="110"/>
      <c r="F238" s="110"/>
      <c r="G238" s="93"/>
      <c r="H238" s="93"/>
      <c r="I238" s="93"/>
      <c r="J238" s="93"/>
      <c r="K238" s="93"/>
      <c r="L238" s="93"/>
      <c r="M238" s="93"/>
      <c r="N238" s="93"/>
      <c r="O238" s="93"/>
      <c r="P238" s="93"/>
      <c r="Q238" s="93"/>
      <c r="R238" s="93"/>
      <c r="S238" s="93"/>
      <c r="T238" s="93"/>
      <c r="U238" s="93"/>
      <c r="V238" s="93"/>
      <c r="W238" s="93"/>
      <c r="X238" s="93"/>
      <c r="Y238" s="93"/>
      <c r="Z238" s="93"/>
    </row>
    <row r="239" ht="14.25" customHeight="1">
      <c r="A239" s="93"/>
      <c r="B239" s="93"/>
      <c r="C239" s="93"/>
      <c r="D239" s="93"/>
      <c r="E239" s="110"/>
      <c r="F239" s="110"/>
      <c r="G239" s="93"/>
      <c r="H239" s="93"/>
      <c r="I239" s="93"/>
      <c r="J239" s="93"/>
      <c r="K239" s="93"/>
      <c r="L239" s="93"/>
      <c r="M239" s="93"/>
      <c r="N239" s="93"/>
      <c r="O239" s="93"/>
      <c r="P239" s="93"/>
      <c r="Q239" s="93"/>
      <c r="R239" s="93"/>
      <c r="S239" s="93"/>
      <c r="T239" s="93"/>
      <c r="U239" s="93"/>
      <c r="V239" s="93"/>
      <c r="W239" s="93"/>
      <c r="X239" s="93"/>
      <c r="Y239" s="93"/>
      <c r="Z239" s="93"/>
    </row>
    <row r="240" ht="14.25" customHeight="1">
      <c r="A240" s="93"/>
      <c r="B240" s="93"/>
      <c r="C240" s="93"/>
      <c r="D240" s="93"/>
      <c r="E240" s="110"/>
      <c r="F240" s="110"/>
      <c r="G240" s="93"/>
      <c r="H240" s="93"/>
      <c r="I240" s="93"/>
      <c r="J240" s="93"/>
      <c r="K240" s="93"/>
      <c r="L240" s="93"/>
      <c r="M240" s="93"/>
      <c r="N240" s="93"/>
      <c r="O240" s="93"/>
      <c r="P240" s="93"/>
      <c r="Q240" s="93"/>
      <c r="R240" s="93"/>
      <c r="S240" s="93"/>
      <c r="T240" s="93"/>
      <c r="U240" s="93"/>
      <c r="V240" s="93"/>
      <c r="W240" s="93"/>
      <c r="X240" s="93"/>
      <c r="Y240" s="93"/>
      <c r="Z240" s="93"/>
    </row>
    <row r="241" ht="14.25" customHeight="1">
      <c r="A241" s="93"/>
      <c r="B241" s="93"/>
      <c r="C241" s="93"/>
      <c r="D241" s="93"/>
      <c r="E241" s="110"/>
      <c r="F241" s="110"/>
      <c r="G241" s="93"/>
      <c r="H241" s="93"/>
      <c r="I241" s="93"/>
      <c r="J241" s="93"/>
      <c r="K241" s="93"/>
      <c r="L241" s="93"/>
      <c r="M241" s="93"/>
      <c r="N241" s="93"/>
      <c r="O241" s="93"/>
      <c r="P241" s="93"/>
      <c r="Q241" s="93"/>
      <c r="R241" s="93"/>
      <c r="S241" s="93"/>
      <c r="T241" s="93"/>
      <c r="U241" s="93"/>
      <c r="V241" s="93"/>
      <c r="W241" s="93"/>
      <c r="X241" s="93"/>
      <c r="Y241" s="93"/>
      <c r="Z241" s="93"/>
    </row>
    <row r="242" ht="14.25" customHeight="1">
      <c r="A242" s="93"/>
      <c r="B242" s="93"/>
      <c r="C242" s="93"/>
      <c r="D242" s="93"/>
      <c r="E242" s="110"/>
      <c r="F242" s="110"/>
      <c r="G242" s="93"/>
      <c r="H242" s="93"/>
      <c r="I242" s="93"/>
      <c r="J242" s="93"/>
      <c r="K242" s="93"/>
      <c r="L242" s="93"/>
      <c r="M242" s="93"/>
      <c r="N242" s="93"/>
      <c r="O242" s="93"/>
      <c r="P242" s="93"/>
      <c r="Q242" s="93"/>
      <c r="R242" s="93"/>
      <c r="S242" s="93"/>
      <c r="T242" s="93"/>
      <c r="U242" s="93"/>
      <c r="V242" s="93"/>
      <c r="W242" s="93"/>
      <c r="X242" s="93"/>
      <c r="Y242" s="93"/>
      <c r="Z242" s="93"/>
    </row>
    <row r="243" ht="14.25" customHeight="1">
      <c r="A243" s="93"/>
      <c r="B243" s="93"/>
      <c r="C243" s="93"/>
      <c r="D243" s="93"/>
      <c r="E243" s="110"/>
      <c r="F243" s="110"/>
      <c r="G243" s="93"/>
      <c r="H243" s="93"/>
      <c r="I243" s="93"/>
      <c r="J243" s="93"/>
      <c r="K243" s="93"/>
      <c r="L243" s="93"/>
      <c r="M243" s="93"/>
      <c r="N243" s="93"/>
      <c r="O243" s="93"/>
      <c r="P243" s="93"/>
      <c r="Q243" s="93"/>
      <c r="R243" s="93"/>
      <c r="S243" s="93"/>
      <c r="T243" s="93"/>
      <c r="U243" s="93"/>
      <c r="V243" s="93"/>
      <c r="W243" s="93"/>
      <c r="X243" s="93"/>
      <c r="Y243" s="93"/>
      <c r="Z243" s="93"/>
    </row>
    <row r="244" ht="14.25" customHeight="1">
      <c r="A244" s="93"/>
      <c r="B244" s="93"/>
      <c r="C244" s="93"/>
      <c r="D244" s="93"/>
      <c r="E244" s="110"/>
      <c r="F244" s="110"/>
      <c r="G244" s="93"/>
      <c r="H244" s="93"/>
      <c r="I244" s="93"/>
      <c r="J244" s="93"/>
      <c r="K244" s="93"/>
      <c r="L244" s="93"/>
      <c r="M244" s="93"/>
      <c r="N244" s="93"/>
      <c r="O244" s="93"/>
      <c r="P244" s="93"/>
      <c r="Q244" s="93"/>
      <c r="R244" s="93"/>
      <c r="S244" s="93"/>
      <c r="T244" s="93"/>
      <c r="U244" s="93"/>
      <c r="V244" s="93"/>
      <c r="W244" s="93"/>
      <c r="X244" s="93"/>
      <c r="Y244" s="93"/>
      <c r="Z244" s="93"/>
    </row>
    <row r="245" ht="14.25" customHeight="1">
      <c r="A245" s="93"/>
      <c r="B245" s="93"/>
      <c r="C245" s="93"/>
      <c r="D245" s="93"/>
      <c r="E245" s="110"/>
      <c r="F245" s="110"/>
      <c r="G245" s="93"/>
      <c r="H245" s="93"/>
      <c r="I245" s="93"/>
      <c r="J245" s="93"/>
      <c r="K245" s="93"/>
      <c r="L245" s="93"/>
      <c r="M245" s="93"/>
      <c r="N245" s="93"/>
      <c r="O245" s="93"/>
      <c r="P245" s="93"/>
      <c r="Q245" s="93"/>
      <c r="R245" s="93"/>
      <c r="S245" s="93"/>
      <c r="T245" s="93"/>
      <c r="U245" s="93"/>
      <c r="V245" s="93"/>
      <c r="W245" s="93"/>
      <c r="X245" s="93"/>
      <c r="Y245" s="93"/>
      <c r="Z245" s="93"/>
    </row>
    <row r="246" ht="14.25" customHeight="1">
      <c r="A246" s="93"/>
      <c r="B246" s="93"/>
      <c r="C246" s="93"/>
      <c r="D246" s="93"/>
      <c r="E246" s="110"/>
      <c r="F246" s="110"/>
      <c r="G246" s="93"/>
      <c r="H246" s="93"/>
      <c r="I246" s="93"/>
      <c r="J246" s="93"/>
      <c r="K246" s="93"/>
      <c r="L246" s="93"/>
      <c r="M246" s="93"/>
      <c r="N246" s="93"/>
      <c r="O246" s="93"/>
      <c r="P246" s="93"/>
      <c r="Q246" s="93"/>
      <c r="R246" s="93"/>
      <c r="S246" s="93"/>
      <c r="T246" s="93"/>
      <c r="U246" s="93"/>
      <c r="V246" s="93"/>
      <c r="W246" s="93"/>
      <c r="X246" s="93"/>
      <c r="Y246" s="93"/>
      <c r="Z246" s="93"/>
    </row>
    <row r="247" ht="14.25" customHeight="1">
      <c r="A247" s="93"/>
      <c r="B247" s="93"/>
      <c r="C247" s="93"/>
      <c r="D247" s="93"/>
      <c r="E247" s="110"/>
      <c r="F247" s="110"/>
      <c r="G247" s="93"/>
      <c r="H247" s="93"/>
      <c r="I247" s="93"/>
      <c r="J247" s="93"/>
      <c r="K247" s="93"/>
      <c r="L247" s="93"/>
      <c r="M247" s="93"/>
      <c r="N247" s="93"/>
      <c r="O247" s="93"/>
      <c r="P247" s="93"/>
      <c r="Q247" s="93"/>
      <c r="R247" s="93"/>
      <c r="S247" s="93"/>
      <c r="T247" s="93"/>
      <c r="U247" s="93"/>
      <c r="V247" s="93"/>
      <c r="W247" s="93"/>
      <c r="X247" s="93"/>
      <c r="Y247" s="93"/>
      <c r="Z247" s="93"/>
    </row>
    <row r="248" ht="14.25" customHeight="1">
      <c r="A248" s="93"/>
      <c r="B248" s="93"/>
      <c r="C248" s="93"/>
      <c r="D248" s="93"/>
      <c r="E248" s="110"/>
      <c r="F248" s="110"/>
      <c r="G248" s="93"/>
      <c r="H248" s="93"/>
      <c r="I248" s="93"/>
      <c r="J248" s="93"/>
      <c r="K248" s="93"/>
      <c r="L248" s="93"/>
      <c r="M248" s="93"/>
      <c r="N248" s="93"/>
      <c r="O248" s="93"/>
      <c r="P248" s="93"/>
      <c r="Q248" s="93"/>
      <c r="R248" s="93"/>
      <c r="S248" s="93"/>
      <c r="T248" s="93"/>
      <c r="U248" s="93"/>
      <c r="V248" s="93"/>
      <c r="W248" s="93"/>
      <c r="X248" s="93"/>
      <c r="Y248" s="93"/>
      <c r="Z248" s="93"/>
    </row>
    <row r="249" ht="14.25" customHeight="1">
      <c r="A249" s="93"/>
      <c r="B249" s="93"/>
      <c r="C249" s="93"/>
      <c r="D249" s="93"/>
      <c r="E249" s="110"/>
      <c r="F249" s="110"/>
      <c r="G249" s="93"/>
      <c r="H249" s="93"/>
      <c r="I249" s="93"/>
      <c r="J249" s="93"/>
      <c r="K249" s="93"/>
      <c r="L249" s="93"/>
      <c r="M249" s="93"/>
      <c r="N249" s="93"/>
      <c r="O249" s="93"/>
      <c r="P249" s="93"/>
      <c r="Q249" s="93"/>
      <c r="R249" s="93"/>
      <c r="S249" s="93"/>
      <c r="T249" s="93"/>
      <c r="U249" s="93"/>
      <c r="V249" s="93"/>
      <c r="W249" s="93"/>
      <c r="X249" s="93"/>
      <c r="Y249" s="93"/>
      <c r="Z249" s="93"/>
    </row>
    <row r="250" ht="14.25" customHeight="1">
      <c r="A250" s="93"/>
      <c r="B250" s="93"/>
      <c r="C250" s="93"/>
      <c r="D250" s="93"/>
      <c r="E250" s="110"/>
      <c r="F250" s="110"/>
      <c r="G250" s="93"/>
      <c r="H250" s="93"/>
      <c r="I250" s="93"/>
      <c r="J250" s="93"/>
      <c r="K250" s="93"/>
      <c r="L250" s="93"/>
      <c r="M250" s="93"/>
      <c r="N250" s="93"/>
      <c r="O250" s="93"/>
      <c r="P250" s="93"/>
      <c r="Q250" s="93"/>
      <c r="R250" s="93"/>
      <c r="S250" s="93"/>
      <c r="T250" s="93"/>
      <c r="U250" s="93"/>
      <c r="V250" s="93"/>
      <c r="W250" s="93"/>
      <c r="X250" s="93"/>
      <c r="Y250" s="93"/>
      <c r="Z250" s="93"/>
    </row>
    <row r="251" ht="14.25" customHeight="1">
      <c r="A251" s="93"/>
      <c r="B251" s="93"/>
      <c r="C251" s="93"/>
      <c r="D251" s="93"/>
      <c r="E251" s="110"/>
      <c r="F251" s="110"/>
      <c r="G251" s="93"/>
      <c r="H251" s="93"/>
      <c r="I251" s="93"/>
      <c r="J251" s="93"/>
      <c r="K251" s="93"/>
      <c r="L251" s="93"/>
      <c r="M251" s="93"/>
      <c r="N251" s="93"/>
      <c r="O251" s="93"/>
      <c r="P251" s="93"/>
      <c r="Q251" s="93"/>
      <c r="R251" s="93"/>
      <c r="S251" s="93"/>
      <c r="T251" s="93"/>
      <c r="U251" s="93"/>
      <c r="V251" s="93"/>
      <c r="W251" s="93"/>
      <c r="X251" s="93"/>
      <c r="Y251" s="93"/>
      <c r="Z251" s="93"/>
    </row>
    <row r="252" ht="14.25" customHeight="1">
      <c r="A252" s="93"/>
      <c r="B252" s="93"/>
      <c r="C252" s="93"/>
      <c r="D252" s="93"/>
      <c r="E252" s="110"/>
      <c r="F252" s="110"/>
      <c r="G252" s="93"/>
      <c r="H252" s="93"/>
      <c r="I252" s="93"/>
      <c r="J252" s="93"/>
      <c r="K252" s="93"/>
      <c r="L252" s="93"/>
      <c r="M252" s="93"/>
      <c r="N252" s="93"/>
      <c r="O252" s="93"/>
      <c r="P252" s="93"/>
      <c r="Q252" s="93"/>
      <c r="R252" s="93"/>
      <c r="S252" s="93"/>
      <c r="T252" s="93"/>
      <c r="U252" s="93"/>
      <c r="V252" s="93"/>
      <c r="W252" s="93"/>
      <c r="X252" s="93"/>
      <c r="Y252" s="93"/>
      <c r="Z252" s="93"/>
    </row>
    <row r="253" ht="14.25" customHeight="1">
      <c r="A253" s="93"/>
      <c r="B253" s="93"/>
      <c r="C253" s="93"/>
      <c r="D253" s="93"/>
      <c r="E253" s="110"/>
      <c r="F253" s="110"/>
      <c r="G253" s="93"/>
      <c r="H253" s="93"/>
      <c r="I253" s="93"/>
      <c r="J253" s="93"/>
      <c r="K253" s="93"/>
      <c r="L253" s="93"/>
      <c r="M253" s="93"/>
      <c r="N253" s="93"/>
      <c r="O253" s="93"/>
      <c r="P253" s="93"/>
      <c r="Q253" s="93"/>
      <c r="R253" s="93"/>
      <c r="S253" s="93"/>
      <c r="T253" s="93"/>
      <c r="U253" s="93"/>
      <c r="V253" s="93"/>
      <c r="W253" s="93"/>
      <c r="X253" s="93"/>
      <c r="Y253" s="93"/>
      <c r="Z253" s="93"/>
    </row>
    <row r="254" ht="14.25" customHeight="1">
      <c r="A254" s="93"/>
      <c r="B254" s="93"/>
      <c r="C254" s="93"/>
      <c r="D254" s="93"/>
      <c r="E254" s="110"/>
      <c r="F254" s="110"/>
      <c r="G254" s="93"/>
      <c r="H254" s="93"/>
      <c r="I254" s="93"/>
      <c r="J254" s="93"/>
      <c r="K254" s="93"/>
      <c r="L254" s="93"/>
      <c r="M254" s="93"/>
      <c r="N254" s="93"/>
      <c r="O254" s="93"/>
      <c r="P254" s="93"/>
      <c r="Q254" s="93"/>
      <c r="R254" s="93"/>
      <c r="S254" s="93"/>
      <c r="T254" s="93"/>
      <c r="U254" s="93"/>
      <c r="V254" s="93"/>
      <c r="W254" s="93"/>
      <c r="X254" s="93"/>
      <c r="Y254" s="93"/>
      <c r="Z254" s="93"/>
    </row>
    <row r="255" ht="14.25" customHeight="1">
      <c r="A255" s="93"/>
      <c r="B255" s="93"/>
      <c r="C255" s="93"/>
      <c r="D255" s="93"/>
      <c r="E255" s="110"/>
      <c r="F255" s="110"/>
      <c r="G255" s="93"/>
      <c r="H255" s="93"/>
      <c r="I255" s="93"/>
      <c r="J255" s="93"/>
      <c r="K255" s="93"/>
      <c r="L255" s="93"/>
      <c r="M255" s="93"/>
      <c r="N255" s="93"/>
      <c r="O255" s="93"/>
      <c r="P255" s="93"/>
      <c r="Q255" s="93"/>
      <c r="R255" s="93"/>
      <c r="S255" s="93"/>
      <c r="T255" s="93"/>
      <c r="U255" s="93"/>
      <c r="V255" s="93"/>
      <c r="W255" s="93"/>
      <c r="X255" s="93"/>
      <c r="Y255" s="93"/>
      <c r="Z255" s="93"/>
    </row>
    <row r="256" ht="14.25" customHeight="1">
      <c r="A256" s="93"/>
      <c r="B256" s="93"/>
      <c r="C256" s="93"/>
      <c r="D256" s="93"/>
      <c r="E256" s="110"/>
      <c r="F256" s="110"/>
      <c r="G256" s="93"/>
      <c r="H256" s="93"/>
      <c r="I256" s="93"/>
      <c r="J256" s="93"/>
      <c r="K256" s="93"/>
      <c r="L256" s="93"/>
      <c r="M256" s="93"/>
      <c r="N256" s="93"/>
      <c r="O256" s="93"/>
      <c r="P256" s="93"/>
      <c r="Q256" s="93"/>
      <c r="R256" s="93"/>
      <c r="S256" s="93"/>
      <c r="T256" s="93"/>
      <c r="U256" s="93"/>
      <c r="V256" s="93"/>
      <c r="W256" s="93"/>
      <c r="X256" s="93"/>
      <c r="Y256" s="93"/>
      <c r="Z256" s="93"/>
    </row>
    <row r="257" ht="14.25" customHeight="1">
      <c r="A257" s="93"/>
      <c r="B257" s="93"/>
      <c r="C257" s="93"/>
      <c r="D257" s="93"/>
      <c r="E257" s="110"/>
      <c r="F257" s="110"/>
      <c r="G257" s="93"/>
      <c r="H257" s="93"/>
      <c r="I257" s="93"/>
      <c r="J257" s="93"/>
      <c r="K257" s="93"/>
      <c r="L257" s="93"/>
      <c r="M257" s="93"/>
      <c r="N257" s="93"/>
      <c r="O257" s="93"/>
      <c r="P257" s="93"/>
      <c r="Q257" s="93"/>
      <c r="R257" s="93"/>
      <c r="S257" s="93"/>
      <c r="T257" s="93"/>
      <c r="U257" s="93"/>
      <c r="V257" s="93"/>
      <c r="W257" s="93"/>
      <c r="X257" s="93"/>
      <c r="Y257" s="93"/>
      <c r="Z257" s="93"/>
    </row>
    <row r="258" ht="14.25" customHeight="1">
      <c r="A258" s="93"/>
      <c r="B258" s="93"/>
      <c r="C258" s="93"/>
      <c r="D258" s="93"/>
      <c r="E258" s="110"/>
      <c r="F258" s="110"/>
      <c r="G258" s="93"/>
      <c r="H258" s="93"/>
      <c r="I258" s="93"/>
      <c r="J258" s="93"/>
      <c r="K258" s="93"/>
      <c r="L258" s="93"/>
      <c r="M258" s="93"/>
      <c r="N258" s="93"/>
      <c r="O258" s="93"/>
      <c r="P258" s="93"/>
      <c r="Q258" s="93"/>
      <c r="R258" s="93"/>
      <c r="S258" s="93"/>
      <c r="T258" s="93"/>
      <c r="U258" s="93"/>
      <c r="V258" s="93"/>
      <c r="W258" s="93"/>
      <c r="X258" s="93"/>
      <c r="Y258" s="93"/>
      <c r="Z258" s="93"/>
    </row>
    <row r="259" ht="14.25" customHeight="1">
      <c r="A259" s="93"/>
      <c r="B259" s="93"/>
      <c r="C259" s="93"/>
      <c r="D259" s="93"/>
      <c r="E259" s="110"/>
      <c r="F259" s="110"/>
      <c r="G259" s="93"/>
      <c r="H259" s="93"/>
      <c r="I259" s="93"/>
      <c r="J259" s="93"/>
      <c r="K259" s="93"/>
      <c r="L259" s="93"/>
      <c r="M259" s="93"/>
      <c r="N259" s="93"/>
      <c r="O259" s="93"/>
      <c r="P259" s="93"/>
      <c r="Q259" s="93"/>
      <c r="R259" s="93"/>
      <c r="S259" s="93"/>
      <c r="T259" s="93"/>
      <c r="U259" s="93"/>
      <c r="V259" s="93"/>
      <c r="W259" s="93"/>
      <c r="X259" s="93"/>
      <c r="Y259" s="93"/>
      <c r="Z259" s="93"/>
    </row>
    <row r="260" ht="14.25" customHeight="1">
      <c r="A260" s="93"/>
      <c r="B260" s="93"/>
      <c r="C260" s="93"/>
      <c r="D260" s="93"/>
      <c r="E260" s="110"/>
      <c r="F260" s="110"/>
      <c r="G260" s="93"/>
      <c r="H260" s="93"/>
      <c r="I260" s="93"/>
      <c r="J260" s="93"/>
      <c r="K260" s="93"/>
      <c r="L260" s="93"/>
      <c r="M260" s="93"/>
      <c r="N260" s="93"/>
      <c r="O260" s="93"/>
      <c r="P260" s="93"/>
      <c r="Q260" s="93"/>
      <c r="R260" s="93"/>
      <c r="S260" s="93"/>
      <c r="T260" s="93"/>
      <c r="U260" s="93"/>
      <c r="V260" s="93"/>
      <c r="W260" s="93"/>
      <c r="X260" s="93"/>
      <c r="Y260" s="93"/>
      <c r="Z260" s="93"/>
    </row>
    <row r="261" ht="14.25" customHeight="1">
      <c r="A261" s="93"/>
      <c r="B261" s="93"/>
      <c r="C261" s="93"/>
      <c r="D261" s="93"/>
      <c r="E261" s="110"/>
      <c r="F261" s="110"/>
      <c r="G261" s="93"/>
      <c r="H261" s="93"/>
      <c r="I261" s="93"/>
      <c r="J261" s="93"/>
      <c r="K261" s="93"/>
      <c r="L261" s="93"/>
      <c r="M261" s="93"/>
      <c r="N261" s="93"/>
      <c r="O261" s="93"/>
      <c r="P261" s="93"/>
      <c r="Q261" s="93"/>
      <c r="R261" s="93"/>
      <c r="S261" s="93"/>
      <c r="T261" s="93"/>
      <c r="U261" s="93"/>
      <c r="V261" s="93"/>
      <c r="W261" s="93"/>
      <c r="X261" s="93"/>
      <c r="Y261" s="93"/>
      <c r="Z261" s="93"/>
    </row>
    <row r="262" ht="14.25" customHeight="1">
      <c r="A262" s="93"/>
      <c r="B262" s="93"/>
      <c r="C262" s="93"/>
      <c r="D262" s="93"/>
      <c r="E262" s="110"/>
      <c r="F262" s="110"/>
      <c r="G262" s="93"/>
      <c r="H262" s="93"/>
      <c r="I262" s="93"/>
      <c r="J262" s="93"/>
      <c r="K262" s="93"/>
      <c r="L262" s="93"/>
      <c r="M262" s="93"/>
      <c r="N262" s="93"/>
      <c r="O262" s="93"/>
      <c r="P262" s="93"/>
      <c r="Q262" s="93"/>
      <c r="R262" s="93"/>
      <c r="S262" s="93"/>
      <c r="T262" s="93"/>
      <c r="U262" s="93"/>
      <c r="V262" s="93"/>
      <c r="W262" s="93"/>
      <c r="X262" s="93"/>
      <c r="Y262" s="93"/>
      <c r="Z262" s="93"/>
    </row>
    <row r="263" ht="14.25" customHeight="1">
      <c r="A263" s="93"/>
      <c r="B263" s="93"/>
      <c r="C263" s="93"/>
      <c r="D263" s="93"/>
      <c r="E263" s="110"/>
      <c r="F263" s="110"/>
      <c r="G263" s="93"/>
      <c r="H263" s="93"/>
      <c r="I263" s="93"/>
      <c r="J263" s="93"/>
      <c r="K263" s="93"/>
      <c r="L263" s="93"/>
      <c r="M263" s="93"/>
      <c r="N263" s="93"/>
      <c r="O263" s="93"/>
      <c r="P263" s="93"/>
      <c r="Q263" s="93"/>
      <c r="R263" s="93"/>
      <c r="S263" s="93"/>
      <c r="T263" s="93"/>
      <c r="U263" s="93"/>
      <c r="V263" s="93"/>
      <c r="W263" s="93"/>
      <c r="X263" s="93"/>
      <c r="Y263" s="93"/>
      <c r="Z263" s="93"/>
    </row>
    <row r="264" ht="14.25" customHeight="1">
      <c r="A264" s="93"/>
      <c r="B264" s="93"/>
      <c r="C264" s="93"/>
      <c r="D264" s="93"/>
      <c r="E264" s="110"/>
      <c r="F264" s="110"/>
      <c r="G264" s="93"/>
      <c r="H264" s="93"/>
      <c r="I264" s="93"/>
      <c r="J264" s="93"/>
      <c r="K264" s="93"/>
      <c r="L264" s="93"/>
      <c r="M264" s="93"/>
      <c r="N264" s="93"/>
      <c r="O264" s="93"/>
      <c r="P264" s="93"/>
      <c r="Q264" s="93"/>
      <c r="R264" s="93"/>
      <c r="S264" s="93"/>
      <c r="T264" s="93"/>
      <c r="U264" s="93"/>
      <c r="V264" s="93"/>
      <c r="W264" s="93"/>
      <c r="X264" s="93"/>
      <c r="Y264" s="93"/>
      <c r="Z264" s="93"/>
    </row>
    <row r="265" ht="14.25" customHeight="1">
      <c r="A265" s="93"/>
      <c r="B265" s="93"/>
      <c r="C265" s="93"/>
      <c r="D265" s="93"/>
      <c r="E265" s="110"/>
      <c r="F265" s="110"/>
      <c r="G265" s="93"/>
      <c r="H265" s="93"/>
      <c r="I265" s="93"/>
      <c r="J265" s="93"/>
      <c r="K265" s="93"/>
      <c r="L265" s="93"/>
      <c r="M265" s="93"/>
      <c r="N265" s="93"/>
      <c r="O265" s="93"/>
      <c r="P265" s="93"/>
      <c r="Q265" s="93"/>
      <c r="R265" s="93"/>
      <c r="S265" s="93"/>
      <c r="T265" s="93"/>
      <c r="U265" s="93"/>
      <c r="V265" s="93"/>
      <c r="W265" s="93"/>
      <c r="X265" s="93"/>
      <c r="Y265" s="93"/>
      <c r="Z265" s="93"/>
    </row>
    <row r="266" ht="14.25" customHeight="1">
      <c r="A266" s="93"/>
      <c r="B266" s="93"/>
      <c r="C266" s="93"/>
      <c r="D266" s="93"/>
      <c r="E266" s="110"/>
      <c r="F266" s="110"/>
      <c r="G266" s="93"/>
      <c r="H266" s="93"/>
      <c r="I266" s="93"/>
      <c r="J266" s="93"/>
      <c r="K266" s="93"/>
      <c r="L266" s="93"/>
      <c r="M266" s="93"/>
      <c r="N266" s="93"/>
      <c r="O266" s="93"/>
      <c r="P266" s="93"/>
      <c r="Q266" s="93"/>
      <c r="R266" s="93"/>
      <c r="S266" s="93"/>
      <c r="T266" s="93"/>
      <c r="U266" s="93"/>
      <c r="V266" s="93"/>
      <c r="W266" s="93"/>
      <c r="X266" s="93"/>
      <c r="Y266" s="93"/>
      <c r="Z266" s="93"/>
    </row>
    <row r="267" ht="14.25" customHeight="1">
      <c r="A267" s="93"/>
      <c r="B267" s="93"/>
      <c r="C267" s="93"/>
      <c r="D267" s="93"/>
      <c r="E267" s="110"/>
      <c r="F267" s="110"/>
      <c r="G267" s="93"/>
      <c r="H267" s="93"/>
      <c r="I267" s="93"/>
      <c r="J267" s="93"/>
      <c r="K267" s="93"/>
      <c r="L267" s="93"/>
      <c r="M267" s="93"/>
      <c r="N267" s="93"/>
      <c r="O267" s="93"/>
      <c r="P267" s="93"/>
      <c r="Q267" s="93"/>
      <c r="R267" s="93"/>
      <c r="S267" s="93"/>
      <c r="T267" s="93"/>
      <c r="U267" s="93"/>
      <c r="V267" s="93"/>
      <c r="W267" s="93"/>
      <c r="X267" s="93"/>
      <c r="Y267" s="93"/>
      <c r="Z267" s="93"/>
    </row>
    <row r="268" ht="14.25" customHeight="1">
      <c r="A268" s="93"/>
      <c r="B268" s="93"/>
      <c r="C268" s="93"/>
      <c r="D268" s="93"/>
      <c r="E268" s="110"/>
      <c r="F268" s="110"/>
      <c r="G268" s="93"/>
      <c r="H268" s="93"/>
      <c r="I268" s="93"/>
      <c r="J268" s="93"/>
      <c r="K268" s="93"/>
      <c r="L268" s="93"/>
      <c r="M268" s="93"/>
      <c r="N268" s="93"/>
      <c r="O268" s="93"/>
      <c r="P268" s="93"/>
      <c r="Q268" s="93"/>
      <c r="R268" s="93"/>
      <c r="S268" s="93"/>
      <c r="T268" s="93"/>
      <c r="U268" s="93"/>
      <c r="V268" s="93"/>
      <c r="W268" s="93"/>
      <c r="X268" s="93"/>
      <c r="Y268" s="93"/>
      <c r="Z268" s="93"/>
    </row>
    <row r="269" ht="14.25" customHeight="1">
      <c r="A269" s="93"/>
      <c r="B269" s="93"/>
      <c r="C269" s="93"/>
      <c r="D269" s="93"/>
      <c r="E269" s="110"/>
      <c r="F269" s="110"/>
      <c r="G269" s="93"/>
      <c r="H269" s="93"/>
      <c r="I269" s="93"/>
      <c r="J269" s="93"/>
      <c r="K269" s="93"/>
      <c r="L269" s="93"/>
      <c r="M269" s="93"/>
      <c r="N269" s="93"/>
      <c r="O269" s="93"/>
      <c r="P269" s="93"/>
      <c r="Q269" s="93"/>
      <c r="R269" s="93"/>
      <c r="S269" s="93"/>
      <c r="T269" s="93"/>
      <c r="U269" s="93"/>
      <c r="V269" s="93"/>
      <c r="W269" s="93"/>
      <c r="X269" s="93"/>
      <c r="Y269" s="93"/>
      <c r="Z269" s="93"/>
    </row>
    <row r="270" ht="14.25" customHeight="1">
      <c r="A270" s="93"/>
      <c r="B270" s="93"/>
      <c r="C270" s="93"/>
      <c r="D270" s="93"/>
      <c r="E270" s="110"/>
      <c r="F270" s="110"/>
      <c r="G270" s="93"/>
      <c r="H270" s="93"/>
      <c r="I270" s="93"/>
      <c r="J270" s="93"/>
      <c r="K270" s="93"/>
      <c r="L270" s="93"/>
      <c r="M270" s="93"/>
      <c r="N270" s="93"/>
      <c r="O270" s="93"/>
      <c r="P270" s="93"/>
      <c r="Q270" s="93"/>
      <c r="R270" s="93"/>
      <c r="S270" s="93"/>
      <c r="T270" s="93"/>
      <c r="U270" s="93"/>
      <c r="V270" s="93"/>
      <c r="W270" s="93"/>
      <c r="X270" s="93"/>
      <c r="Y270" s="93"/>
      <c r="Z270" s="93"/>
    </row>
    <row r="271" ht="14.25" customHeight="1">
      <c r="A271" s="93"/>
      <c r="B271" s="93"/>
      <c r="C271" s="93"/>
      <c r="D271" s="93"/>
      <c r="E271" s="110"/>
      <c r="F271" s="110"/>
      <c r="G271" s="93"/>
      <c r="H271" s="93"/>
      <c r="I271" s="93"/>
      <c r="J271" s="93"/>
      <c r="K271" s="93"/>
      <c r="L271" s="93"/>
      <c r="M271" s="93"/>
      <c r="N271" s="93"/>
      <c r="O271" s="93"/>
      <c r="P271" s="93"/>
      <c r="Q271" s="93"/>
      <c r="R271" s="93"/>
      <c r="S271" s="93"/>
      <c r="T271" s="93"/>
      <c r="U271" s="93"/>
      <c r="V271" s="93"/>
      <c r="W271" s="93"/>
      <c r="X271" s="93"/>
      <c r="Y271" s="93"/>
      <c r="Z271" s="93"/>
    </row>
    <row r="272" ht="14.25" customHeight="1">
      <c r="A272" s="93"/>
      <c r="B272" s="93"/>
      <c r="C272" s="93"/>
      <c r="D272" s="93"/>
      <c r="E272" s="110"/>
      <c r="F272" s="110"/>
      <c r="G272" s="93"/>
      <c r="H272" s="93"/>
      <c r="I272" s="93"/>
      <c r="J272" s="93"/>
      <c r="K272" s="93"/>
      <c r="L272" s="93"/>
      <c r="M272" s="93"/>
      <c r="N272" s="93"/>
      <c r="O272" s="93"/>
      <c r="P272" s="93"/>
      <c r="Q272" s="93"/>
      <c r="R272" s="93"/>
      <c r="S272" s="93"/>
      <c r="T272" s="93"/>
      <c r="U272" s="93"/>
      <c r="V272" s="93"/>
      <c r="W272" s="93"/>
      <c r="X272" s="93"/>
      <c r="Y272" s="93"/>
      <c r="Z272" s="93"/>
    </row>
    <row r="273" ht="14.25" customHeight="1">
      <c r="A273" s="93"/>
      <c r="B273" s="93"/>
      <c r="C273" s="93"/>
      <c r="D273" s="93"/>
      <c r="E273" s="110"/>
      <c r="F273" s="110"/>
      <c r="G273" s="93"/>
      <c r="H273" s="93"/>
      <c r="I273" s="93"/>
      <c r="J273" s="93"/>
      <c r="K273" s="93"/>
      <c r="L273" s="93"/>
      <c r="M273" s="93"/>
      <c r="N273" s="93"/>
      <c r="O273" s="93"/>
      <c r="P273" s="93"/>
      <c r="Q273" s="93"/>
      <c r="R273" s="93"/>
      <c r="S273" s="93"/>
      <c r="T273" s="93"/>
      <c r="U273" s="93"/>
      <c r="V273" s="93"/>
      <c r="W273" s="93"/>
      <c r="X273" s="93"/>
      <c r="Y273" s="93"/>
      <c r="Z273" s="93"/>
    </row>
    <row r="274" ht="14.25" customHeight="1">
      <c r="A274" s="93"/>
      <c r="B274" s="93"/>
      <c r="C274" s="93"/>
      <c r="D274" s="93"/>
      <c r="E274" s="110"/>
      <c r="F274" s="110"/>
      <c r="G274" s="93"/>
      <c r="H274" s="93"/>
      <c r="I274" s="93"/>
      <c r="J274" s="93"/>
      <c r="K274" s="93"/>
      <c r="L274" s="93"/>
      <c r="M274" s="93"/>
      <c r="N274" s="93"/>
      <c r="O274" s="93"/>
      <c r="P274" s="93"/>
      <c r="Q274" s="93"/>
      <c r="R274" s="93"/>
      <c r="S274" s="93"/>
      <c r="T274" s="93"/>
      <c r="U274" s="93"/>
      <c r="V274" s="93"/>
      <c r="W274" s="93"/>
      <c r="X274" s="93"/>
      <c r="Y274" s="93"/>
      <c r="Z274" s="93"/>
    </row>
    <row r="275" ht="14.25" customHeight="1">
      <c r="A275" s="93"/>
      <c r="B275" s="93"/>
      <c r="C275" s="93"/>
      <c r="D275" s="93"/>
      <c r="E275" s="110"/>
      <c r="F275" s="110"/>
      <c r="G275" s="93"/>
      <c r="H275" s="93"/>
      <c r="I275" s="93"/>
      <c r="J275" s="93"/>
      <c r="K275" s="93"/>
      <c r="L275" s="93"/>
      <c r="M275" s="93"/>
      <c r="N275" s="93"/>
      <c r="O275" s="93"/>
      <c r="P275" s="93"/>
      <c r="Q275" s="93"/>
      <c r="R275" s="93"/>
      <c r="S275" s="93"/>
      <c r="T275" s="93"/>
      <c r="U275" s="93"/>
      <c r="V275" s="93"/>
      <c r="W275" s="93"/>
      <c r="X275" s="93"/>
      <c r="Y275" s="93"/>
      <c r="Z275" s="93"/>
    </row>
    <row r="276" ht="14.25" customHeight="1">
      <c r="A276" s="93"/>
      <c r="B276" s="93"/>
      <c r="C276" s="93"/>
      <c r="D276" s="93"/>
      <c r="E276" s="110"/>
      <c r="F276" s="110"/>
      <c r="G276" s="93"/>
      <c r="H276" s="93"/>
      <c r="I276" s="93"/>
      <c r="J276" s="93"/>
      <c r="K276" s="93"/>
      <c r="L276" s="93"/>
      <c r="M276" s="93"/>
      <c r="N276" s="93"/>
      <c r="O276" s="93"/>
      <c r="P276" s="93"/>
      <c r="Q276" s="93"/>
      <c r="R276" s="93"/>
      <c r="S276" s="93"/>
      <c r="T276" s="93"/>
      <c r="U276" s="93"/>
      <c r="V276" s="93"/>
      <c r="W276" s="93"/>
      <c r="X276" s="93"/>
      <c r="Y276" s="93"/>
      <c r="Z276" s="93"/>
    </row>
    <row r="277" ht="14.25" customHeight="1">
      <c r="A277" s="93"/>
      <c r="B277" s="93"/>
      <c r="C277" s="93"/>
      <c r="D277" s="93"/>
      <c r="E277" s="110"/>
      <c r="F277" s="110"/>
      <c r="G277" s="93"/>
      <c r="H277" s="93"/>
      <c r="I277" s="93"/>
      <c r="J277" s="93"/>
      <c r="K277" s="93"/>
      <c r="L277" s="93"/>
      <c r="M277" s="93"/>
      <c r="N277" s="93"/>
      <c r="O277" s="93"/>
      <c r="P277" s="93"/>
      <c r="Q277" s="93"/>
      <c r="R277" s="93"/>
      <c r="S277" s="93"/>
      <c r="T277" s="93"/>
      <c r="U277" s="93"/>
      <c r="V277" s="93"/>
      <c r="W277" s="93"/>
      <c r="X277" s="93"/>
      <c r="Y277" s="93"/>
      <c r="Z277" s="93"/>
    </row>
    <row r="278" ht="14.25" customHeight="1">
      <c r="A278" s="93"/>
      <c r="B278" s="93"/>
      <c r="C278" s="93"/>
      <c r="D278" s="93"/>
      <c r="E278" s="110"/>
      <c r="F278" s="110"/>
      <c r="G278" s="93"/>
      <c r="H278" s="93"/>
      <c r="I278" s="93"/>
      <c r="J278" s="93"/>
      <c r="K278" s="93"/>
      <c r="L278" s="93"/>
      <c r="M278" s="93"/>
      <c r="N278" s="93"/>
      <c r="O278" s="93"/>
      <c r="P278" s="93"/>
      <c r="Q278" s="93"/>
      <c r="R278" s="93"/>
      <c r="S278" s="93"/>
      <c r="T278" s="93"/>
      <c r="U278" s="93"/>
      <c r="V278" s="93"/>
      <c r="W278" s="93"/>
      <c r="X278" s="93"/>
      <c r="Y278" s="93"/>
      <c r="Z278" s="93"/>
    </row>
    <row r="279" ht="14.25" customHeight="1">
      <c r="A279" s="93"/>
      <c r="B279" s="93"/>
      <c r="C279" s="93"/>
      <c r="D279" s="93"/>
      <c r="E279" s="110"/>
      <c r="F279" s="110"/>
      <c r="G279" s="93"/>
      <c r="H279" s="93"/>
      <c r="I279" s="93"/>
      <c r="J279" s="93"/>
      <c r="K279" s="93"/>
      <c r="L279" s="93"/>
      <c r="M279" s="93"/>
      <c r="N279" s="93"/>
      <c r="O279" s="93"/>
      <c r="P279" s="93"/>
      <c r="Q279" s="93"/>
      <c r="R279" s="93"/>
      <c r="S279" s="93"/>
      <c r="T279" s="93"/>
      <c r="U279" s="93"/>
      <c r="V279" s="93"/>
      <c r="W279" s="93"/>
      <c r="X279" s="93"/>
      <c r="Y279" s="93"/>
      <c r="Z279" s="93"/>
    </row>
    <row r="280" ht="14.25" customHeight="1">
      <c r="A280" s="93"/>
      <c r="B280" s="93"/>
      <c r="C280" s="93"/>
      <c r="D280" s="93"/>
      <c r="E280" s="110"/>
      <c r="F280" s="110"/>
      <c r="G280" s="93"/>
      <c r="H280" s="93"/>
      <c r="I280" s="93"/>
      <c r="J280" s="93"/>
      <c r="K280" s="93"/>
      <c r="L280" s="93"/>
      <c r="M280" s="93"/>
      <c r="N280" s="93"/>
      <c r="O280" s="93"/>
      <c r="P280" s="93"/>
      <c r="Q280" s="93"/>
      <c r="R280" s="93"/>
      <c r="S280" s="93"/>
      <c r="T280" s="93"/>
      <c r="U280" s="93"/>
      <c r="V280" s="93"/>
      <c r="W280" s="93"/>
      <c r="X280" s="93"/>
      <c r="Y280" s="93"/>
      <c r="Z280" s="93"/>
    </row>
    <row r="281" ht="14.25" customHeight="1">
      <c r="A281" s="93"/>
      <c r="B281" s="93"/>
      <c r="C281" s="93"/>
      <c r="D281" s="93"/>
      <c r="E281" s="110"/>
      <c r="F281" s="110"/>
      <c r="G281" s="93"/>
      <c r="H281" s="93"/>
      <c r="I281" s="93"/>
      <c r="J281" s="93"/>
      <c r="K281" s="93"/>
      <c r="L281" s="93"/>
      <c r="M281" s="93"/>
      <c r="N281" s="93"/>
      <c r="O281" s="93"/>
      <c r="P281" s="93"/>
      <c r="Q281" s="93"/>
      <c r="R281" s="93"/>
      <c r="S281" s="93"/>
      <c r="T281" s="93"/>
      <c r="U281" s="93"/>
      <c r="V281" s="93"/>
      <c r="W281" s="93"/>
      <c r="X281" s="93"/>
      <c r="Y281" s="93"/>
      <c r="Z281" s="93"/>
    </row>
    <row r="282" ht="14.25" customHeight="1">
      <c r="A282" s="93"/>
      <c r="B282" s="93"/>
      <c r="C282" s="93"/>
      <c r="D282" s="93"/>
      <c r="E282" s="110"/>
      <c r="F282" s="110"/>
      <c r="G282" s="93"/>
      <c r="H282" s="93"/>
      <c r="I282" s="93"/>
      <c r="J282" s="93"/>
      <c r="K282" s="93"/>
      <c r="L282" s="93"/>
      <c r="M282" s="93"/>
      <c r="N282" s="93"/>
      <c r="O282" s="93"/>
      <c r="P282" s="93"/>
      <c r="Q282" s="93"/>
      <c r="R282" s="93"/>
      <c r="S282" s="93"/>
      <c r="T282" s="93"/>
      <c r="U282" s="93"/>
      <c r="V282" s="93"/>
      <c r="W282" s="93"/>
      <c r="X282" s="93"/>
      <c r="Y282" s="93"/>
      <c r="Z282" s="93"/>
    </row>
    <row r="283" ht="14.25" customHeight="1">
      <c r="A283" s="93"/>
      <c r="B283" s="93"/>
      <c r="C283" s="93"/>
      <c r="D283" s="93"/>
      <c r="E283" s="110"/>
      <c r="F283" s="110"/>
      <c r="G283" s="93"/>
      <c r="H283" s="93"/>
      <c r="I283" s="93"/>
      <c r="J283" s="93"/>
      <c r="K283" s="93"/>
      <c r="L283" s="93"/>
      <c r="M283" s="93"/>
      <c r="N283" s="93"/>
      <c r="O283" s="93"/>
      <c r="P283" s="93"/>
      <c r="Q283" s="93"/>
      <c r="R283" s="93"/>
      <c r="S283" s="93"/>
      <c r="T283" s="93"/>
      <c r="U283" s="93"/>
      <c r="V283" s="93"/>
      <c r="W283" s="93"/>
      <c r="X283" s="93"/>
      <c r="Y283" s="93"/>
      <c r="Z283" s="93"/>
    </row>
    <row r="284" ht="14.25" customHeight="1">
      <c r="A284" s="93"/>
      <c r="B284" s="93"/>
      <c r="C284" s="93"/>
      <c r="D284" s="93"/>
      <c r="E284" s="110"/>
      <c r="F284" s="110"/>
      <c r="G284" s="93"/>
      <c r="H284" s="93"/>
      <c r="I284" s="93"/>
      <c r="J284" s="93"/>
      <c r="K284" s="93"/>
      <c r="L284" s="93"/>
      <c r="M284" s="93"/>
      <c r="N284" s="93"/>
      <c r="O284" s="93"/>
      <c r="P284" s="93"/>
      <c r="Q284" s="93"/>
      <c r="R284" s="93"/>
      <c r="S284" s="93"/>
      <c r="T284" s="93"/>
      <c r="U284" s="93"/>
      <c r="V284" s="93"/>
      <c r="W284" s="93"/>
      <c r="X284" s="93"/>
      <c r="Y284" s="93"/>
      <c r="Z284" s="93"/>
    </row>
    <row r="285" ht="14.25" customHeight="1">
      <c r="A285" s="93"/>
      <c r="B285" s="93"/>
      <c r="C285" s="93"/>
      <c r="D285" s="93"/>
      <c r="E285" s="110"/>
      <c r="F285" s="110"/>
      <c r="G285" s="93"/>
      <c r="H285" s="93"/>
      <c r="I285" s="93"/>
      <c r="J285" s="93"/>
      <c r="K285" s="93"/>
      <c r="L285" s="93"/>
      <c r="M285" s="93"/>
      <c r="N285" s="93"/>
      <c r="O285" s="93"/>
      <c r="P285" s="93"/>
      <c r="Q285" s="93"/>
      <c r="R285" s="93"/>
      <c r="S285" s="93"/>
      <c r="T285" s="93"/>
      <c r="U285" s="93"/>
      <c r="V285" s="93"/>
      <c r="W285" s="93"/>
      <c r="X285" s="93"/>
      <c r="Y285" s="93"/>
      <c r="Z285" s="93"/>
    </row>
    <row r="286" ht="14.25" customHeight="1">
      <c r="A286" s="93"/>
      <c r="B286" s="93"/>
      <c r="C286" s="93"/>
      <c r="D286" s="93"/>
      <c r="E286" s="110"/>
      <c r="F286" s="110"/>
      <c r="G286" s="93"/>
      <c r="H286" s="93"/>
      <c r="I286" s="93"/>
      <c r="J286" s="93"/>
      <c r="K286" s="93"/>
      <c r="L286" s="93"/>
      <c r="M286" s="93"/>
      <c r="N286" s="93"/>
      <c r="O286" s="93"/>
      <c r="P286" s="93"/>
      <c r="Q286" s="93"/>
      <c r="R286" s="93"/>
      <c r="S286" s="93"/>
      <c r="T286" s="93"/>
      <c r="U286" s="93"/>
      <c r="V286" s="93"/>
      <c r="W286" s="93"/>
      <c r="X286" s="93"/>
      <c r="Y286" s="93"/>
      <c r="Z286" s="93"/>
    </row>
    <row r="287" ht="14.25" customHeight="1">
      <c r="A287" s="93"/>
      <c r="B287" s="93"/>
      <c r="C287" s="93"/>
      <c r="D287" s="93"/>
      <c r="E287" s="110"/>
      <c r="F287" s="110"/>
      <c r="G287" s="93"/>
      <c r="H287" s="93"/>
      <c r="I287" s="93"/>
      <c r="J287" s="93"/>
      <c r="K287" s="93"/>
      <c r="L287" s="93"/>
      <c r="M287" s="93"/>
      <c r="N287" s="93"/>
      <c r="O287" s="93"/>
      <c r="P287" s="93"/>
      <c r="Q287" s="93"/>
      <c r="R287" s="93"/>
      <c r="S287" s="93"/>
      <c r="T287" s="93"/>
      <c r="U287" s="93"/>
      <c r="V287" s="93"/>
      <c r="W287" s="93"/>
      <c r="X287" s="93"/>
      <c r="Y287" s="93"/>
      <c r="Z287" s="93"/>
    </row>
    <row r="288" ht="14.25" customHeight="1">
      <c r="A288" s="93"/>
      <c r="B288" s="93"/>
      <c r="C288" s="93"/>
      <c r="D288" s="93"/>
      <c r="E288" s="110"/>
      <c r="F288" s="110"/>
      <c r="G288" s="93"/>
      <c r="H288" s="93"/>
      <c r="I288" s="93"/>
      <c r="J288" s="93"/>
      <c r="K288" s="93"/>
      <c r="L288" s="93"/>
      <c r="M288" s="93"/>
      <c r="N288" s="93"/>
      <c r="O288" s="93"/>
      <c r="P288" s="93"/>
      <c r="Q288" s="93"/>
      <c r="R288" s="93"/>
      <c r="S288" s="93"/>
      <c r="T288" s="93"/>
      <c r="U288" s="93"/>
      <c r="V288" s="93"/>
      <c r="W288" s="93"/>
      <c r="X288" s="93"/>
      <c r="Y288" s="93"/>
      <c r="Z288" s="93"/>
    </row>
    <row r="289" ht="14.25" customHeight="1">
      <c r="A289" s="93"/>
      <c r="B289" s="93"/>
      <c r="C289" s="93"/>
      <c r="D289" s="93"/>
      <c r="E289" s="110"/>
      <c r="F289" s="110"/>
      <c r="G289" s="93"/>
      <c r="H289" s="93"/>
      <c r="I289" s="93"/>
      <c r="J289" s="93"/>
      <c r="K289" s="93"/>
      <c r="L289" s="93"/>
      <c r="M289" s="93"/>
      <c r="N289" s="93"/>
      <c r="O289" s="93"/>
      <c r="P289" s="93"/>
      <c r="Q289" s="93"/>
      <c r="R289" s="93"/>
      <c r="S289" s="93"/>
      <c r="T289" s="93"/>
      <c r="U289" s="93"/>
      <c r="V289" s="93"/>
      <c r="W289" s="93"/>
      <c r="X289" s="93"/>
      <c r="Y289" s="93"/>
      <c r="Z289" s="93"/>
    </row>
    <row r="290" ht="14.25" customHeight="1">
      <c r="A290" s="93"/>
      <c r="B290" s="93"/>
      <c r="C290" s="93"/>
      <c r="D290" s="93"/>
      <c r="E290" s="110"/>
      <c r="F290" s="110"/>
      <c r="G290" s="93"/>
      <c r="H290" s="93"/>
      <c r="I290" s="93"/>
      <c r="J290" s="93"/>
      <c r="K290" s="93"/>
      <c r="L290" s="93"/>
      <c r="M290" s="93"/>
      <c r="N290" s="93"/>
      <c r="O290" s="93"/>
      <c r="P290" s="93"/>
      <c r="Q290" s="93"/>
      <c r="R290" s="93"/>
      <c r="S290" s="93"/>
      <c r="T290" s="93"/>
      <c r="U290" s="93"/>
      <c r="V290" s="93"/>
      <c r="W290" s="93"/>
      <c r="X290" s="93"/>
      <c r="Y290" s="93"/>
      <c r="Z290" s="93"/>
    </row>
    <row r="291" ht="14.25" customHeight="1">
      <c r="A291" s="93"/>
      <c r="B291" s="93"/>
      <c r="C291" s="93"/>
      <c r="D291" s="93"/>
      <c r="E291" s="110"/>
      <c r="F291" s="110"/>
      <c r="G291" s="93"/>
      <c r="H291" s="93"/>
      <c r="I291" s="93"/>
      <c r="J291" s="93"/>
      <c r="K291" s="93"/>
      <c r="L291" s="93"/>
      <c r="M291" s="93"/>
      <c r="N291" s="93"/>
      <c r="O291" s="93"/>
      <c r="P291" s="93"/>
      <c r="Q291" s="93"/>
      <c r="R291" s="93"/>
      <c r="S291" s="93"/>
      <c r="T291" s="93"/>
      <c r="U291" s="93"/>
      <c r="V291" s="93"/>
      <c r="W291" s="93"/>
      <c r="X291" s="93"/>
      <c r="Y291" s="93"/>
      <c r="Z291" s="93"/>
    </row>
    <row r="292" ht="14.25" customHeight="1">
      <c r="A292" s="93"/>
      <c r="B292" s="93"/>
      <c r="C292" s="93"/>
      <c r="D292" s="93"/>
      <c r="E292" s="110"/>
      <c r="F292" s="110"/>
      <c r="G292" s="93"/>
      <c r="H292" s="93"/>
      <c r="I292" s="93"/>
      <c r="J292" s="93"/>
      <c r="K292" s="93"/>
      <c r="L292" s="93"/>
      <c r="M292" s="93"/>
      <c r="N292" s="93"/>
      <c r="O292" s="93"/>
      <c r="P292" s="93"/>
      <c r="Q292" s="93"/>
      <c r="R292" s="93"/>
      <c r="S292" s="93"/>
      <c r="T292" s="93"/>
      <c r="U292" s="93"/>
      <c r="V292" s="93"/>
      <c r="W292" s="93"/>
      <c r="X292" s="93"/>
      <c r="Y292" s="93"/>
      <c r="Z292" s="93"/>
    </row>
    <row r="293" ht="14.25" customHeight="1">
      <c r="A293" s="93"/>
      <c r="B293" s="93"/>
      <c r="C293" s="93"/>
      <c r="D293" s="93"/>
      <c r="E293" s="110"/>
      <c r="F293" s="110"/>
      <c r="G293" s="93"/>
      <c r="H293" s="93"/>
      <c r="I293" s="93"/>
      <c r="J293" s="93"/>
      <c r="K293" s="93"/>
      <c r="L293" s="93"/>
      <c r="M293" s="93"/>
      <c r="N293" s="93"/>
      <c r="O293" s="93"/>
      <c r="P293" s="93"/>
      <c r="Q293" s="93"/>
      <c r="R293" s="93"/>
      <c r="S293" s="93"/>
      <c r="T293" s="93"/>
      <c r="U293" s="93"/>
      <c r="V293" s="93"/>
      <c r="W293" s="93"/>
      <c r="X293" s="93"/>
      <c r="Y293" s="93"/>
      <c r="Z293" s="93"/>
    </row>
    <row r="294" ht="14.25" customHeight="1">
      <c r="A294" s="93"/>
      <c r="B294" s="93"/>
      <c r="C294" s="93"/>
      <c r="D294" s="93"/>
      <c r="E294" s="110"/>
      <c r="F294" s="110"/>
      <c r="G294" s="93"/>
      <c r="H294" s="93"/>
      <c r="I294" s="93"/>
      <c r="J294" s="93"/>
      <c r="K294" s="93"/>
      <c r="L294" s="93"/>
      <c r="M294" s="93"/>
      <c r="N294" s="93"/>
      <c r="O294" s="93"/>
      <c r="P294" s="93"/>
      <c r="Q294" s="93"/>
      <c r="R294" s="93"/>
      <c r="S294" s="93"/>
      <c r="T294" s="93"/>
      <c r="U294" s="93"/>
      <c r="V294" s="93"/>
      <c r="W294" s="93"/>
      <c r="X294" s="93"/>
      <c r="Y294" s="93"/>
      <c r="Z294" s="93"/>
    </row>
    <row r="295" ht="14.25" customHeight="1">
      <c r="A295" s="93"/>
      <c r="B295" s="93"/>
      <c r="C295" s="93"/>
      <c r="D295" s="93"/>
      <c r="E295" s="110"/>
      <c r="F295" s="110"/>
      <c r="G295" s="93"/>
      <c r="H295" s="93"/>
      <c r="I295" s="93"/>
      <c r="J295" s="93"/>
      <c r="K295" s="93"/>
      <c r="L295" s="93"/>
      <c r="M295" s="93"/>
      <c r="N295" s="93"/>
      <c r="O295" s="93"/>
      <c r="P295" s="93"/>
      <c r="Q295" s="93"/>
      <c r="R295" s="93"/>
      <c r="S295" s="93"/>
      <c r="T295" s="93"/>
      <c r="U295" s="93"/>
      <c r="V295" s="93"/>
      <c r="W295" s="93"/>
      <c r="X295" s="93"/>
      <c r="Y295" s="93"/>
      <c r="Z295" s="93"/>
    </row>
    <row r="296" ht="14.25" customHeight="1">
      <c r="A296" s="93"/>
      <c r="B296" s="93"/>
      <c r="C296" s="93"/>
      <c r="D296" s="93"/>
      <c r="E296" s="110"/>
      <c r="F296" s="110"/>
      <c r="G296" s="93"/>
      <c r="H296" s="93"/>
      <c r="I296" s="93"/>
      <c r="J296" s="93"/>
      <c r="K296" s="93"/>
      <c r="L296" s="93"/>
      <c r="M296" s="93"/>
      <c r="N296" s="93"/>
      <c r="O296" s="93"/>
      <c r="P296" s="93"/>
      <c r="Q296" s="93"/>
      <c r="R296" s="93"/>
      <c r="S296" s="93"/>
      <c r="T296" s="93"/>
      <c r="U296" s="93"/>
      <c r="V296" s="93"/>
      <c r="W296" s="93"/>
      <c r="X296" s="93"/>
      <c r="Y296" s="93"/>
      <c r="Z296" s="93"/>
    </row>
    <row r="297" ht="14.25" customHeight="1">
      <c r="A297" s="93"/>
      <c r="B297" s="93"/>
      <c r="C297" s="93"/>
      <c r="D297" s="93"/>
      <c r="E297" s="110"/>
      <c r="F297" s="110"/>
      <c r="G297" s="93"/>
      <c r="H297" s="93"/>
      <c r="I297" s="93"/>
      <c r="J297" s="93"/>
      <c r="K297" s="93"/>
      <c r="L297" s="93"/>
      <c r="M297" s="93"/>
      <c r="N297" s="93"/>
      <c r="O297" s="93"/>
      <c r="P297" s="93"/>
      <c r="Q297" s="93"/>
      <c r="R297" s="93"/>
      <c r="S297" s="93"/>
      <c r="T297" s="93"/>
      <c r="U297" s="93"/>
      <c r="V297" s="93"/>
      <c r="W297" s="93"/>
      <c r="X297" s="93"/>
      <c r="Y297" s="93"/>
      <c r="Z297" s="93"/>
    </row>
    <row r="298" ht="14.25" customHeight="1">
      <c r="A298" s="93"/>
      <c r="B298" s="93"/>
      <c r="C298" s="93"/>
      <c r="D298" s="93"/>
      <c r="E298" s="110"/>
      <c r="F298" s="110"/>
      <c r="G298" s="93"/>
      <c r="H298" s="93"/>
      <c r="I298" s="93"/>
      <c r="J298" s="93"/>
      <c r="K298" s="93"/>
      <c r="L298" s="93"/>
      <c r="M298" s="93"/>
      <c r="N298" s="93"/>
      <c r="O298" s="93"/>
      <c r="P298" s="93"/>
      <c r="Q298" s="93"/>
      <c r="R298" s="93"/>
      <c r="S298" s="93"/>
      <c r="T298" s="93"/>
      <c r="U298" s="93"/>
      <c r="V298" s="93"/>
      <c r="W298" s="93"/>
      <c r="X298" s="93"/>
      <c r="Y298" s="93"/>
      <c r="Z298" s="93"/>
    </row>
    <row r="299" ht="14.25" customHeight="1">
      <c r="A299" s="93"/>
      <c r="B299" s="93"/>
      <c r="C299" s="93"/>
      <c r="D299" s="93"/>
      <c r="E299" s="110"/>
      <c r="F299" s="110"/>
      <c r="G299" s="93"/>
      <c r="H299" s="93"/>
      <c r="I299" s="93"/>
      <c r="J299" s="93"/>
      <c r="K299" s="93"/>
      <c r="L299" s="93"/>
      <c r="M299" s="93"/>
      <c r="N299" s="93"/>
      <c r="O299" s="93"/>
      <c r="P299" s="93"/>
      <c r="Q299" s="93"/>
      <c r="R299" s="93"/>
      <c r="S299" s="93"/>
      <c r="T299" s="93"/>
      <c r="U299" s="93"/>
      <c r="V299" s="93"/>
      <c r="W299" s="93"/>
      <c r="X299" s="93"/>
      <c r="Y299" s="93"/>
      <c r="Z299" s="93"/>
    </row>
    <row r="300" ht="14.25" customHeight="1">
      <c r="A300" s="93"/>
      <c r="B300" s="93"/>
      <c r="C300" s="93"/>
      <c r="D300" s="93"/>
      <c r="E300" s="110"/>
      <c r="F300" s="110"/>
      <c r="G300" s="93"/>
      <c r="H300" s="93"/>
      <c r="I300" s="93"/>
      <c r="J300" s="93"/>
      <c r="K300" s="93"/>
      <c r="L300" s="93"/>
      <c r="M300" s="93"/>
      <c r="N300" s="93"/>
      <c r="O300" s="93"/>
      <c r="P300" s="93"/>
      <c r="Q300" s="93"/>
      <c r="R300" s="93"/>
      <c r="S300" s="93"/>
      <c r="T300" s="93"/>
      <c r="U300" s="93"/>
      <c r="V300" s="93"/>
      <c r="W300" s="93"/>
      <c r="X300" s="93"/>
      <c r="Y300" s="93"/>
      <c r="Z300" s="93"/>
    </row>
    <row r="301" ht="14.25" customHeight="1">
      <c r="A301" s="93"/>
      <c r="B301" s="93"/>
      <c r="C301" s="93"/>
      <c r="D301" s="93"/>
      <c r="E301" s="110"/>
      <c r="F301" s="110"/>
      <c r="G301" s="93"/>
      <c r="H301" s="93"/>
      <c r="I301" s="93"/>
      <c r="J301" s="93"/>
      <c r="K301" s="93"/>
      <c r="L301" s="93"/>
      <c r="M301" s="93"/>
      <c r="N301" s="93"/>
      <c r="O301" s="93"/>
      <c r="P301" s="93"/>
      <c r="Q301" s="93"/>
      <c r="R301" s="93"/>
      <c r="S301" s="93"/>
      <c r="T301" s="93"/>
      <c r="U301" s="93"/>
      <c r="V301" s="93"/>
      <c r="W301" s="93"/>
      <c r="X301" s="93"/>
      <c r="Y301" s="93"/>
      <c r="Z301" s="93"/>
    </row>
    <row r="302" ht="14.25" customHeight="1">
      <c r="A302" s="93"/>
      <c r="B302" s="93"/>
      <c r="C302" s="93"/>
      <c r="D302" s="93"/>
      <c r="E302" s="110"/>
      <c r="F302" s="110"/>
      <c r="G302" s="93"/>
      <c r="H302" s="93"/>
      <c r="I302" s="93"/>
      <c r="J302" s="93"/>
      <c r="K302" s="93"/>
      <c r="L302" s="93"/>
      <c r="M302" s="93"/>
      <c r="N302" s="93"/>
      <c r="O302" s="93"/>
      <c r="P302" s="93"/>
      <c r="Q302" s="93"/>
      <c r="R302" s="93"/>
      <c r="S302" s="93"/>
      <c r="T302" s="93"/>
      <c r="U302" s="93"/>
      <c r="V302" s="93"/>
      <c r="W302" s="93"/>
      <c r="X302" s="93"/>
      <c r="Y302" s="93"/>
      <c r="Z302" s="93"/>
    </row>
    <row r="303" ht="14.25" customHeight="1">
      <c r="A303" s="93"/>
      <c r="B303" s="93"/>
      <c r="C303" s="93"/>
      <c r="D303" s="93"/>
      <c r="E303" s="110"/>
      <c r="F303" s="110"/>
      <c r="G303" s="93"/>
      <c r="H303" s="93"/>
      <c r="I303" s="93"/>
      <c r="J303" s="93"/>
      <c r="K303" s="93"/>
      <c r="L303" s="93"/>
      <c r="M303" s="93"/>
      <c r="N303" s="93"/>
      <c r="O303" s="93"/>
      <c r="P303" s="93"/>
      <c r="Q303" s="93"/>
      <c r="R303" s="93"/>
      <c r="S303" s="93"/>
      <c r="T303" s="93"/>
      <c r="U303" s="93"/>
      <c r="V303" s="93"/>
      <c r="W303" s="93"/>
      <c r="X303" s="93"/>
      <c r="Y303" s="93"/>
      <c r="Z303" s="93"/>
    </row>
    <row r="304" ht="14.25" customHeight="1">
      <c r="A304" s="93"/>
      <c r="B304" s="93"/>
      <c r="C304" s="93"/>
      <c r="D304" s="93"/>
      <c r="E304" s="110"/>
      <c r="F304" s="110"/>
      <c r="G304" s="93"/>
      <c r="H304" s="93"/>
      <c r="I304" s="93"/>
      <c r="J304" s="93"/>
      <c r="K304" s="93"/>
      <c r="L304" s="93"/>
      <c r="M304" s="93"/>
      <c r="N304" s="93"/>
      <c r="O304" s="93"/>
      <c r="P304" s="93"/>
      <c r="Q304" s="93"/>
      <c r="R304" s="93"/>
      <c r="S304" s="93"/>
      <c r="T304" s="93"/>
      <c r="U304" s="93"/>
      <c r="V304" s="93"/>
      <c r="W304" s="93"/>
      <c r="X304" s="93"/>
      <c r="Y304" s="93"/>
      <c r="Z304" s="93"/>
    </row>
    <row r="305" ht="14.25" customHeight="1">
      <c r="A305" s="93"/>
      <c r="B305" s="93"/>
      <c r="C305" s="93"/>
      <c r="D305" s="93"/>
      <c r="E305" s="110"/>
      <c r="F305" s="110"/>
      <c r="G305" s="93"/>
      <c r="H305" s="93"/>
      <c r="I305" s="93"/>
      <c r="J305" s="93"/>
      <c r="K305" s="93"/>
      <c r="L305" s="93"/>
      <c r="M305" s="93"/>
      <c r="N305" s="93"/>
      <c r="O305" s="93"/>
      <c r="P305" s="93"/>
      <c r="Q305" s="93"/>
      <c r="R305" s="93"/>
      <c r="S305" s="93"/>
      <c r="T305" s="93"/>
      <c r="U305" s="93"/>
      <c r="V305" s="93"/>
      <c r="W305" s="93"/>
      <c r="X305" s="93"/>
      <c r="Y305" s="93"/>
      <c r="Z305" s="93"/>
    </row>
    <row r="306" ht="14.25" customHeight="1">
      <c r="A306" s="93"/>
      <c r="B306" s="93"/>
      <c r="C306" s="93"/>
      <c r="D306" s="93"/>
      <c r="E306" s="110"/>
      <c r="F306" s="110"/>
      <c r="G306" s="93"/>
      <c r="H306" s="93"/>
      <c r="I306" s="93"/>
      <c r="J306" s="93"/>
      <c r="K306" s="93"/>
      <c r="L306" s="93"/>
      <c r="M306" s="93"/>
      <c r="N306" s="93"/>
      <c r="O306" s="93"/>
      <c r="P306" s="93"/>
      <c r="Q306" s="93"/>
      <c r="R306" s="93"/>
      <c r="S306" s="93"/>
      <c r="T306" s="93"/>
      <c r="U306" s="93"/>
      <c r="V306" s="93"/>
      <c r="W306" s="93"/>
      <c r="X306" s="93"/>
      <c r="Y306" s="93"/>
      <c r="Z306" s="93"/>
    </row>
    <row r="307" ht="14.25" customHeight="1">
      <c r="A307" s="93"/>
      <c r="B307" s="93"/>
      <c r="C307" s="93"/>
      <c r="D307" s="93"/>
      <c r="E307" s="110"/>
      <c r="F307" s="110"/>
      <c r="G307" s="93"/>
      <c r="H307" s="93"/>
      <c r="I307" s="93"/>
      <c r="J307" s="93"/>
      <c r="K307" s="93"/>
      <c r="L307" s="93"/>
      <c r="M307" s="93"/>
      <c r="N307" s="93"/>
      <c r="O307" s="93"/>
      <c r="P307" s="93"/>
      <c r="Q307" s="93"/>
      <c r="R307" s="93"/>
      <c r="S307" s="93"/>
      <c r="T307" s="93"/>
      <c r="U307" s="93"/>
      <c r="V307" s="93"/>
      <c r="W307" s="93"/>
      <c r="X307" s="93"/>
      <c r="Y307" s="93"/>
      <c r="Z307" s="93"/>
    </row>
    <row r="308" ht="14.25" customHeight="1">
      <c r="A308" s="93"/>
      <c r="B308" s="93"/>
      <c r="C308" s="93"/>
      <c r="D308" s="93"/>
      <c r="E308" s="110"/>
      <c r="F308" s="110"/>
      <c r="G308" s="93"/>
      <c r="H308" s="93"/>
      <c r="I308" s="93"/>
      <c r="J308" s="93"/>
      <c r="K308" s="93"/>
      <c r="L308" s="93"/>
      <c r="M308" s="93"/>
      <c r="N308" s="93"/>
      <c r="O308" s="93"/>
      <c r="P308" s="93"/>
      <c r="Q308" s="93"/>
      <c r="R308" s="93"/>
      <c r="S308" s="93"/>
      <c r="T308" s="93"/>
      <c r="U308" s="93"/>
      <c r="V308" s="93"/>
      <c r="W308" s="93"/>
      <c r="X308" s="93"/>
      <c r="Y308" s="93"/>
      <c r="Z308" s="93"/>
    </row>
    <row r="309" ht="14.25" customHeight="1">
      <c r="A309" s="93"/>
      <c r="B309" s="93"/>
      <c r="C309" s="93"/>
      <c r="D309" s="93"/>
      <c r="E309" s="110"/>
      <c r="F309" s="110"/>
      <c r="G309" s="93"/>
      <c r="H309" s="93"/>
      <c r="I309" s="93"/>
      <c r="J309" s="93"/>
      <c r="K309" s="93"/>
      <c r="L309" s="93"/>
      <c r="M309" s="93"/>
      <c r="N309" s="93"/>
      <c r="O309" s="93"/>
      <c r="P309" s="93"/>
      <c r="Q309" s="93"/>
      <c r="R309" s="93"/>
      <c r="S309" s="93"/>
      <c r="T309" s="93"/>
      <c r="U309" s="93"/>
      <c r="V309" s="93"/>
      <c r="W309" s="93"/>
      <c r="X309" s="93"/>
      <c r="Y309" s="93"/>
      <c r="Z309" s="93"/>
    </row>
    <row r="310" ht="14.25" customHeight="1">
      <c r="A310" s="93"/>
      <c r="B310" s="93"/>
      <c r="C310" s="93"/>
      <c r="D310" s="93"/>
      <c r="E310" s="110"/>
      <c r="F310" s="110"/>
      <c r="G310" s="93"/>
      <c r="H310" s="93"/>
      <c r="I310" s="93"/>
      <c r="J310" s="93"/>
      <c r="K310" s="93"/>
      <c r="L310" s="93"/>
      <c r="M310" s="93"/>
      <c r="N310" s="93"/>
      <c r="O310" s="93"/>
      <c r="P310" s="93"/>
      <c r="Q310" s="93"/>
      <c r="R310" s="93"/>
      <c r="S310" s="93"/>
      <c r="T310" s="93"/>
      <c r="U310" s="93"/>
      <c r="V310" s="93"/>
      <c r="W310" s="93"/>
      <c r="X310" s="93"/>
      <c r="Y310" s="93"/>
      <c r="Z310" s="93"/>
    </row>
    <row r="311" ht="14.25" customHeight="1">
      <c r="A311" s="93"/>
      <c r="B311" s="93"/>
      <c r="C311" s="93"/>
      <c r="D311" s="93"/>
      <c r="E311" s="110"/>
      <c r="F311" s="110"/>
      <c r="G311" s="93"/>
      <c r="H311" s="93"/>
      <c r="I311" s="93"/>
      <c r="J311" s="93"/>
      <c r="K311" s="93"/>
      <c r="L311" s="93"/>
      <c r="M311" s="93"/>
      <c r="N311" s="93"/>
      <c r="O311" s="93"/>
      <c r="P311" s="93"/>
      <c r="Q311" s="93"/>
      <c r="R311" s="93"/>
      <c r="S311" s="93"/>
      <c r="T311" s="93"/>
      <c r="U311" s="93"/>
      <c r="V311" s="93"/>
      <c r="W311" s="93"/>
      <c r="X311" s="93"/>
      <c r="Y311" s="93"/>
      <c r="Z311" s="93"/>
    </row>
    <row r="312" ht="14.25" customHeight="1">
      <c r="A312" s="93"/>
      <c r="B312" s="93"/>
      <c r="C312" s="93"/>
      <c r="D312" s="93"/>
      <c r="E312" s="110"/>
      <c r="F312" s="110"/>
      <c r="G312" s="93"/>
      <c r="H312" s="93"/>
      <c r="I312" s="93"/>
      <c r="J312" s="93"/>
      <c r="K312" s="93"/>
      <c r="L312" s="93"/>
      <c r="M312" s="93"/>
      <c r="N312" s="93"/>
      <c r="O312" s="93"/>
      <c r="P312" s="93"/>
      <c r="Q312" s="93"/>
      <c r="R312" s="93"/>
      <c r="S312" s="93"/>
      <c r="T312" s="93"/>
      <c r="U312" s="93"/>
      <c r="V312" s="93"/>
      <c r="W312" s="93"/>
      <c r="X312" s="93"/>
      <c r="Y312" s="93"/>
      <c r="Z312" s="93"/>
    </row>
    <row r="313" ht="14.25" customHeight="1">
      <c r="A313" s="93"/>
      <c r="B313" s="93"/>
      <c r="C313" s="93"/>
      <c r="D313" s="93"/>
      <c r="E313" s="110"/>
      <c r="F313" s="110"/>
      <c r="G313" s="93"/>
      <c r="H313" s="93"/>
      <c r="I313" s="93"/>
      <c r="J313" s="93"/>
      <c r="K313" s="93"/>
      <c r="L313" s="93"/>
      <c r="M313" s="93"/>
      <c r="N313" s="93"/>
      <c r="O313" s="93"/>
      <c r="P313" s="93"/>
      <c r="Q313" s="93"/>
      <c r="R313" s="93"/>
      <c r="S313" s="93"/>
      <c r="T313" s="93"/>
      <c r="U313" s="93"/>
      <c r="V313" s="93"/>
      <c r="W313" s="93"/>
      <c r="X313" s="93"/>
      <c r="Y313" s="93"/>
      <c r="Z313" s="93"/>
    </row>
    <row r="314" ht="14.25" customHeight="1">
      <c r="A314" s="93"/>
      <c r="B314" s="93"/>
      <c r="C314" s="93"/>
      <c r="D314" s="93"/>
      <c r="E314" s="110"/>
      <c r="F314" s="110"/>
      <c r="G314" s="93"/>
      <c r="H314" s="93"/>
      <c r="I314" s="93"/>
      <c r="J314" s="93"/>
      <c r="K314" s="93"/>
      <c r="L314" s="93"/>
      <c r="M314" s="93"/>
      <c r="N314" s="93"/>
      <c r="O314" s="93"/>
      <c r="P314" s="93"/>
      <c r="Q314" s="93"/>
      <c r="R314" s="93"/>
      <c r="S314" s="93"/>
      <c r="T314" s="93"/>
      <c r="U314" s="93"/>
      <c r="V314" s="93"/>
      <c r="W314" s="93"/>
      <c r="X314" s="93"/>
      <c r="Y314" s="93"/>
      <c r="Z314" s="93"/>
    </row>
    <row r="315" ht="14.25" customHeight="1">
      <c r="A315" s="93"/>
      <c r="B315" s="93"/>
      <c r="C315" s="93"/>
      <c r="D315" s="93"/>
      <c r="E315" s="110"/>
      <c r="F315" s="110"/>
      <c r="G315" s="93"/>
      <c r="H315" s="93"/>
      <c r="I315" s="93"/>
      <c r="J315" s="93"/>
      <c r="K315" s="93"/>
      <c r="L315" s="93"/>
      <c r="M315" s="93"/>
      <c r="N315" s="93"/>
      <c r="O315" s="93"/>
      <c r="P315" s="93"/>
      <c r="Q315" s="93"/>
      <c r="R315" s="93"/>
      <c r="S315" s="93"/>
      <c r="T315" s="93"/>
      <c r="U315" s="93"/>
      <c r="V315" s="93"/>
      <c r="W315" s="93"/>
      <c r="X315" s="93"/>
      <c r="Y315" s="93"/>
      <c r="Z315" s="93"/>
    </row>
    <row r="316" ht="14.25" customHeight="1">
      <c r="A316" s="93"/>
      <c r="B316" s="93"/>
      <c r="C316" s="93"/>
      <c r="D316" s="93"/>
      <c r="E316" s="110"/>
      <c r="F316" s="110"/>
      <c r="G316" s="93"/>
      <c r="H316" s="93"/>
      <c r="I316" s="93"/>
      <c r="J316" s="93"/>
      <c r="K316" s="93"/>
      <c r="L316" s="93"/>
      <c r="M316" s="93"/>
      <c r="N316" s="93"/>
      <c r="O316" s="93"/>
      <c r="P316" s="93"/>
      <c r="Q316" s="93"/>
      <c r="R316" s="93"/>
      <c r="S316" s="93"/>
      <c r="T316" s="93"/>
      <c r="U316" s="93"/>
      <c r="V316" s="93"/>
      <c r="W316" s="93"/>
      <c r="X316" s="93"/>
      <c r="Y316" s="93"/>
      <c r="Z316" s="93"/>
    </row>
    <row r="317" ht="14.25" customHeight="1">
      <c r="A317" s="93"/>
      <c r="B317" s="93"/>
      <c r="C317" s="93"/>
      <c r="D317" s="93"/>
      <c r="E317" s="110"/>
      <c r="F317" s="110"/>
      <c r="G317" s="93"/>
      <c r="H317" s="93"/>
      <c r="I317" s="93"/>
      <c r="J317" s="93"/>
      <c r="K317" s="93"/>
      <c r="L317" s="93"/>
      <c r="M317" s="93"/>
      <c r="N317" s="93"/>
      <c r="O317" s="93"/>
      <c r="P317" s="93"/>
      <c r="Q317" s="93"/>
      <c r="R317" s="93"/>
      <c r="S317" s="93"/>
      <c r="T317" s="93"/>
      <c r="U317" s="93"/>
      <c r="V317" s="93"/>
      <c r="W317" s="93"/>
      <c r="X317" s="93"/>
      <c r="Y317" s="93"/>
      <c r="Z317" s="93"/>
    </row>
    <row r="318" ht="14.25" customHeight="1">
      <c r="A318" s="93"/>
      <c r="B318" s="93"/>
      <c r="C318" s="93"/>
      <c r="D318" s="93"/>
      <c r="E318" s="110"/>
      <c r="F318" s="110"/>
      <c r="G318" s="93"/>
      <c r="H318" s="93"/>
      <c r="I318" s="93"/>
      <c r="J318" s="93"/>
      <c r="K318" s="93"/>
      <c r="L318" s="93"/>
      <c r="M318" s="93"/>
      <c r="N318" s="93"/>
      <c r="O318" s="93"/>
      <c r="P318" s="93"/>
      <c r="Q318" s="93"/>
      <c r="R318" s="93"/>
      <c r="S318" s="93"/>
      <c r="T318" s="93"/>
      <c r="U318" s="93"/>
      <c r="V318" s="93"/>
      <c r="W318" s="93"/>
      <c r="X318" s="93"/>
      <c r="Y318" s="93"/>
      <c r="Z318" s="93"/>
    </row>
    <row r="319" ht="14.25" customHeight="1">
      <c r="A319" s="93"/>
      <c r="B319" s="93"/>
      <c r="C319" s="93"/>
      <c r="D319" s="93"/>
      <c r="E319" s="110"/>
      <c r="F319" s="110"/>
      <c r="G319" s="93"/>
      <c r="H319" s="93"/>
      <c r="I319" s="93"/>
      <c r="J319" s="93"/>
      <c r="K319" s="93"/>
      <c r="L319" s="93"/>
      <c r="M319" s="93"/>
      <c r="N319" s="93"/>
      <c r="O319" s="93"/>
      <c r="P319" s="93"/>
      <c r="Q319" s="93"/>
      <c r="R319" s="93"/>
      <c r="S319" s="93"/>
      <c r="T319" s="93"/>
      <c r="U319" s="93"/>
      <c r="V319" s="93"/>
      <c r="W319" s="93"/>
      <c r="X319" s="93"/>
      <c r="Y319" s="93"/>
      <c r="Z319" s="93"/>
    </row>
    <row r="320" ht="14.25" customHeight="1">
      <c r="A320" s="93"/>
      <c r="B320" s="93"/>
      <c r="C320" s="93"/>
      <c r="D320" s="93"/>
      <c r="E320" s="110"/>
      <c r="F320" s="110"/>
      <c r="G320" s="93"/>
      <c r="H320" s="93"/>
      <c r="I320" s="93"/>
      <c r="J320" s="93"/>
      <c r="K320" s="93"/>
      <c r="L320" s="93"/>
      <c r="M320" s="93"/>
      <c r="N320" s="93"/>
      <c r="O320" s="93"/>
      <c r="P320" s="93"/>
      <c r="Q320" s="93"/>
      <c r="R320" s="93"/>
      <c r="S320" s="93"/>
      <c r="T320" s="93"/>
      <c r="U320" s="93"/>
      <c r="V320" s="93"/>
      <c r="W320" s="93"/>
      <c r="X320" s="93"/>
      <c r="Y320" s="93"/>
      <c r="Z320" s="93"/>
    </row>
    <row r="321" ht="14.25" customHeight="1">
      <c r="A321" s="93"/>
      <c r="B321" s="93"/>
      <c r="C321" s="93"/>
      <c r="D321" s="93"/>
      <c r="E321" s="110"/>
      <c r="F321" s="110"/>
      <c r="G321" s="93"/>
      <c r="H321" s="93"/>
      <c r="I321" s="93"/>
      <c r="J321" s="93"/>
      <c r="K321" s="93"/>
      <c r="L321" s="93"/>
      <c r="M321" s="93"/>
      <c r="N321" s="93"/>
      <c r="O321" s="93"/>
      <c r="P321" s="93"/>
      <c r="Q321" s="93"/>
      <c r="R321" s="93"/>
      <c r="S321" s="93"/>
      <c r="T321" s="93"/>
      <c r="U321" s="93"/>
      <c r="V321" s="93"/>
      <c r="W321" s="93"/>
      <c r="X321" s="93"/>
      <c r="Y321" s="93"/>
      <c r="Z321" s="93"/>
    </row>
    <row r="322" ht="14.25" customHeight="1">
      <c r="A322" s="93"/>
      <c r="B322" s="93"/>
      <c r="C322" s="93"/>
      <c r="D322" s="93"/>
      <c r="E322" s="110"/>
      <c r="F322" s="110"/>
      <c r="G322" s="93"/>
      <c r="H322" s="93"/>
      <c r="I322" s="93"/>
      <c r="J322" s="93"/>
      <c r="K322" s="93"/>
      <c r="L322" s="93"/>
      <c r="M322" s="93"/>
      <c r="N322" s="93"/>
      <c r="O322" s="93"/>
      <c r="P322" s="93"/>
      <c r="Q322" s="93"/>
      <c r="R322" s="93"/>
      <c r="S322" s="93"/>
      <c r="T322" s="93"/>
      <c r="U322" s="93"/>
      <c r="V322" s="93"/>
      <c r="W322" s="93"/>
      <c r="X322" s="93"/>
      <c r="Y322" s="93"/>
      <c r="Z322" s="93"/>
    </row>
    <row r="323" ht="14.25" customHeight="1">
      <c r="A323" s="93"/>
      <c r="B323" s="93"/>
      <c r="C323" s="93"/>
      <c r="D323" s="93"/>
      <c r="E323" s="110"/>
      <c r="F323" s="110"/>
      <c r="G323" s="93"/>
      <c r="H323" s="93"/>
      <c r="I323" s="93"/>
      <c r="J323" s="93"/>
      <c r="K323" s="93"/>
      <c r="L323" s="93"/>
      <c r="M323" s="93"/>
      <c r="N323" s="93"/>
      <c r="O323" s="93"/>
      <c r="P323" s="93"/>
      <c r="Q323" s="93"/>
      <c r="R323" s="93"/>
      <c r="S323" s="93"/>
      <c r="T323" s="93"/>
      <c r="U323" s="93"/>
      <c r="V323" s="93"/>
      <c r="W323" s="93"/>
      <c r="X323" s="93"/>
      <c r="Y323" s="93"/>
      <c r="Z323" s="93"/>
    </row>
    <row r="324" ht="14.25" customHeight="1">
      <c r="A324" s="93"/>
      <c r="B324" s="93"/>
      <c r="C324" s="93"/>
      <c r="D324" s="93"/>
      <c r="E324" s="110"/>
      <c r="F324" s="110"/>
      <c r="G324" s="93"/>
      <c r="H324" s="93"/>
      <c r="I324" s="93"/>
      <c r="J324" s="93"/>
      <c r="K324" s="93"/>
      <c r="L324" s="93"/>
      <c r="M324" s="93"/>
      <c r="N324" s="93"/>
      <c r="O324" s="93"/>
      <c r="P324" s="93"/>
      <c r="Q324" s="93"/>
      <c r="R324" s="93"/>
      <c r="S324" s="93"/>
      <c r="T324" s="93"/>
      <c r="U324" s="93"/>
      <c r="V324" s="93"/>
      <c r="W324" s="93"/>
      <c r="X324" s="93"/>
      <c r="Y324" s="93"/>
      <c r="Z324" s="93"/>
    </row>
    <row r="325" ht="14.25" customHeight="1">
      <c r="A325" s="93"/>
      <c r="B325" s="93"/>
      <c r="C325" s="93"/>
      <c r="D325" s="93"/>
      <c r="E325" s="110"/>
      <c r="F325" s="110"/>
      <c r="G325" s="93"/>
      <c r="H325" s="93"/>
      <c r="I325" s="93"/>
      <c r="J325" s="93"/>
      <c r="K325" s="93"/>
      <c r="L325" s="93"/>
      <c r="M325" s="93"/>
      <c r="N325" s="93"/>
      <c r="O325" s="93"/>
      <c r="P325" s="93"/>
      <c r="Q325" s="93"/>
      <c r="R325" s="93"/>
      <c r="S325" s="93"/>
      <c r="T325" s="93"/>
      <c r="U325" s="93"/>
      <c r="V325" s="93"/>
      <c r="W325" s="93"/>
      <c r="X325" s="93"/>
      <c r="Y325" s="93"/>
      <c r="Z325" s="93"/>
    </row>
    <row r="326" ht="14.25" customHeight="1">
      <c r="A326" s="93"/>
      <c r="B326" s="93"/>
      <c r="C326" s="93"/>
      <c r="D326" s="93"/>
      <c r="E326" s="110"/>
      <c r="F326" s="110"/>
      <c r="G326" s="93"/>
      <c r="H326" s="93"/>
      <c r="I326" s="93"/>
      <c r="J326" s="93"/>
      <c r="K326" s="93"/>
      <c r="L326" s="93"/>
      <c r="M326" s="93"/>
      <c r="N326" s="93"/>
      <c r="O326" s="93"/>
      <c r="P326" s="93"/>
      <c r="Q326" s="93"/>
      <c r="R326" s="93"/>
      <c r="S326" s="93"/>
      <c r="T326" s="93"/>
      <c r="U326" s="93"/>
      <c r="V326" s="93"/>
      <c r="W326" s="93"/>
      <c r="X326" s="93"/>
      <c r="Y326" s="93"/>
      <c r="Z326" s="93"/>
    </row>
    <row r="327" ht="14.25" customHeight="1">
      <c r="A327" s="93"/>
      <c r="B327" s="93"/>
      <c r="C327" s="93"/>
      <c r="D327" s="93"/>
      <c r="E327" s="110"/>
      <c r="F327" s="110"/>
      <c r="G327" s="93"/>
      <c r="H327" s="93"/>
      <c r="I327" s="93"/>
      <c r="J327" s="93"/>
      <c r="K327" s="93"/>
      <c r="L327" s="93"/>
      <c r="M327" s="93"/>
      <c r="N327" s="93"/>
      <c r="O327" s="93"/>
      <c r="P327" s="93"/>
      <c r="Q327" s="93"/>
      <c r="R327" s="93"/>
      <c r="S327" s="93"/>
      <c r="T327" s="93"/>
      <c r="U327" s="93"/>
      <c r="V327" s="93"/>
      <c r="W327" s="93"/>
      <c r="X327" s="93"/>
      <c r="Y327" s="93"/>
      <c r="Z327" s="93"/>
    </row>
    <row r="328" ht="14.25" customHeight="1">
      <c r="A328" s="93"/>
      <c r="B328" s="93"/>
      <c r="C328" s="93"/>
      <c r="D328" s="93"/>
      <c r="E328" s="110"/>
      <c r="F328" s="110"/>
      <c r="G328" s="93"/>
      <c r="H328" s="93"/>
      <c r="I328" s="93"/>
      <c r="J328" s="93"/>
      <c r="K328" s="93"/>
      <c r="L328" s="93"/>
      <c r="M328" s="93"/>
      <c r="N328" s="93"/>
      <c r="O328" s="93"/>
      <c r="P328" s="93"/>
      <c r="Q328" s="93"/>
      <c r="R328" s="93"/>
      <c r="S328" s="93"/>
      <c r="T328" s="93"/>
      <c r="U328" s="93"/>
      <c r="V328" s="93"/>
      <c r="W328" s="93"/>
      <c r="X328" s="93"/>
      <c r="Y328" s="93"/>
      <c r="Z328" s="93"/>
    </row>
    <row r="329" ht="14.25" customHeight="1">
      <c r="A329" s="93"/>
      <c r="B329" s="93"/>
      <c r="C329" s="93"/>
      <c r="D329" s="93"/>
      <c r="E329" s="110"/>
      <c r="F329" s="110"/>
      <c r="G329" s="93"/>
      <c r="H329" s="93"/>
      <c r="I329" s="93"/>
      <c r="J329" s="93"/>
      <c r="K329" s="93"/>
      <c r="L329" s="93"/>
      <c r="M329" s="93"/>
      <c r="N329" s="93"/>
      <c r="O329" s="93"/>
      <c r="P329" s="93"/>
      <c r="Q329" s="93"/>
      <c r="R329" s="93"/>
      <c r="S329" s="93"/>
      <c r="T329" s="93"/>
      <c r="U329" s="93"/>
      <c r="V329" s="93"/>
      <c r="W329" s="93"/>
      <c r="X329" s="93"/>
      <c r="Y329" s="93"/>
      <c r="Z329" s="93"/>
    </row>
    <row r="330" ht="14.25" customHeight="1">
      <c r="A330" s="93"/>
      <c r="B330" s="93"/>
      <c r="C330" s="93"/>
      <c r="D330" s="93"/>
      <c r="E330" s="110"/>
      <c r="F330" s="110"/>
      <c r="G330" s="93"/>
      <c r="H330" s="93"/>
      <c r="I330" s="93"/>
      <c r="J330" s="93"/>
      <c r="K330" s="93"/>
      <c r="L330" s="93"/>
      <c r="M330" s="93"/>
      <c r="N330" s="93"/>
      <c r="O330" s="93"/>
      <c r="P330" s="93"/>
      <c r="Q330" s="93"/>
      <c r="R330" s="93"/>
      <c r="S330" s="93"/>
      <c r="T330" s="93"/>
      <c r="U330" s="93"/>
      <c r="V330" s="93"/>
      <c r="W330" s="93"/>
      <c r="X330" s="93"/>
      <c r="Y330" s="93"/>
      <c r="Z330" s="93"/>
    </row>
    <row r="331" ht="14.25" customHeight="1">
      <c r="A331" s="93"/>
      <c r="B331" s="93"/>
      <c r="C331" s="93"/>
      <c r="D331" s="93"/>
      <c r="E331" s="110"/>
      <c r="F331" s="110"/>
      <c r="G331" s="93"/>
      <c r="H331" s="93"/>
      <c r="I331" s="93"/>
      <c r="J331" s="93"/>
      <c r="K331" s="93"/>
      <c r="L331" s="93"/>
      <c r="M331" s="93"/>
      <c r="N331" s="93"/>
      <c r="O331" s="93"/>
      <c r="P331" s="93"/>
      <c r="Q331" s="93"/>
      <c r="R331" s="93"/>
      <c r="S331" s="93"/>
      <c r="T331" s="93"/>
      <c r="U331" s="93"/>
      <c r="V331" s="93"/>
      <c r="W331" s="93"/>
      <c r="X331" s="93"/>
      <c r="Y331" s="93"/>
      <c r="Z331" s="93"/>
    </row>
    <row r="332" ht="14.25" customHeight="1">
      <c r="A332" s="93"/>
      <c r="B332" s="93"/>
      <c r="C332" s="93"/>
      <c r="D332" s="93"/>
      <c r="E332" s="110"/>
      <c r="F332" s="110"/>
      <c r="G332" s="93"/>
      <c r="H332" s="93"/>
      <c r="I332" s="93"/>
      <c r="J332" s="93"/>
      <c r="K332" s="93"/>
      <c r="L332" s="93"/>
      <c r="M332" s="93"/>
      <c r="N332" s="93"/>
      <c r="O332" s="93"/>
      <c r="P332" s="93"/>
      <c r="Q332" s="93"/>
      <c r="R332" s="93"/>
      <c r="S332" s="93"/>
      <c r="T332" s="93"/>
      <c r="U332" s="93"/>
      <c r="V332" s="93"/>
      <c r="W332" s="93"/>
      <c r="X332" s="93"/>
      <c r="Y332" s="93"/>
      <c r="Z332" s="93"/>
    </row>
    <row r="333" ht="14.25" customHeight="1">
      <c r="A333" s="93"/>
      <c r="B333" s="93"/>
      <c r="C333" s="93"/>
      <c r="D333" s="93"/>
      <c r="E333" s="110"/>
      <c r="F333" s="110"/>
      <c r="G333" s="93"/>
      <c r="H333" s="93"/>
      <c r="I333" s="93"/>
      <c r="J333" s="93"/>
      <c r="K333" s="93"/>
      <c r="L333" s="93"/>
      <c r="M333" s="93"/>
      <c r="N333" s="93"/>
      <c r="O333" s="93"/>
      <c r="P333" s="93"/>
      <c r="Q333" s="93"/>
      <c r="R333" s="93"/>
      <c r="S333" s="93"/>
      <c r="T333" s="93"/>
      <c r="U333" s="93"/>
      <c r="V333" s="93"/>
      <c r="W333" s="93"/>
      <c r="X333" s="93"/>
      <c r="Y333" s="93"/>
      <c r="Z333" s="93"/>
    </row>
    <row r="334" ht="14.25" customHeight="1">
      <c r="A334" s="93"/>
      <c r="B334" s="93"/>
      <c r="C334" s="93"/>
      <c r="D334" s="93"/>
      <c r="E334" s="110"/>
      <c r="F334" s="110"/>
      <c r="G334" s="93"/>
      <c r="H334" s="93"/>
      <c r="I334" s="93"/>
      <c r="J334" s="93"/>
      <c r="K334" s="93"/>
      <c r="L334" s="93"/>
      <c r="M334" s="93"/>
      <c r="N334" s="93"/>
      <c r="O334" s="93"/>
      <c r="P334" s="93"/>
      <c r="Q334" s="93"/>
      <c r="R334" s="93"/>
      <c r="S334" s="93"/>
      <c r="T334" s="93"/>
      <c r="U334" s="93"/>
      <c r="V334" s="93"/>
      <c r="W334" s="93"/>
      <c r="X334" s="93"/>
      <c r="Y334" s="93"/>
      <c r="Z334" s="93"/>
    </row>
    <row r="335" ht="14.25" customHeight="1">
      <c r="A335" s="93"/>
      <c r="B335" s="93"/>
      <c r="C335" s="93"/>
      <c r="D335" s="93"/>
      <c r="E335" s="110"/>
      <c r="F335" s="110"/>
      <c r="G335" s="93"/>
      <c r="H335" s="93"/>
      <c r="I335" s="93"/>
      <c r="J335" s="93"/>
      <c r="K335" s="93"/>
      <c r="L335" s="93"/>
      <c r="M335" s="93"/>
      <c r="N335" s="93"/>
      <c r="O335" s="93"/>
      <c r="P335" s="93"/>
      <c r="Q335" s="93"/>
      <c r="R335" s="93"/>
      <c r="S335" s="93"/>
      <c r="T335" s="93"/>
      <c r="U335" s="93"/>
      <c r="V335" s="93"/>
      <c r="W335" s="93"/>
      <c r="X335" s="93"/>
      <c r="Y335" s="93"/>
      <c r="Z335" s="93"/>
    </row>
    <row r="336" ht="14.25" customHeight="1">
      <c r="A336" s="93"/>
      <c r="B336" s="93"/>
      <c r="C336" s="93"/>
      <c r="D336" s="93"/>
      <c r="E336" s="110"/>
      <c r="F336" s="110"/>
      <c r="G336" s="93"/>
      <c r="H336" s="93"/>
      <c r="I336" s="93"/>
      <c r="J336" s="93"/>
      <c r="K336" s="93"/>
      <c r="L336" s="93"/>
      <c r="M336" s="93"/>
      <c r="N336" s="93"/>
      <c r="O336" s="93"/>
      <c r="P336" s="93"/>
      <c r="Q336" s="93"/>
      <c r="R336" s="93"/>
      <c r="S336" s="93"/>
      <c r="T336" s="93"/>
      <c r="U336" s="93"/>
      <c r="V336" s="93"/>
      <c r="W336" s="93"/>
      <c r="X336" s="93"/>
      <c r="Y336" s="93"/>
      <c r="Z336" s="93"/>
    </row>
    <row r="337" ht="14.25" customHeight="1">
      <c r="A337" s="93"/>
      <c r="B337" s="93"/>
      <c r="C337" s="93"/>
      <c r="D337" s="93"/>
      <c r="E337" s="110"/>
      <c r="F337" s="110"/>
      <c r="G337" s="93"/>
      <c r="H337" s="93"/>
      <c r="I337" s="93"/>
      <c r="J337" s="93"/>
      <c r="K337" s="93"/>
      <c r="L337" s="93"/>
      <c r="M337" s="93"/>
      <c r="N337" s="93"/>
      <c r="O337" s="93"/>
      <c r="P337" s="93"/>
      <c r="Q337" s="93"/>
      <c r="R337" s="93"/>
      <c r="S337" s="93"/>
      <c r="T337" s="93"/>
      <c r="U337" s="93"/>
      <c r="V337" s="93"/>
      <c r="W337" s="93"/>
      <c r="X337" s="93"/>
      <c r="Y337" s="93"/>
      <c r="Z337" s="93"/>
    </row>
    <row r="338" ht="14.25" customHeight="1">
      <c r="A338" s="93"/>
      <c r="B338" s="93"/>
      <c r="C338" s="93"/>
      <c r="D338" s="93"/>
      <c r="E338" s="110"/>
      <c r="F338" s="110"/>
      <c r="G338" s="93"/>
      <c r="H338" s="93"/>
      <c r="I338" s="93"/>
      <c r="J338" s="93"/>
      <c r="K338" s="93"/>
      <c r="L338" s="93"/>
      <c r="M338" s="93"/>
      <c r="N338" s="93"/>
      <c r="O338" s="93"/>
      <c r="P338" s="93"/>
      <c r="Q338" s="93"/>
      <c r="R338" s="93"/>
      <c r="S338" s="93"/>
      <c r="T338" s="93"/>
      <c r="U338" s="93"/>
      <c r="V338" s="93"/>
      <c r="W338" s="93"/>
      <c r="X338" s="93"/>
      <c r="Y338" s="93"/>
      <c r="Z338" s="93"/>
    </row>
    <row r="339" ht="14.25" customHeight="1">
      <c r="A339" s="93"/>
      <c r="B339" s="93"/>
      <c r="C339" s="93"/>
      <c r="D339" s="93"/>
      <c r="E339" s="110"/>
      <c r="F339" s="110"/>
      <c r="G339" s="93"/>
      <c r="H339" s="93"/>
      <c r="I339" s="93"/>
      <c r="J339" s="93"/>
      <c r="K339" s="93"/>
      <c r="L339" s="93"/>
      <c r="M339" s="93"/>
      <c r="N339" s="93"/>
      <c r="O339" s="93"/>
      <c r="P339" s="93"/>
      <c r="Q339" s="93"/>
      <c r="R339" s="93"/>
      <c r="S339" s="93"/>
      <c r="T339" s="93"/>
      <c r="U339" s="93"/>
      <c r="V339" s="93"/>
      <c r="W339" s="93"/>
      <c r="X339" s="93"/>
      <c r="Y339" s="93"/>
      <c r="Z339" s="93"/>
    </row>
    <row r="340" ht="14.25" customHeight="1">
      <c r="A340" s="93"/>
      <c r="B340" s="93"/>
      <c r="C340" s="93"/>
      <c r="D340" s="93"/>
      <c r="E340" s="110"/>
      <c r="F340" s="110"/>
      <c r="G340" s="93"/>
      <c r="H340" s="93"/>
      <c r="I340" s="93"/>
      <c r="J340" s="93"/>
      <c r="K340" s="93"/>
      <c r="L340" s="93"/>
      <c r="M340" s="93"/>
      <c r="N340" s="93"/>
      <c r="O340" s="93"/>
      <c r="P340" s="93"/>
      <c r="Q340" s="93"/>
      <c r="R340" s="93"/>
      <c r="S340" s="93"/>
      <c r="T340" s="93"/>
      <c r="U340" s="93"/>
      <c r="V340" s="93"/>
      <c r="W340" s="93"/>
      <c r="X340" s="93"/>
      <c r="Y340" s="93"/>
      <c r="Z340" s="93"/>
    </row>
    <row r="341" ht="14.25" customHeight="1">
      <c r="A341" s="93"/>
      <c r="B341" s="93"/>
      <c r="C341" s="93"/>
      <c r="D341" s="93"/>
      <c r="E341" s="110"/>
      <c r="F341" s="110"/>
      <c r="G341" s="93"/>
      <c r="H341" s="93"/>
      <c r="I341" s="93"/>
      <c r="J341" s="93"/>
      <c r="K341" s="93"/>
      <c r="L341" s="93"/>
      <c r="M341" s="93"/>
      <c r="N341" s="93"/>
      <c r="O341" s="93"/>
      <c r="P341" s="93"/>
      <c r="Q341" s="93"/>
      <c r="R341" s="93"/>
      <c r="S341" s="93"/>
      <c r="T341" s="93"/>
      <c r="U341" s="93"/>
      <c r="V341" s="93"/>
      <c r="W341" s="93"/>
      <c r="X341" s="93"/>
      <c r="Y341" s="93"/>
      <c r="Z341" s="93"/>
    </row>
    <row r="342" ht="14.25" customHeight="1">
      <c r="A342" s="93"/>
      <c r="B342" s="93"/>
      <c r="C342" s="93"/>
      <c r="D342" s="93"/>
      <c r="E342" s="110"/>
      <c r="F342" s="110"/>
      <c r="G342" s="93"/>
      <c r="H342" s="93"/>
      <c r="I342" s="93"/>
      <c r="J342" s="93"/>
      <c r="K342" s="93"/>
      <c r="L342" s="93"/>
      <c r="M342" s="93"/>
      <c r="N342" s="93"/>
      <c r="O342" s="93"/>
      <c r="P342" s="93"/>
      <c r="Q342" s="93"/>
      <c r="R342" s="93"/>
      <c r="S342" s="93"/>
      <c r="T342" s="93"/>
      <c r="U342" s="93"/>
      <c r="V342" s="93"/>
      <c r="W342" s="93"/>
      <c r="X342" s="93"/>
      <c r="Y342" s="93"/>
      <c r="Z342" s="93"/>
    </row>
    <row r="343" ht="14.25" customHeight="1">
      <c r="A343" s="93"/>
      <c r="B343" s="93"/>
      <c r="C343" s="93"/>
      <c r="D343" s="93"/>
      <c r="E343" s="110"/>
      <c r="F343" s="110"/>
      <c r="G343" s="93"/>
      <c r="H343" s="93"/>
      <c r="I343" s="93"/>
      <c r="J343" s="93"/>
      <c r="K343" s="93"/>
      <c r="L343" s="93"/>
      <c r="M343" s="93"/>
      <c r="N343" s="93"/>
      <c r="O343" s="93"/>
      <c r="P343" s="93"/>
      <c r="Q343" s="93"/>
      <c r="R343" s="93"/>
      <c r="S343" s="93"/>
      <c r="T343" s="93"/>
      <c r="U343" s="93"/>
      <c r="V343" s="93"/>
      <c r="W343" s="93"/>
      <c r="X343" s="93"/>
      <c r="Y343" s="93"/>
      <c r="Z343" s="93"/>
    </row>
    <row r="344" ht="14.25" customHeight="1">
      <c r="A344" s="93"/>
      <c r="B344" s="93"/>
      <c r="C344" s="93"/>
      <c r="D344" s="93"/>
      <c r="E344" s="110"/>
      <c r="F344" s="110"/>
      <c r="G344" s="93"/>
      <c r="H344" s="93"/>
      <c r="I344" s="93"/>
      <c r="J344" s="93"/>
      <c r="K344" s="93"/>
      <c r="L344" s="93"/>
      <c r="M344" s="93"/>
      <c r="N344" s="93"/>
      <c r="O344" s="93"/>
      <c r="P344" s="93"/>
      <c r="Q344" s="93"/>
      <c r="R344" s="93"/>
      <c r="S344" s="93"/>
      <c r="T344" s="93"/>
      <c r="U344" s="93"/>
      <c r="V344" s="93"/>
      <c r="W344" s="93"/>
      <c r="X344" s="93"/>
      <c r="Y344" s="93"/>
      <c r="Z344" s="93"/>
    </row>
    <row r="345" ht="14.25" customHeight="1">
      <c r="A345" s="93"/>
      <c r="B345" s="93"/>
      <c r="C345" s="93"/>
      <c r="D345" s="93"/>
      <c r="E345" s="110"/>
      <c r="F345" s="110"/>
      <c r="G345" s="93"/>
      <c r="H345" s="93"/>
      <c r="I345" s="93"/>
      <c r="J345" s="93"/>
      <c r="K345" s="93"/>
      <c r="L345" s="93"/>
      <c r="M345" s="93"/>
      <c r="N345" s="93"/>
      <c r="O345" s="93"/>
      <c r="P345" s="93"/>
      <c r="Q345" s="93"/>
      <c r="R345" s="93"/>
      <c r="S345" s="93"/>
      <c r="T345" s="93"/>
      <c r="U345" s="93"/>
      <c r="V345" s="93"/>
      <c r="W345" s="93"/>
      <c r="X345" s="93"/>
      <c r="Y345" s="93"/>
      <c r="Z345" s="93"/>
    </row>
    <row r="346" ht="14.25" customHeight="1">
      <c r="A346" s="93"/>
      <c r="B346" s="93"/>
      <c r="C346" s="93"/>
      <c r="D346" s="93"/>
      <c r="E346" s="110"/>
      <c r="F346" s="110"/>
      <c r="G346" s="93"/>
      <c r="H346" s="93"/>
      <c r="I346" s="93"/>
      <c r="J346" s="93"/>
      <c r="K346" s="93"/>
      <c r="L346" s="93"/>
      <c r="M346" s="93"/>
      <c r="N346" s="93"/>
      <c r="O346" s="93"/>
      <c r="P346" s="93"/>
      <c r="Q346" s="93"/>
      <c r="R346" s="93"/>
      <c r="S346" s="93"/>
      <c r="T346" s="93"/>
      <c r="U346" s="93"/>
      <c r="V346" s="93"/>
      <c r="W346" s="93"/>
      <c r="X346" s="93"/>
      <c r="Y346" s="93"/>
      <c r="Z346" s="93"/>
    </row>
    <row r="347" ht="14.25" customHeight="1">
      <c r="A347" s="93"/>
      <c r="B347" s="93"/>
      <c r="C347" s="93"/>
      <c r="D347" s="93"/>
      <c r="E347" s="110"/>
      <c r="F347" s="110"/>
      <c r="G347" s="93"/>
      <c r="H347" s="93"/>
      <c r="I347" s="93"/>
      <c r="J347" s="93"/>
      <c r="K347" s="93"/>
      <c r="L347" s="93"/>
      <c r="M347" s="93"/>
      <c r="N347" s="93"/>
      <c r="O347" s="93"/>
      <c r="P347" s="93"/>
      <c r="Q347" s="93"/>
      <c r="R347" s="93"/>
      <c r="S347" s="93"/>
      <c r="T347" s="93"/>
      <c r="U347" s="93"/>
      <c r="V347" s="93"/>
      <c r="W347" s="93"/>
      <c r="X347" s="93"/>
      <c r="Y347" s="93"/>
      <c r="Z347" s="93"/>
    </row>
    <row r="348" ht="14.25" customHeight="1">
      <c r="A348" s="93"/>
      <c r="B348" s="93"/>
      <c r="C348" s="93"/>
      <c r="D348" s="93"/>
      <c r="E348" s="110"/>
      <c r="F348" s="110"/>
      <c r="G348" s="93"/>
      <c r="H348" s="93"/>
      <c r="I348" s="93"/>
      <c r="J348" s="93"/>
      <c r="K348" s="93"/>
      <c r="L348" s="93"/>
      <c r="M348" s="93"/>
      <c r="N348" s="93"/>
      <c r="O348" s="93"/>
      <c r="P348" s="93"/>
      <c r="Q348" s="93"/>
      <c r="R348" s="93"/>
      <c r="S348" s="93"/>
      <c r="T348" s="93"/>
      <c r="U348" s="93"/>
      <c r="V348" s="93"/>
      <c r="W348" s="93"/>
      <c r="X348" s="93"/>
      <c r="Y348" s="93"/>
      <c r="Z348" s="93"/>
    </row>
    <row r="349" ht="14.25" customHeight="1">
      <c r="A349" s="93"/>
      <c r="B349" s="93"/>
      <c r="C349" s="93"/>
      <c r="D349" s="93"/>
      <c r="E349" s="110"/>
      <c r="F349" s="110"/>
      <c r="G349" s="93"/>
      <c r="H349" s="93"/>
      <c r="I349" s="93"/>
      <c r="J349" s="93"/>
      <c r="K349" s="93"/>
      <c r="L349" s="93"/>
      <c r="M349" s="93"/>
      <c r="N349" s="93"/>
      <c r="O349" s="93"/>
      <c r="P349" s="93"/>
      <c r="Q349" s="93"/>
      <c r="R349" s="93"/>
      <c r="S349" s="93"/>
      <c r="T349" s="93"/>
      <c r="U349" s="93"/>
      <c r="V349" s="93"/>
      <c r="W349" s="93"/>
      <c r="X349" s="93"/>
      <c r="Y349" s="93"/>
      <c r="Z349" s="93"/>
    </row>
    <row r="350" ht="14.25" customHeight="1">
      <c r="A350" s="93"/>
      <c r="B350" s="93"/>
      <c r="C350" s="93"/>
      <c r="D350" s="93"/>
      <c r="E350" s="110"/>
      <c r="F350" s="110"/>
      <c r="G350" s="93"/>
      <c r="H350" s="93"/>
      <c r="I350" s="93"/>
      <c r="J350" s="93"/>
      <c r="K350" s="93"/>
      <c r="L350" s="93"/>
      <c r="M350" s="93"/>
      <c r="N350" s="93"/>
      <c r="O350" s="93"/>
      <c r="P350" s="93"/>
      <c r="Q350" s="93"/>
      <c r="R350" s="93"/>
      <c r="S350" s="93"/>
      <c r="T350" s="93"/>
      <c r="U350" s="93"/>
      <c r="V350" s="93"/>
      <c r="W350" s="93"/>
      <c r="X350" s="93"/>
      <c r="Y350" s="93"/>
      <c r="Z350" s="93"/>
    </row>
    <row r="351" ht="14.25" customHeight="1">
      <c r="A351" s="93"/>
      <c r="B351" s="93"/>
      <c r="C351" s="93"/>
      <c r="D351" s="93"/>
      <c r="E351" s="110"/>
      <c r="F351" s="110"/>
      <c r="G351" s="93"/>
      <c r="H351" s="93"/>
      <c r="I351" s="93"/>
      <c r="J351" s="93"/>
      <c r="K351" s="93"/>
      <c r="L351" s="93"/>
      <c r="M351" s="93"/>
      <c r="N351" s="93"/>
      <c r="O351" s="93"/>
      <c r="P351" s="93"/>
      <c r="Q351" s="93"/>
      <c r="R351" s="93"/>
      <c r="S351" s="93"/>
      <c r="T351" s="93"/>
      <c r="U351" s="93"/>
      <c r="V351" s="93"/>
      <c r="W351" s="93"/>
      <c r="X351" s="93"/>
      <c r="Y351" s="93"/>
      <c r="Z351" s="93"/>
    </row>
    <row r="352" ht="14.25" customHeight="1">
      <c r="A352" s="93"/>
      <c r="B352" s="93"/>
      <c r="C352" s="93"/>
      <c r="D352" s="93"/>
      <c r="E352" s="110"/>
      <c r="F352" s="110"/>
      <c r="G352" s="93"/>
      <c r="H352" s="93"/>
      <c r="I352" s="93"/>
      <c r="J352" s="93"/>
      <c r="K352" s="93"/>
      <c r="L352" s="93"/>
      <c r="M352" s="93"/>
      <c r="N352" s="93"/>
      <c r="O352" s="93"/>
      <c r="P352" s="93"/>
      <c r="Q352" s="93"/>
      <c r="R352" s="93"/>
      <c r="S352" s="93"/>
      <c r="T352" s="93"/>
      <c r="U352" s="93"/>
      <c r="V352" s="93"/>
      <c r="W352" s="93"/>
      <c r="X352" s="93"/>
      <c r="Y352" s="93"/>
      <c r="Z352" s="93"/>
    </row>
    <row r="353" ht="14.25" customHeight="1">
      <c r="A353" s="93"/>
      <c r="B353" s="93"/>
      <c r="C353" s="93"/>
      <c r="D353" s="93"/>
      <c r="E353" s="110"/>
      <c r="F353" s="110"/>
      <c r="G353" s="93"/>
      <c r="H353" s="93"/>
      <c r="I353" s="93"/>
      <c r="J353" s="93"/>
      <c r="K353" s="93"/>
      <c r="L353" s="93"/>
      <c r="M353" s="93"/>
      <c r="N353" s="93"/>
      <c r="O353" s="93"/>
      <c r="P353" s="93"/>
      <c r="Q353" s="93"/>
      <c r="R353" s="93"/>
      <c r="S353" s="93"/>
      <c r="T353" s="93"/>
      <c r="U353" s="93"/>
      <c r="V353" s="93"/>
      <c r="W353" s="93"/>
      <c r="X353" s="93"/>
      <c r="Y353" s="93"/>
      <c r="Z353" s="93"/>
    </row>
    <row r="354" ht="14.25" customHeight="1">
      <c r="A354" s="93"/>
      <c r="B354" s="93"/>
      <c r="C354" s="93"/>
      <c r="D354" s="93"/>
      <c r="E354" s="110"/>
      <c r="F354" s="110"/>
      <c r="G354" s="93"/>
      <c r="H354" s="93"/>
      <c r="I354" s="93"/>
      <c r="J354" s="93"/>
      <c r="K354" s="93"/>
      <c r="L354" s="93"/>
      <c r="M354" s="93"/>
      <c r="N354" s="93"/>
      <c r="O354" s="93"/>
      <c r="P354" s="93"/>
      <c r="Q354" s="93"/>
      <c r="R354" s="93"/>
      <c r="S354" s="93"/>
      <c r="T354" s="93"/>
      <c r="U354" s="93"/>
      <c r="V354" s="93"/>
      <c r="W354" s="93"/>
      <c r="X354" s="93"/>
      <c r="Y354" s="93"/>
      <c r="Z354" s="93"/>
    </row>
    <row r="355" ht="14.25" customHeight="1">
      <c r="A355" s="93"/>
      <c r="B355" s="93"/>
      <c r="C355" s="93"/>
      <c r="D355" s="93"/>
      <c r="E355" s="110"/>
      <c r="F355" s="110"/>
      <c r="G355" s="93"/>
      <c r="H355" s="93"/>
      <c r="I355" s="93"/>
      <c r="J355" s="93"/>
      <c r="K355" s="93"/>
      <c r="L355" s="93"/>
      <c r="M355" s="93"/>
      <c r="N355" s="93"/>
      <c r="O355" s="93"/>
      <c r="P355" s="93"/>
      <c r="Q355" s="93"/>
      <c r="R355" s="93"/>
      <c r="S355" s="93"/>
      <c r="T355" s="93"/>
      <c r="U355" s="93"/>
      <c r="V355" s="93"/>
      <c r="W355" s="93"/>
      <c r="X355" s="93"/>
      <c r="Y355" s="93"/>
      <c r="Z355" s="93"/>
    </row>
    <row r="356" ht="14.25" customHeight="1">
      <c r="A356" s="93"/>
      <c r="B356" s="93"/>
      <c r="C356" s="93"/>
      <c r="D356" s="93"/>
      <c r="E356" s="110"/>
      <c r="F356" s="110"/>
      <c r="G356" s="93"/>
      <c r="H356" s="93"/>
      <c r="I356" s="93"/>
      <c r="J356" s="93"/>
      <c r="K356" s="93"/>
      <c r="L356" s="93"/>
      <c r="M356" s="93"/>
      <c r="N356" s="93"/>
      <c r="O356" s="93"/>
      <c r="P356" s="93"/>
      <c r="Q356" s="93"/>
      <c r="R356" s="93"/>
      <c r="S356" s="93"/>
      <c r="T356" s="93"/>
      <c r="U356" s="93"/>
      <c r="V356" s="93"/>
      <c r="W356" s="93"/>
      <c r="X356" s="93"/>
      <c r="Y356" s="93"/>
      <c r="Z356" s="93"/>
    </row>
    <row r="357" ht="14.25" customHeight="1">
      <c r="A357" s="93"/>
      <c r="B357" s="93"/>
      <c r="C357" s="93"/>
      <c r="D357" s="93"/>
      <c r="E357" s="110"/>
      <c r="F357" s="110"/>
      <c r="G357" s="93"/>
      <c r="H357" s="93"/>
      <c r="I357" s="93"/>
      <c r="J357" s="93"/>
      <c r="K357" s="93"/>
      <c r="L357" s="93"/>
      <c r="M357" s="93"/>
      <c r="N357" s="93"/>
      <c r="O357" s="93"/>
      <c r="P357" s="93"/>
      <c r="Q357" s="93"/>
      <c r="R357" s="93"/>
      <c r="S357" s="93"/>
      <c r="T357" s="93"/>
      <c r="U357" s="93"/>
      <c r="V357" s="93"/>
      <c r="W357" s="93"/>
      <c r="X357" s="93"/>
      <c r="Y357" s="93"/>
      <c r="Z357" s="93"/>
    </row>
    <row r="358" ht="14.25" customHeight="1">
      <c r="A358" s="93"/>
      <c r="B358" s="93"/>
      <c r="C358" s="93"/>
      <c r="D358" s="93"/>
      <c r="E358" s="110"/>
      <c r="F358" s="110"/>
      <c r="G358" s="93"/>
      <c r="H358" s="93"/>
      <c r="I358" s="93"/>
      <c r="J358" s="93"/>
      <c r="K358" s="93"/>
      <c r="L358" s="93"/>
      <c r="M358" s="93"/>
      <c r="N358" s="93"/>
      <c r="O358" s="93"/>
      <c r="P358" s="93"/>
      <c r="Q358" s="93"/>
      <c r="R358" s="93"/>
      <c r="S358" s="93"/>
      <c r="T358" s="93"/>
      <c r="U358" s="93"/>
      <c r="V358" s="93"/>
      <c r="W358" s="93"/>
      <c r="X358" s="93"/>
      <c r="Y358" s="93"/>
      <c r="Z358" s="93"/>
    </row>
    <row r="359" ht="14.25" customHeight="1">
      <c r="A359" s="93"/>
      <c r="B359" s="93"/>
      <c r="C359" s="93"/>
      <c r="D359" s="93"/>
      <c r="E359" s="110"/>
      <c r="F359" s="110"/>
      <c r="G359" s="93"/>
      <c r="H359" s="93"/>
      <c r="I359" s="93"/>
      <c r="J359" s="93"/>
      <c r="K359" s="93"/>
      <c r="L359" s="93"/>
      <c r="M359" s="93"/>
      <c r="N359" s="93"/>
      <c r="O359" s="93"/>
      <c r="P359" s="93"/>
      <c r="Q359" s="93"/>
      <c r="R359" s="93"/>
      <c r="S359" s="93"/>
      <c r="T359" s="93"/>
      <c r="U359" s="93"/>
      <c r="V359" s="93"/>
      <c r="W359" s="93"/>
      <c r="X359" s="93"/>
      <c r="Y359" s="93"/>
      <c r="Z359" s="93"/>
    </row>
    <row r="360" ht="14.25" customHeight="1">
      <c r="A360" s="93"/>
      <c r="B360" s="93"/>
      <c r="C360" s="93"/>
      <c r="D360" s="93"/>
      <c r="E360" s="110"/>
      <c r="F360" s="110"/>
      <c r="G360" s="93"/>
      <c r="H360" s="93"/>
      <c r="I360" s="93"/>
      <c r="J360" s="93"/>
      <c r="K360" s="93"/>
      <c r="L360" s="93"/>
      <c r="M360" s="93"/>
      <c r="N360" s="93"/>
      <c r="O360" s="93"/>
      <c r="P360" s="93"/>
      <c r="Q360" s="93"/>
      <c r="R360" s="93"/>
      <c r="S360" s="93"/>
      <c r="T360" s="93"/>
      <c r="U360" s="93"/>
      <c r="V360" s="93"/>
      <c r="W360" s="93"/>
      <c r="X360" s="93"/>
      <c r="Y360" s="93"/>
      <c r="Z360" s="93"/>
    </row>
    <row r="361" ht="14.25" customHeight="1">
      <c r="A361" s="93"/>
      <c r="B361" s="93"/>
      <c r="C361" s="93"/>
      <c r="D361" s="93"/>
      <c r="E361" s="110"/>
      <c r="F361" s="110"/>
      <c r="G361" s="93"/>
      <c r="H361" s="93"/>
      <c r="I361" s="93"/>
      <c r="J361" s="93"/>
      <c r="K361" s="93"/>
      <c r="L361" s="93"/>
      <c r="M361" s="93"/>
      <c r="N361" s="93"/>
      <c r="O361" s="93"/>
      <c r="P361" s="93"/>
      <c r="Q361" s="93"/>
      <c r="R361" s="93"/>
      <c r="S361" s="93"/>
      <c r="T361" s="93"/>
      <c r="U361" s="93"/>
      <c r="V361" s="93"/>
      <c r="W361" s="93"/>
      <c r="X361" s="93"/>
      <c r="Y361" s="93"/>
      <c r="Z361" s="93"/>
    </row>
    <row r="362" ht="14.25" customHeight="1">
      <c r="A362" s="93"/>
      <c r="B362" s="93"/>
      <c r="C362" s="93"/>
      <c r="D362" s="93"/>
      <c r="E362" s="110"/>
      <c r="F362" s="110"/>
      <c r="G362" s="93"/>
      <c r="H362" s="93"/>
      <c r="I362" s="93"/>
      <c r="J362" s="93"/>
      <c r="K362" s="93"/>
      <c r="L362" s="93"/>
      <c r="M362" s="93"/>
      <c r="N362" s="93"/>
      <c r="O362" s="93"/>
      <c r="P362" s="93"/>
      <c r="Q362" s="93"/>
      <c r="R362" s="93"/>
      <c r="S362" s="93"/>
      <c r="T362" s="93"/>
      <c r="U362" s="93"/>
      <c r="V362" s="93"/>
      <c r="W362" s="93"/>
      <c r="X362" s="93"/>
      <c r="Y362" s="93"/>
      <c r="Z362" s="93"/>
    </row>
    <row r="363" ht="14.25" customHeight="1">
      <c r="A363" s="93"/>
      <c r="B363" s="93"/>
      <c r="C363" s="93"/>
      <c r="D363" s="93"/>
      <c r="E363" s="110"/>
      <c r="F363" s="110"/>
      <c r="G363" s="93"/>
      <c r="H363" s="93"/>
      <c r="I363" s="93"/>
      <c r="J363" s="93"/>
      <c r="K363" s="93"/>
      <c r="L363" s="93"/>
      <c r="M363" s="93"/>
      <c r="N363" s="93"/>
      <c r="O363" s="93"/>
      <c r="P363" s="93"/>
      <c r="Q363" s="93"/>
      <c r="R363" s="93"/>
      <c r="S363" s="93"/>
      <c r="T363" s="93"/>
      <c r="U363" s="93"/>
      <c r="V363" s="93"/>
      <c r="W363" s="93"/>
      <c r="X363" s="93"/>
      <c r="Y363" s="93"/>
      <c r="Z363" s="93"/>
    </row>
    <row r="364" ht="14.25" customHeight="1">
      <c r="A364" s="93"/>
      <c r="B364" s="93"/>
      <c r="C364" s="93"/>
      <c r="D364" s="93"/>
      <c r="E364" s="110"/>
      <c r="F364" s="110"/>
      <c r="G364" s="93"/>
      <c r="H364" s="93"/>
      <c r="I364" s="93"/>
      <c r="J364" s="93"/>
      <c r="K364" s="93"/>
      <c r="L364" s="93"/>
      <c r="M364" s="93"/>
      <c r="N364" s="93"/>
      <c r="O364" s="93"/>
      <c r="P364" s="93"/>
      <c r="Q364" s="93"/>
      <c r="R364" s="93"/>
      <c r="S364" s="93"/>
      <c r="T364" s="93"/>
      <c r="U364" s="93"/>
      <c r="V364" s="93"/>
      <c r="W364" s="93"/>
      <c r="X364" s="93"/>
      <c r="Y364" s="93"/>
      <c r="Z364" s="93"/>
    </row>
    <row r="365" ht="14.25" customHeight="1">
      <c r="A365" s="93"/>
      <c r="B365" s="93"/>
      <c r="C365" s="93"/>
      <c r="D365" s="93"/>
      <c r="E365" s="110"/>
      <c r="F365" s="110"/>
      <c r="G365" s="93"/>
      <c r="H365" s="93"/>
      <c r="I365" s="93"/>
      <c r="J365" s="93"/>
      <c r="K365" s="93"/>
      <c r="L365" s="93"/>
      <c r="M365" s="93"/>
      <c r="N365" s="93"/>
      <c r="O365" s="93"/>
      <c r="P365" s="93"/>
      <c r="Q365" s="93"/>
      <c r="R365" s="93"/>
      <c r="S365" s="93"/>
      <c r="T365" s="93"/>
      <c r="U365" s="93"/>
      <c r="V365" s="93"/>
      <c r="W365" s="93"/>
      <c r="X365" s="93"/>
      <c r="Y365" s="93"/>
      <c r="Z365" s="93"/>
    </row>
    <row r="366" ht="14.25" customHeight="1">
      <c r="A366" s="93"/>
      <c r="B366" s="93"/>
      <c r="C366" s="93"/>
      <c r="D366" s="93"/>
      <c r="E366" s="110"/>
      <c r="F366" s="110"/>
      <c r="G366" s="93"/>
      <c r="H366" s="93"/>
      <c r="I366" s="93"/>
      <c r="J366" s="93"/>
      <c r="K366" s="93"/>
      <c r="L366" s="93"/>
      <c r="M366" s="93"/>
      <c r="N366" s="93"/>
      <c r="O366" s="93"/>
      <c r="P366" s="93"/>
      <c r="Q366" s="93"/>
      <c r="R366" s="93"/>
      <c r="S366" s="93"/>
      <c r="T366" s="93"/>
      <c r="U366" s="93"/>
      <c r="V366" s="93"/>
      <c r="W366" s="93"/>
      <c r="X366" s="93"/>
      <c r="Y366" s="93"/>
      <c r="Z366" s="93"/>
    </row>
    <row r="367" ht="14.25" customHeight="1">
      <c r="A367" s="93"/>
      <c r="B367" s="93"/>
      <c r="C367" s="93"/>
      <c r="D367" s="93"/>
      <c r="E367" s="110"/>
      <c r="F367" s="110"/>
      <c r="G367" s="93"/>
      <c r="H367" s="93"/>
      <c r="I367" s="93"/>
      <c r="J367" s="93"/>
      <c r="K367" s="93"/>
      <c r="L367" s="93"/>
      <c r="M367" s="93"/>
      <c r="N367" s="93"/>
      <c r="O367" s="93"/>
      <c r="P367" s="93"/>
      <c r="Q367" s="93"/>
      <c r="R367" s="93"/>
      <c r="S367" s="93"/>
      <c r="T367" s="93"/>
      <c r="U367" s="93"/>
      <c r="V367" s="93"/>
      <c r="W367" s="93"/>
      <c r="X367" s="93"/>
      <c r="Y367" s="93"/>
      <c r="Z367" s="93"/>
    </row>
    <row r="368" ht="14.25" customHeight="1">
      <c r="A368" s="93"/>
      <c r="B368" s="93"/>
      <c r="C368" s="93"/>
      <c r="D368" s="93"/>
      <c r="E368" s="110"/>
      <c r="F368" s="110"/>
      <c r="G368" s="93"/>
      <c r="H368" s="93"/>
      <c r="I368" s="93"/>
      <c r="J368" s="93"/>
      <c r="K368" s="93"/>
      <c r="L368" s="93"/>
      <c r="M368" s="93"/>
      <c r="N368" s="93"/>
      <c r="O368" s="93"/>
      <c r="P368" s="93"/>
      <c r="Q368" s="93"/>
      <c r="R368" s="93"/>
      <c r="S368" s="93"/>
      <c r="T368" s="93"/>
      <c r="U368" s="93"/>
      <c r="V368" s="93"/>
      <c r="W368" s="93"/>
      <c r="X368" s="93"/>
      <c r="Y368" s="93"/>
      <c r="Z368" s="93"/>
    </row>
    <row r="369" ht="14.25" customHeight="1">
      <c r="A369" s="93"/>
      <c r="B369" s="93"/>
      <c r="C369" s="93"/>
      <c r="D369" s="93"/>
      <c r="E369" s="110"/>
      <c r="F369" s="110"/>
      <c r="G369" s="93"/>
      <c r="H369" s="93"/>
      <c r="I369" s="93"/>
      <c r="J369" s="93"/>
      <c r="K369" s="93"/>
      <c r="L369" s="93"/>
      <c r="M369" s="93"/>
      <c r="N369" s="93"/>
      <c r="O369" s="93"/>
      <c r="P369" s="93"/>
      <c r="Q369" s="93"/>
      <c r="R369" s="93"/>
      <c r="S369" s="93"/>
      <c r="T369" s="93"/>
      <c r="U369" s="93"/>
      <c r="V369" s="93"/>
      <c r="W369" s="93"/>
      <c r="X369" s="93"/>
      <c r="Y369" s="93"/>
      <c r="Z369" s="93"/>
    </row>
    <row r="370" ht="14.25" customHeight="1">
      <c r="A370" s="93"/>
      <c r="B370" s="93"/>
      <c r="C370" s="93"/>
      <c r="D370" s="93"/>
      <c r="E370" s="110"/>
      <c r="F370" s="110"/>
      <c r="G370" s="93"/>
      <c r="H370" s="93"/>
      <c r="I370" s="93"/>
      <c r="J370" s="93"/>
      <c r="K370" s="93"/>
      <c r="L370" s="93"/>
      <c r="M370" s="93"/>
      <c r="N370" s="93"/>
      <c r="O370" s="93"/>
      <c r="P370" s="93"/>
      <c r="Q370" s="93"/>
      <c r="R370" s="93"/>
      <c r="S370" s="93"/>
      <c r="T370" s="93"/>
      <c r="U370" s="93"/>
      <c r="V370" s="93"/>
      <c r="W370" s="93"/>
      <c r="X370" s="93"/>
      <c r="Y370" s="93"/>
      <c r="Z370" s="93"/>
    </row>
    <row r="371" ht="14.25" customHeight="1">
      <c r="A371" s="93"/>
      <c r="B371" s="93"/>
      <c r="C371" s="93"/>
      <c r="D371" s="93"/>
      <c r="E371" s="110"/>
      <c r="F371" s="110"/>
      <c r="G371" s="93"/>
      <c r="H371" s="93"/>
      <c r="I371" s="93"/>
      <c r="J371" s="93"/>
      <c r="K371" s="93"/>
      <c r="L371" s="93"/>
      <c r="M371" s="93"/>
      <c r="N371" s="93"/>
      <c r="O371" s="93"/>
      <c r="P371" s="93"/>
      <c r="Q371" s="93"/>
      <c r="R371" s="93"/>
      <c r="S371" s="93"/>
      <c r="T371" s="93"/>
      <c r="U371" s="93"/>
      <c r="V371" s="93"/>
      <c r="W371" s="93"/>
      <c r="X371" s="93"/>
      <c r="Y371" s="93"/>
      <c r="Z371" s="93"/>
    </row>
    <row r="372" ht="14.25" customHeight="1">
      <c r="A372" s="93"/>
      <c r="B372" s="93"/>
      <c r="C372" s="93"/>
      <c r="D372" s="93"/>
      <c r="E372" s="110"/>
      <c r="F372" s="110"/>
      <c r="G372" s="93"/>
      <c r="H372" s="93"/>
      <c r="I372" s="93"/>
      <c r="J372" s="93"/>
      <c r="K372" s="93"/>
      <c r="L372" s="93"/>
      <c r="M372" s="93"/>
      <c r="N372" s="93"/>
      <c r="O372" s="93"/>
      <c r="P372" s="93"/>
      <c r="Q372" s="93"/>
      <c r="R372" s="93"/>
      <c r="S372" s="93"/>
      <c r="T372" s="93"/>
      <c r="U372" s="93"/>
      <c r="V372" s="93"/>
      <c r="W372" s="93"/>
      <c r="X372" s="93"/>
      <c r="Y372" s="93"/>
      <c r="Z372" s="93"/>
    </row>
    <row r="373" ht="14.25" customHeight="1">
      <c r="A373" s="93"/>
      <c r="B373" s="93"/>
      <c r="C373" s="93"/>
      <c r="D373" s="93"/>
      <c r="E373" s="110"/>
      <c r="F373" s="110"/>
      <c r="G373" s="93"/>
      <c r="H373" s="93"/>
      <c r="I373" s="93"/>
      <c r="J373" s="93"/>
      <c r="K373" s="93"/>
      <c r="L373" s="93"/>
      <c r="M373" s="93"/>
      <c r="N373" s="93"/>
      <c r="O373" s="93"/>
      <c r="P373" s="93"/>
      <c r="Q373" s="93"/>
      <c r="R373" s="93"/>
      <c r="S373" s="93"/>
      <c r="T373" s="93"/>
      <c r="U373" s="93"/>
      <c r="V373" s="93"/>
      <c r="W373" s="93"/>
      <c r="X373" s="93"/>
      <c r="Y373" s="93"/>
      <c r="Z373" s="93"/>
    </row>
    <row r="374" ht="14.25" customHeight="1">
      <c r="A374" s="93"/>
      <c r="B374" s="93"/>
      <c r="C374" s="93"/>
      <c r="D374" s="93"/>
      <c r="E374" s="110"/>
      <c r="F374" s="110"/>
      <c r="G374" s="93"/>
      <c r="H374" s="93"/>
      <c r="I374" s="93"/>
      <c r="J374" s="93"/>
      <c r="K374" s="93"/>
      <c r="L374" s="93"/>
      <c r="M374" s="93"/>
      <c r="N374" s="93"/>
      <c r="O374" s="93"/>
      <c r="P374" s="93"/>
      <c r="Q374" s="93"/>
      <c r="R374" s="93"/>
      <c r="S374" s="93"/>
      <c r="T374" s="93"/>
      <c r="U374" s="93"/>
      <c r="V374" s="93"/>
      <c r="W374" s="93"/>
      <c r="X374" s="93"/>
      <c r="Y374" s="93"/>
      <c r="Z374" s="93"/>
    </row>
    <row r="375" ht="14.25" customHeight="1">
      <c r="A375" s="93"/>
      <c r="B375" s="93"/>
      <c r="C375" s="93"/>
      <c r="D375" s="93"/>
      <c r="E375" s="110"/>
      <c r="F375" s="110"/>
      <c r="G375" s="93"/>
      <c r="H375" s="93"/>
      <c r="I375" s="93"/>
      <c r="J375" s="93"/>
      <c r="K375" s="93"/>
      <c r="L375" s="93"/>
      <c r="M375" s="93"/>
      <c r="N375" s="93"/>
      <c r="O375" s="93"/>
      <c r="P375" s="93"/>
      <c r="Q375" s="93"/>
      <c r="R375" s="93"/>
      <c r="S375" s="93"/>
      <c r="T375" s="93"/>
      <c r="U375" s="93"/>
      <c r="V375" s="93"/>
      <c r="W375" s="93"/>
      <c r="X375" s="93"/>
      <c r="Y375" s="93"/>
      <c r="Z375" s="93"/>
    </row>
    <row r="376" ht="14.25" customHeight="1">
      <c r="A376" s="93"/>
      <c r="B376" s="93"/>
      <c r="C376" s="93"/>
      <c r="D376" s="93"/>
      <c r="E376" s="110"/>
      <c r="F376" s="110"/>
      <c r="G376" s="93"/>
      <c r="H376" s="93"/>
      <c r="I376" s="93"/>
      <c r="J376" s="93"/>
      <c r="K376" s="93"/>
      <c r="L376" s="93"/>
      <c r="M376" s="93"/>
      <c r="N376" s="93"/>
      <c r="O376" s="93"/>
      <c r="P376" s="93"/>
      <c r="Q376" s="93"/>
      <c r="R376" s="93"/>
      <c r="S376" s="93"/>
      <c r="T376" s="93"/>
      <c r="U376" s="93"/>
      <c r="V376" s="93"/>
      <c r="W376" s="93"/>
      <c r="X376" s="93"/>
      <c r="Y376" s="93"/>
      <c r="Z376" s="93"/>
    </row>
    <row r="377" ht="14.25" customHeight="1">
      <c r="A377" s="93"/>
      <c r="B377" s="93"/>
      <c r="C377" s="93"/>
      <c r="D377" s="93"/>
      <c r="E377" s="110"/>
      <c r="F377" s="110"/>
      <c r="G377" s="93"/>
      <c r="H377" s="93"/>
      <c r="I377" s="93"/>
      <c r="J377" s="93"/>
      <c r="K377" s="93"/>
      <c r="L377" s="93"/>
      <c r="M377" s="93"/>
      <c r="N377" s="93"/>
      <c r="O377" s="93"/>
      <c r="P377" s="93"/>
      <c r="Q377" s="93"/>
      <c r="R377" s="93"/>
      <c r="S377" s="93"/>
      <c r="T377" s="93"/>
      <c r="U377" s="93"/>
      <c r="V377" s="93"/>
      <c r="W377" s="93"/>
      <c r="X377" s="93"/>
      <c r="Y377" s="93"/>
      <c r="Z377" s="93"/>
    </row>
    <row r="378" ht="14.25" customHeight="1">
      <c r="A378" s="93"/>
      <c r="B378" s="93"/>
      <c r="C378" s="93"/>
      <c r="D378" s="93"/>
      <c r="E378" s="110"/>
      <c r="F378" s="110"/>
      <c r="G378" s="93"/>
      <c r="H378" s="93"/>
      <c r="I378" s="93"/>
      <c r="J378" s="93"/>
      <c r="K378" s="93"/>
      <c r="L378" s="93"/>
      <c r="M378" s="93"/>
      <c r="N378" s="93"/>
      <c r="O378" s="93"/>
      <c r="P378" s="93"/>
      <c r="Q378" s="93"/>
      <c r="R378" s="93"/>
      <c r="S378" s="93"/>
      <c r="T378" s="93"/>
      <c r="U378" s="93"/>
      <c r="V378" s="93"/>
      <c r="W378" s="93"/>
      <c r="X378" s="93"/>
      <c r="Y378" s="93"/>
      <c r="Z378" s="93"/>
    </row>
    <row r="379" ht="14.25" customHeight="1">
      <c r="A379" s="93"/>
      <c r="B379" s="93"/>
      <c r="C379" s="93"/>
      <c r="D379" s="93"/>
      <c r="E379" s="110"/>
      <c r="F379" s="110"/>
      <c r="G379" s="93"/>
      <c r="H379" s="93"/>
      <c r="I379" s="93"/>
      <c r="J379" s="93"/>
      <c r="K379" s="93"/>
      <c r="L379" s="93"/>
      <c r="M379" s="93"/>
      <c r="N379" s="93"/>
      <c r="O379" s="93"/>
      <c r="P379" s="93"/>
      <c r="Q379" s="93"/>
      <c r="R379" s="93"/>
      <c r="S379" s="93"/>
      <c r="T379" s="93"/>
      <c r="U379" s="93"/>
      <c r="V379" s="93"/>
      <c r="W379" s="93"/>
      <c r="X379" s="93"/>
      <c r="Y379" s="93"/>
      <c r="Z379" s="93"/>
    </row>
    <row r="380" ht="14.25" customHeight="1">
      <c r="A380" s="93"/>
      <c r="B380" s="93"/>
      <c r="C380" s="93"/>
      <c r="D380" s="93"/>
      <c r="E380" s="110"/>
      <c r="F380" s="110"/>
      <c r="G380" s="93"/>
      <c r="H380" s="93"/>
      <c r="I380" s="93"/>
      <c r="J380" s="93"/>
      <c r="K380" s="93"/>
      <c r="L380" s="93"/>
      <c r="M380" s="93"/>
      <c r="N380" s="93"/>
      <c r="O380" s="93"/>
      <c r="P380" s="93"/>
      <c r="Q380" s="93"/>
      <c r="R380" s="93"/>
      <c r="S380" s="93"/>
      <c r="T380" s="93"/>
      <c r="U380" s="93"/>
      <c r="V380" s="93"/>
      <c r="W380" s="93"/>
      <c r="X380" s="93"/>
      <c r="Y380" s="93"/>
      <c r="Z380" s="93"/>
    </row>
    <row r="381" ht="14.25" customHeight="1">
      <c r="A381" s="93"/>
      <c r="B381" s="93"/>
      <c r="C381" s="93"/>
      <c r="D381" s="93"/>
      <c r="E381" s="110"/>
      <c r="F381" s="110"/>
      <c r="G381" s="93"/>
      <c r="H381" s="93"/>
      <c r="I381" s="93"/>
      <c r="J381" s="93"/>
      <c r="K381" s="93"/>
      <c r="L381" s="93"/>
      <c r="M381" s="93"/>
      <c r="N381" s="93"/>
      <c r="O381" s="93"/>
      <c r="P381" s="93"/>
      <c r="Q381" s="93"/>
      <c r="R381" s="93"/>
      <c r="S381" s="93"/>
      <c r="T381" s="93"/>
      <c r="U381" s="93"/>
      <c r="V381" s="93"/>
      <c r="W381" s="93"/>
      <c r="X381" s="93"/>
      <c r="Y381" s="93"/>
      <c r="Z381" s="93"/>
    </row>
    <row r="382" ht="14.25" customHeight="1">
      <c r="A382" s="93"/>
      <c r="B382" s="93"/>
      <c r="C382" s="93"/>
      <c r="D382" s="93"/>
      <c r="E382" s="110"/>
      <c r="F382" s="110"/>
      <c r="G382" s="93"/>
      <c r="H382" s="93"/>
      <c r="I382" s="93"/>
      <c r="J382" s="93"/>
      <c r="K382" s="93"/>
      <c r="L382" s="93"/>
      <c r="M382" s="93"/>
      <c r="N382" s="93"/>
      <c r="O382" s="93"/>
      <c r="P382" s="93"/>
      <c r="Q382" s="93"/>
      <c r="R382" s="93"/>
      <c r="S382" s="93"/>
      <c r="T382" s="93"/>
      <c r="U382" s="93"/>
      <c r="V382" s="93"/>
      <c r="W382" s="93"/>
      <c r="X382" s="93"/>
      <c r="Y382" s="93"/>
      <c r="Z382" s="93"/>
    </row>
    <row r="383" ht="14.25" customHeight="1">
      <c r="A383" s="93"/>
      <c r="B383" s="93"/>
      <c r="C383" s="93"/>
      <c r="D383" s="93"/>
      <c r="E383" s="110"/>
      <c r="F383" s="110"/>
      <c r="G383" s="93"/>
      <c r="H383" s="93"/>
      <c r="I383" s="93"/>
      <c r="J383" s="93"/>
      <c r="K383" s="93"/>
      <c r="L383" s="93"/>
      <c r="M383" s="93"/>
      <c r="N383" s="93"/>
      <c r="O383" s="93"/>
      <c r="P383" s="93"/>
      <c r="Q383" s="93"/>
      <c r="R383" s="93"/>
      <c r="S383" s="93"/>
      <c r="T383" s="93"/>
      <c r="U383" s="93"/>
      <c r="V383" s="93"/>
      <c r="W383" s="93"/>
      <c r="X383" s="93"/>
      <c r="Y383" s="93"/>
      <c r="Z383" s="93"/>
    </row>
    <row r="384" ht="14.25" customHeight="1">
      <c r="A384" s="93"/>
      <c r="B384" s="93"/>
      <c r="C384" s="93"/>
      <c r="D384" s="93"/>
      <c r="E384" s="110"/>
      <c r="F384" s="110"/>
      <c r="G384" s="93"/>
      <c r="H384" s="93"/>
      <c r="I384" s="93"/>
      <c r="J384" s="93"/>
      <c r="K384" s="93"/>
      <c r="L384" s="93"/>
      <c r="M384" s="93"/>
      <c r="N384" s="93"/>
      <c r="O384" s="93"/>
      <c r="P384" s="93"/>
      <c r="Q384" s="93"/>
      <c r="R384" s="93"/>
      <c r="S384" s="93"/>
      <c r="T384" s="93"/>
      <c r="U384" s="93"/>
      <c r="V384" s="93"/>
      <c r="W384" s="93"/>
      <c r="X384" s="93"/>
      <c r="Y384" s="93"/>
      <c r="Z384" s="93"/>
    </row>
    <row r="385" ht="14.25" customHeight="1">
      <c r="A385" s="93"/>
      <c r="B385" s="93"/>
      <c r="C385" s="93"/>
      <c r="D385" s="93"/>
      <c r="E385" s="110"/>
      <c r="F385" s="110"/>
      <c r="G385" s="93"/>
      <c r="H385" s="93"/>
      <c r="I385" s="93"/>
      <c r="J385" s="93"/>
      <c r="K385" s="93"/>
      <c r="L385" s="93"/>
      <c r="M385" s="93"/>
      <c r="N385" s="93"/>
      <c r="O385" s="93"/>
      <c r="P385" s="93"/>
      <c r="Q385" s="93"/>
      <c r="R385" s="93"/>
      <c r="S385" s="93"/>
      <c r="T385" s="93"/>
      <c r="U385" s="93"/>
      <c r="V385" s="93"/>
      <c r="W385" s="93"/>
      <c r="X385" s="93"/>
      <c r="Y385" s="93"/>
      <c r="Z385" s="93"/>
    </row>
    <row r="386" ht="14.25" customHeight="1">
      <c r="A386" s="93"/>
      <c r="B386" s="93"/>
      <c r="C386" s="93"/>
      <c r="D386" s="93"/>
      <c r="E386" s="110"/>
      <c r="F386" s="110"/>
      <c r="G386" s="93"/>
      <c r="H386" s="93"/>
      <c r="I386" s="93"/>
      <c r="J386" s="93"/>
      <c r="K386" s="93"/>
      <c r="L386" s="93"/>
      <c r="M386" s="93"/>
      <c r="N386" s="93"/>
      <c r="O386" s="93"/>
      <c r="P386" s="93"/>
      <c r="Q386" s="93"/>
      <c r="R386" s="93"/>
      <c r="S386" s="93"/>
      <c r="T386" s="93"/>
      <c r="U386" s="93"/>
      <c r="V386" s="93"/>
      <c r="W386" s="93"/>
      <c r="X386" s="93"/>
      <c r="Y386" s="93"/>
      <c r="Z386" s="93"/>
    </row>
    <row r="387" ht="14.25" customHeight="1">
      <c r="A387" s="93"/>
      <c r="B387" s="93"/>
      <c r="C387" s="93"/>
      <c r="D387" s="93"/>
      <c r="E387" s="110"/>
      <c r="F387" s="110"/>
      <c r="G387" s="93"/>
      <c r="H387" s="93"/>
      <c r="I387" s="93"/>
      <c r="J387" s="93"/>
      <c r="K387" s="93"/>
      <c r="L387" s="93"/>
      <c r="M387" s="93"/>
      <c r="N387" s="93"/>
      <c r="O387" s="93"/>
      <c r="P387" s="93"/>
      <c r="Q387" s="93"/>
      <c r="R387" s="93"/>
      <c r="S387" s="93"/>
      <c r="T387" s="93"/>
      <c r="U387" s="93"/>
      <c r="V387" s="93"/>
      <c r="W387" s="93"/>
      <c r="X387" s="93"/>
      <c r="Y387" s="93"/>
      <c r="Z387" s="93"/>
    </row>
    <row r="388" ht="14.25" customHeight="1">
      <c r="A388" s="93"/>
      <c r="B388" s="93"/>
      <c r="C388" s="93"/>
      <c r="D388" s="93"/>
      <c r="E388" s="110"/>
      <c r="F388" s="110"/>
      <c r="G388" s="93"/>
      <c r="H388" s="93"/>
      <c r="I388" s="93"/>
      <c r="J388" s="93"/>
      <c r="K388" s="93"/>
      <c r="L388" s="93"/>
      <c r="M388" s="93"/>
      <c r="N388" s="93"/>
      <c r="O388" s="93"/>
      <c r="P388" s="93"/>
      <c r="Q388" s="93"/>
      <c r="R388" s="93"/>
      <c r="S388" s="93"/>
      <c r="T388" s="93"/>
      <c r="U388" s="93"/>
      <c r="V388" s="93"/>
      <c r="W388" s="93"/>
      <c r="X388" s="93"/>
      <c r="Y388" s="93"/>
      <c r="Z388" s="93"/>
    </row>
    <row r="389" ht="14.25" customHeight="1">
      <c r="A389" s="93"/>
      <c r="B389" s="93"/>
      <c r="C389" s="93"/>
      <c r="D389" s="93"/>
      <c r="E389" s="110"/>
      <c r="F389" s="110"/>
      <c r="G389" s="93"/>
      <c r="H389" s="93"/>
      <c r="I389" s="93"/>
      <c r="J389" s="93"/>
      <c r="K389" s="93"/>
      <c r="L389" s="93"/>
      <c r="M389" s="93"/>
      <c r="N389" s="93"/>
      <c r="O389" s="93"/>
      <c r="P389" s="93"/>
      <c r="Q389" s="93"/>
      <c r="R389" s="93"/>
      <c r="S389" s="93"/>
      <c r="T389" s="93"/>
      <c r="U389" s="93"/>
      <c r="V389" s="93"/>
      <c r="W389" s="93"/>
      <c r="X389" s="93"/>
      <c r="Y389" s="93"/>
      <c r="Z389" s="93"/>
    </row>
    <row r="390" ht="14.25" customHeight="1">
      <c r="A390" s="93"/>
      <c r="B390" s="93"/>
      <c r="C390" s="93"/>
      <c r="D390" s="93"/>
      <c r="E390" s="110"/>
      <c r="F390" s="110"/>
      <c r="G390" s="93"/>
      <c r="H390" s="93"/>
      <c r="I390" s="93"/>
      <c r="J390" s="93"/>
      <c r="K390" s="93"/>
      <c r="L390" s="93"/>
      <c r="M390" s="93"/>
      <c r="N390" s="93"/>
      <c r="O390" s="93"/>
      <c r="P390" s="93"/>
      <c r="Q390" s="93"/>
      <c r="R390" s="93"/>
      <c r="S390" s="93"/>
      <c r="T390" s="93"/>
      <c r="U390" s="93"/>
      <c r="V390" s="93"/>
      <c r="W390" s="93"/>
      <c r="X390" s="93"/>
      <c r="Y390" s="93"/>
      <c r="Z390" s="93"/>
    </row>
    <row r="391" ht="14.25" customHeight="1">
      <c r="A391" s="93"/>
      <c r="B391" s="93"/>
      <c r="C391" s="93"/>
      <c r="D391" s="93"/>
      <c r="E391" s="110"/>
      <c r="F391" s="110"/>
      <c r="G391" s="93"/>
      <c r="H391" s="93"/>
      <c r="I391" s="93"/>
      <c r="J391" s="93"/>
      <c r="K391" s="93"/>
      <c r="L391" s="93"/>
      <c r="M391" s="93"/>
      <c r="N391" s="93"/>
      <c r="O391" s="93"/>
      <c r="P391" s="93"/>
      <c r="Q391" s="93"/>
      <c r="R391" s="93"/>
      <c r="S391" s="93"/>
      <c r="T391" s="93"/>
      <c r="U391" s="93"/>
      <c r="V391" s="93"/>
      <c r="W391" s="93"/>
      <c r="X391" s="93"/>
      <c r="Y391" s="93"/>
      <c r="Z391" s="93"/>
    </row>
    <row r="392" ht="14.25" customHeight="1">
      <c r="A392" s="93"/>
      <c r="B392" s="93"/>
      <c r="C392" s="93"/>
      <c r="D392" s="93"/>
      <c r="E392" s="110"/>
      <c r="F392" s="110"/>
      <c r="G392" s="93"/>
      <c r="H392" s="93"/>
      <c r="I392" s="93"/>
      <c r="J392" s="93"/>
      <c r="K392" s="93"/>
      <c r="L392" s="93"/>
      <c r="M392" s="93"/>
      <c r="N392" s="93"/>
      <c r="O392" s="93"/>
      <c r="P392" s="93"/>
      <c r="Q392" s="93"/>
      <c r="R392" s="93"/>
      <c r="S392" s="93"/>
      <c r="T392" s="93"/>
      <c r="U392" s="93"/>
      <c r="V392" s="93"/>
      <c r="W392" s="93"/>
      <c r="X392" s="93"/>
      <c r="Y392" s="93"/>
      <c r="Z392" s="93"/>
    </row>
    <row r="393" ht="14.25" customHeight="1">
      <c r="A393" s="93"/>
      <c r="B393" s="93"/>
      <c r="C393" s="93"/>
      <c r="D393" s="93"/>
      <c r="E393" s="110"/>
      <c r="F393" s="110"/>
      <c r="G393" s="93"/>
      <c r="H393" s="93"/>
      <c r="I393" s="93"/>
      <c r="J393" s="93"/>
      <c r="K393" s="93"/>
      <c r="L393" s="93"/>
      <c r="M393" s="93"/>
      <c r="N393" s="93"/>
      <c r="O393" s="93"/>
      <c r="P393" s="93"/>
      <c r="Q393" s="93"/>
      <c r="R393" s="93"/>
      <c r="S393" s="93"/>
      <c r="T393" s="93"/>
      <c r="U393" s="93"/>
      <c r="V393" s="93"/>
      <c r="W393" s="93"/>
      <c r="X393" s="93"/>
      <c r="Y393" s="93"/>
      <c r="Z393" s="93"/>
    </row>
    <row r="394" ht="14.25" customHeight="1">
      <c r="A394" s="93"/>
      <c r="B394" s="93"/>
      <c r="C394" s="93"/>
      <c r="D394" s="93"/>
      <c r="E394" s="110"/>
      <c r="F394" s="110"/>
      <c r="G394" s="93"/>
      <c r="H394" s="93"/>
      <c r="I394" s="93"/>
      <c r="J394" s="93"/>
      <c r="K394" s="93"/>
      <c r="L394" s="93"/>
      <c r="M394" s="93"/>
      <c r="N394" s="93"/>
      <c r="O394" s="93"/>
      <c r="P394" s="93"/>
      <c r="Q394" s="93"/>
      <c r="R394" s="93"/>
      <c r="S394" s="93"/>
      <c r="T394" s="93"/>
      <c r="U394" s="93"/>
      <c r="V394" s="93"/>
      <c r="W394" s="93"/>
      <c r="X394" s="93"/>
      <c r="Y394" s="93"/>
      <c r="Z394" s="93"/>
    </row>
    <row r="395" ht="14.25" customHeight="1">
      <c r="A395" s="93"/>
      <c r="B395" s="93"/>
      <c r="C395" s="93"/>
      <c r="D395" s="93"/>
      <c r="E395" s="110"/>
      <c r="F395" s="110"/>
      <c r="G395" s="93"/>
      <c r="H395" s="93"/>
      <c r="I395" s="93"/>
      <c r="J395" s="93"/>
      <c r="K395" s="93"/>
      <c r="L395" s="93"/>
      <c r="M395" s="93"/>
      <c r="N395" s="93"/>
      <c r="O395" s="93"/>
      <c r="P395" s="93"/>
      <c r="Q395" s="93"/>
      <c r="R395" s="93"/>
      <c r="S395" s="93"/>
      <c r="T395" s="93"/>
      <c r="U395" s="93"/>
      <c r="V395" s="93"/>
      <c r="W395" s="93"/>
      <c r="X395" s="93"/>
      <c r="Y395" s="93"/>
      <c r="Z395" s="93"/>
    </row>
    <row r="396" ht="14.25" customHeight="1">
      <c r="A396" s="93"/>
      <c r="B396" s="93"/>
      <c r="C396" s="93"/>
      <c r="D396" s="93"/>
      <c r="E396" s="110"/>
      <c r="F396" s="110"/>
      <c r="G396" s="93"/>
      <c r="H396" s="93"/>
      <c r="I396" s="93"/>
      <c r="J396" s="93"/>
      <c r="K396" s="93"/>
      <c r="L396" s="93"/>
      <c r="M396" s="93"/>
      <c r="N396" s="93"/>
      <c r="O396" s="93"/>
      <c r="P396" s="93"/>
      <c r="Q396" s="93"/>
      <c r="R396" s="93"/>
      <c r="S396" s="93"/>
      <c r="T396" s="93"/>
      <c r="U396" s="93"/>
      <c r="V396" s="93"/>
      <c r="W396" s="93"/>
      <c r="X396" s="93"/>
      <c r="Y396" s="93"/>
      <c r="Z396" s="93"/>
    </row>
    <row r="397" ht="14.25" customHeight="1">
      <c r="A397" s="93"/>
      <c r="B397" s="93"/>
      <c r="C397" s="93"/>
      <c r="D397" s="93"/>
      <c r="E397" s="110"/>
      <c r="F397" s="110"/>
      <c r="G397" s="93"/>
      <c r="H397" s="93"/>
      <c r="I397" s="93"/>
      <c r="J397" s="93"/>
      <c r="K397" s="93"/>
      <c r="L397" s="93"/>
      <c r="M397" s="93"/>
      <c r="N397" s="93"/>
      <c r="O397" s="93"/>
      <c r="P397" s="93"/>
      <c r="Q397" s="93"/>
      <c r="R397" s="93"/>
      <c r="S397" s="93"/>
      <c r="T397" s="93"/>
      <c r="U397" s="93"/>
      <c r="V397" s="93"/>
      <c r="W397" s="93"/>
      <c r="X397" s="93"/>
      <c r="Y397" s="93"/>
      <c r="Z397" s="93"/>
    </row>
    <row r="398" ht="14.25" customHeight="1">
      <c r="A398" s="93"/>
      <c r="B398" s="93"/>
      <c r="C398" s="93"/>
      <c r="D398" s="93"/>
      <c r="E398" s="110"/>
      <c r="F398" s="110"/>
      <c r="G398" s="93"/>
      <c r="H398" s="93"/>
      <c r="I398" s="93"/>
      <c r="J398" s="93"/>
      <c r="K398" s="93"/>
      <c r="L398" s="93"/>
      <c r="M398" s="93"/>
      <c r="N398" s="93"/>
      <c r="O398" s="93"/>
      <c r="P398" s="93"/>
      <c r="Q398" s="93"/>
      <c r="R398" s="93"/>
      <c r="S398" s="93"/>
      <c r="T398" s="93"/>
      <c r="U398" s="93"/>
      <c r="V398" s="93"/>
      <c r="W398" s="93"/>
      <c r="X398" s="93"/>
      <c r="Y398" s="93"/>
      <c r="Z398" s="93"/>
    </row>
    <row r="399" ht="14.25" customHeight="1">
      <c r="A399" s="93"/>
      <c r="B399" s="93"/>
      <c r="C399" s="93"/>
      <c r="D399" s="93"/>
      <c r="E399" s="110"/>
      <c r="F399" s="110"/>
      <c r="G399" s="93"/>
      <c r="H399" s="93"/>
      <c r="I399" s="93"/>
      <c r="J399" s="93"/>
      <c r="K399" s="93"/>
      <c r="L399" s="93"/>
      <c r="M399" s="93"/>
      <c r="N399" s="93"/>
      <c r="O399" s="93"/>
      <c r="P399" s="93"/>
      <c r="Q399" s="93"/>
      <c r="R399" s="93"/>
      <c r="S399" s="93"/>
      <c r="T399" s="93"/>
      <c r="U399" s="93"/>
      <c r="V399" s="93"/>
      <c r="W399" s="93"/>
      <c r="X399" s="93"/>
      <c r="Y399" s="93"/>
      <c r="Z399" s="93"/>
    </row>
    <row r="400" ht="14.25" customHeight="1">
      <c r="A400" s="93"/>
      <c r="B400" s="93"/>
      <c r="C400" s="93"/>
      <c r="D400" s="93"/>
      <c r="E400" s="110"/>
      <c r="F400" s="110"/>
      <c r="G400" s="93"/>
      <c r="H400" s="93"/>
      <c r="I400" s="93"/>
      <c r="J400" s="93"/>
      <c r="K400" s="93"/>
      <c r="L400" s="93"/>
      <c r="M400" s="93"/>
      <c r="N400" s="93"/>
      <c r="O400" s="93"/>
      <c r="P400" s="93"/>
      <c r="Q400" s="93"/>
      <c r="R400" s="93"/>
      <c r="S400" s="93"/>
      <c r="T400" s="93"/>
      <c r="U400" s="93"/>
      <c r="V400" s="93"/>
      <c r="W400" s="93"/>
      <c r="X400" s="93"/>
      <c r="Y400" s="93"/>
      <c r="Z400" s="93"/>
    </row>
    <row r="401" ht="14.25" customHeight="1">
      <c r="A401" s="93"/>
      <c r="B401" s="93"/>
      <c r="C401" s="93"/>
      <c r="D401" s="93"/>
      <c r="E401" s="110"/>
      <c r="F401" s="110"/>
      <c r="G401" s="93"/>
      <c r="H401" s="93"/>
      <c r="I401" s="93"/>
      <c r="J401" s="93"/>
      <c r="K401" s="93"/>
      <c r="L401" s="93"/>
      <c r="M401" s="93"/>
      <c r="N401" s="93"/>
      <c r="O401" s="93"/>
      <c r="P401" s="93"/>
      <c r="Q401" s="93"/>
      <c r="R401" s="93"/>
      <c r="S401" s="93"/>
      <c r="T401" s="93"/>
      <c r="U401" s="93"/>
      <c r="V401" s="93"/>
      <c r="W401" s="93"/>
      <c r="X401" s="93"/>
      <c r="Y401" s="93"/>
      <c r="Z401" s="93"/>
    </row>
    <row r="402" ht="14.25" customHeight="1">
      <c r="A402" s="93"/>
      <c r="B402" s="93"/>
      <c r="C402" s="93"/>
      <c r="D402" s="93"/>
      <c r="E402" s="110"/>
      <c r="F402" s="110"/>
      <c r="G402" s="93"/>
      <c r="H402" s="93"/>
      <c r="I402" s="93"/>
      <c r="J402" s="93"/>
      <c r="K402" s="93"/>
      <c r="L402" s="93"/>
      <c r="M402" s="93"/>
      <c r="N402" s="93"/>
      <c r="O402" s="93"/>
      <c r="P402" s="93"/>
      <c r="Q402" s="93"/>
      <c r="R402" s="93"/>
      <c r="S402" s="93"/>
      <c r="T402" s="93"/>
      <c r="U402" s="93"/>
      <c r="V402" s="93"/>
      <c r="W402" s="93"/>
      <c r="X402" s="93"/>
      <c r="Y402" s="93"/>
      <c r="Z402" s="93"/>
    </row>
    <row r="403" ht="14.25" customHeight="1">
      <c r="A403" s="93"/>
      <c r="B403" s="93"/>
      <c r="C403" s="93"/>
      <c r="D403" s="93"/>
      <c r="E403" s="110"/>
      <c r="F403" s="110"/>
      <c r="G403" s="93"/>
      <c r="H403" s="93"/>
      <c r="I403" s="93"/>
      <c r="J403" s="93"/>
      <c r="K403" s="93"/>
      <c r="L403" s="93"/>
      <c r="M403" s="93"/>
      <c r="N403" s="93"/>
      <c r="O403" s="93"/>
      <c r="P403" s="93"/>
      <c r="Q403" s="93"/>
      <c r="R403" s="93"/>
      <c r="S403" s="93"/>
      <c r="T403" s="93"/>
      <c r="U403" s="93"/>
      <c r="V403" s="93"/>
      <c r="W403" s="93"/>
      <c r="X403" s="93"/>
      <c r="Y403" s="93"/>
      <c r="Z403" s="93"/>
    </row>
    <row r="404" ht="14.25" customHeight="1">
      <c r="A404" s="93"/>
      <c r="B404" s="93"/>
      <c r="C404" s="93"/>
      <c r="D404" s="93"/>
      <c r="E404" s="110"/>
      <c r="F404" s="110"/>
      <c r="G404" s="93"/>
      <c r="H404" s="93"/>
      <c r="I404" s="93"/>
      <c r="J404" s="93"/>
      <c r="K404" s="93"/>
      <c r="L404" s="93"/>
      <c r="M404" s="93"/>
      <c r="N404" s="93"/>
      <c r="O404" s="93"/>
      <c r="P404" s="93"/>
      <c r="Q404" s="93"/>
      <c r="R404" s="93"/>
      <c r="S404" s="93"/>
      <c r="T404" s="93"/>
      <c r="U404" s="93"/>
      <c r="V404" s="93"/>
      <c r="W404" s="93"/>
      <c r="X404" s="93"/>
      <c r="Y404" s="93"/>
      <c r="Z404" s="93"/>
    </row>
    <row r="405" ht="14.25" customHeight="1">
      <c r="A405" s="93"/>
      <c r="B405" s="93"/>
      <c r="C405" s="93"/>
      <c r="D405" s="93"/>
      <c r="E405" s="110"/>
      <c r="F405" s="110"/>
      <c r="G405" s="93"/>
      <c r="H405" s="93"/>
      <c r="I405" s="93"/>
      <c r="J405" s="93"/>
      <c r="K405" s="93"/>
      <c r="L405" s="93"/>
      <c r="M405" s="93"/>
      <c r="N405" s="93"/>
      <c r="O405" s="93"/>
      <c r="P405" s="93"/>
      <c r="Q405" s="93"/>
      <c r="R405" s="93"/>
      <c r="S405" s="93"/>
      <c r="T405" s="93"/>
      <c r="U405" s="93"/>
      <c r="V405" s="93"/>
      <c r="W405" s="93"/>
      <c r="X405" s="93"/>
      <c r="Y405" s="93"/>
      <c r="Z405" s="93"/>
    </row>
    <row r="406" ht="14.25" customHeight="1">
      <c r="A406" s="93"/>
      <c r="B406" s="93"/>
      <c r="C406" s="93"/>
      <c r="D406" s="93"/>
      <c r="E406" s="110"/>
      <c r="F406" s="110"/>
      <c r="G406" s="93"/>
      <c r="H406" s="93"/>
      <c r="I406" s="93"/>
      <c r="J406" s="93"/>
      <c r="K406" s="93"/>
      <c r="L406" s="93"/>
      <c r="M406" s="93"/>
      <c r="N406" s="93"/>
      <c r="O406" s="93"/>
      <c r="P406" s="93"/>
      <c r="Q406" s="93"/>
      <c r="R406" s="93"/>
      <c r="S406" s="93"/>
      <c r="T406" s="93"/>
      <c r="U406" s="93"/>
      <c r="V406" s="93"/>
      <c r="W406" s="93"/>
      <c r="X406" s="93"/>
      <c r="Y406" s="93"/>
      <c r="Z406" s="93"/>
    </row>
    <row r="407" ht="14.25" customHeight="1">
      <c r="A407" s="93"/>
      <c r="B407" s="93"/>
      <c r="C407" s="93"/>
      <c r="D407" s="93"/>
      <c r="E407" s="110"/>
      <c r="F407" s="110"/>
      <c r="G407" s="93"/>
      <c r="H407" s="93"/>
      <c r="I407" s="93"/>
      <c r="J407" s="93"/>
      <c r="K407" s="93"/>
      <c r="L407" s="93"/>
      <c r="M407" s="93"/>
      <c r="N407" s="93"/>
      <c r="O407" s="93"/>
      <c r="P407" s="93"/>
      <c r="Q407" s="93"/>
      <c r="R407" s="93"/>
      <c r="S407" s="93"/>
      <c r="T407" s="93"/>
      <c r="U407" s="93"/>
      <c r="V407" s="93"/>
      <c r="W407" s="93"/>
      <c r="X407" s="93"/>
      <c r="Y407" s="93"/>
      <c r="Z407" s="93"/>
    </row>
    <row r="408" ht="14.25" customHeight="1">
      <c r="A408" s="93"/>
      <c r="B408" s="93"/>
      <c r="C408" s="93"/>
      <c r="D408" s="93"/>
      <c r="E408" s="110"/>
      <c r="F408" s="110"/>
      <c r="G408" s="93"/>
      <c r="H408" s="93"/>
      <c r="I408" s="93"/>
      <c r="J408" s="93"/>
      <c r="K408" s="93"/>
      <c r="L408" s="93"/>
      <c r="M408" s="93"/>
      <c r="N408" s="93"/>
      <c r="O408" s="93"/>
      <c r="P408" s="93"/>
      <c r="Q408" s="93"/>
      <c r="R408" s="93"/>
      <c r="S408" s="93"/>
      <c r="T408" s="93"/>
      <c r="U408" s="93"/>
      <c r="V408" s="93"/>
      <c r="W408" s="93"/>
      <c r="X408" s="93"/>
      <c r="Y408" s="93"/>
      <c r="Z408" s="93"/>
    </row>
    <row r="409" ht="14.25" customHeight="1">
      <c r="A409" s="93"/>
      <c r="B409" s="93"/>
      <c r="C409" s="93"/>
      <c r="D409" s="93"/>
      <c r="E409" s="110"/>
      <c r="F409" s="110"/>
      <c r="G409" s="93"/>
      <c r="H409" s="93"/>
      <c r="I409" s="93"/>
      <c r="J409" s="93"/>
      <c r="K409" s="93"/>
      <c r="L409" s="93"/>
      <c r="M409" s="93"/>
      <c r="N409" s="93"/>
      <c r="O409" s="93"/>
      <c r="P409" s="93"/>
      <c r="Q409" s="93"/>
      <c r="R409" s="93"/>
      <c r="S409" s="93"/>
      <c r="T409" s="93"/>
      <c r="U409" s="93"/>
      <c r="V409" s="93"/>
      <c r="W409" s="93"/>
      <c r="X409" s="93"/>
      <c r="Y409" s="93"/>
      <c r="Z409" s="93"/>
    </row>
    <row r="410" ht="14.25" customHeight="1">
      <c r="A410" s="93"/>
      <c r="B410" s="93"/>
      <c r="C410" s="93"/>
      <c r="D410" s="93"/>
      <c r="E410" s="110"/>
      <c r="F410" s="110"/>
      <c r="G410" s="93"/>
      <c r="H410" s="93"/>
      <c r="I410" s="93"/>
      <c r="J410" s="93"/>
      <c r="K410" s="93"/>
      <c r="L410" s="93"/>
      <c r="M410" s="93"/>
      <c r="N410" s="93"/>
      <c r="O410" s="93"/>
      <c r="P410" s="93"/>
      <c r="Q410" s="93"/>
      <c r="R410" s="93"/>
      <c r="S410" s="93"/>
      <c r="T410" s="93"/>
      <c r="U410" s="93"/>
      <c r="V410" s="93"/>
      <c r="W410" s="93"/>
      <c r="X410" s="93"/>
      <c r="Y410" s="93"/>
      <c r="Z410" s="93"/>
    </row>
    <row r="411" ht="14.25" customHeight="1">
      <c r="A411" s="93"/>
      <c r="B411" s="93"/>
      <c r="C411" s="93"/>
      <c r="D411" s="93"/>
      <c r="E411" s="110"/>
      <c r="F411" s="110"/>
      <c r="G411" s="93"/>
      <c r="H411" s="93"/>
      <c r="I411" s="93"/>
      <c r="J411" s="93"/>
      <c r="K411" s="93"/>
      <c r="L411" s="93"/>
      <c r="M411" s="93"/>
      <c r="N411" s="93"/>
      <c r="O411" s="93"/>
      <c r="P411" s="93"/>
      <c r="Q411" s="93"/>
      <c r="R411" s="93"/>
      <c r="S411" s="93"/>
      <c r="T411" s="93"/>
      <c r="U411" s="93"/>
      <c r="V411" s="93"/>
      <c r="W411" s="93"/>
      <c r="X411" s="93"/>
      <c r="Y411" s="93"/>
      <c r="Z411" s="93"/>
    </row>
    <row r="412" ht="14.25" customHeight="1">
      <c r="A412" s="93"/>
      <c r="B412" s="93"/>
      <c r="C412" s="93"/>
      <c r="D412" s="93"/>
      <c r="E412" s="110"/>
      <c r="F412" s="110"/>
      <c r="G412" s="93"/>
      <c r="H412" s="93"/>
      <c r="I412" s="93"/>
      <c r="J412" s="93"/>
      <c r="K412" s="93"/>
      <c r="L412" s="93"/>
      <c r="M412" s="93"/>
      <c r="N412" s="93"/>
      <c r="O412" s="93"/>
      <c r="P412" s="93"/>
      <c r="Q412" s="93"/>
      <c r="R412" s="93"/>
      <c r="S412" s="93"/>
      <c r="T412" s="93"/>
      <c r="U412" s="93"/>
      <c r="V412" s="93"/>
      <c r="W412" s="93"/>
      <c r="X412" s="93"/>
      <c r="Y412" s="93"/>
      <c r="Z412" s="93"/>
    </row>
    <row r="413" ht="14.25" customHeight="1">
      <c r="A413" s="93"/>
      <c r="B413" s="93"/>
      <c r="C413" s="93"/>
      <c r="D413" s="93"/>
      <c r="E413" s="110"/>
      <c r="F413" s="110"/>
      <c r="G413" s="93"/>
      <c r="H413" s="93"/>
      <c r="I413" s="93"/>
      <c r="J413" s="93"/>
      <c r="K413" s="93"/>
      <c r="L413" s="93"/>
      <c r="M413" s="93"/>
      <c r="N413" s="93"/>
      <c r="O413" s="93"/>
      <c r="P413" s="93"/>
      <c r="Q413" s="93"/>
      <c r="R413" s="93"/>
      <c r="S413" s="93"/>
      <c r="T413" s="93"/>
      <c r="U413" s="93"/>
      <c r="V413" s="93"/>
      <c r="W413" s="93"/>
      <c r="X413" s="93"/>
      <c r="Y413" s="93"/>
      <c r="Z413" s="93"/>
    </row>
    <row r="414" ht="14.25" customHeight="1">
      <c r="A414" s="93"/>
      <c r="B414" s="93"/>
      <c r="C414" s="93"/>
      <c r="D414" s="93"/>
      <c r="E414" s="110"/>
      <c r="F414" s="110"/>
      <c r="G414" s="93"/>
      <c r="H414" s="93"/>
      <c r="I414" s="93"/>
      <c r="J414" s="93"/>
      <c r="K414" s="93"/>
      <c r="L414" s="93"/>
      <c r="M414" s="93"/>
      <c r="N414" s="93"/>
      <c r="O414" s="93"/>
      <c r="P414" s="93"/>
      <c r="Q414" s="93"/>
      <c r="R414" s="93"/>
      <c r="S414" s="93"/>
      <c r="T414" s="93"/>
      <c r="U414" s="93"/>
      <c r="V414" s="93"/>
      <c r="W414" s="93"/>
      <c r="X414" s="93"/>
      <c r="Y414" s="93"/>
      <c r="Z414" s="93"/>
    </row>
    <row r="415" ht="14.25" customHeight="1">
      <c r="A415" s="93"/>
      <c r="B415" s="93"/>
      <c r="C415" s="93"/>
      <c r="D415" s="93"/>
      <c r="E415" s="110"/>
      <c r="F415" s="110"/>
      <c r="G415" s="93"/>
      <c r="H415" s="93"/>
      <c r="I415" s="93"/>
      <c r="J415" s="93"/>
      <c r="K415" s="93"/>
      <c r="L415" s="93"/>
      <c r="M415" s="93"/>
      <c r="N415" s="93"/>
      <c r="O415" s="93"/>
      <c r="P415" s="93"/>
      <c r="Q415" s="93"/>
      <c r="R415" s="93"/>
      <c r="S415" s="93"/>
      <c r="T415" s="93"/>
      <c r="U415" s="93"/>
      <c r="V415" s="93"/>
      <c r="W415" s="93"/>
      <c r="X415" s="93"/>
      <c r="Y415" s="93"/>
      <c r="Z415" s="93"/>
    </row>
    <row r="416" ht="14.25" customHeight="1">
      <c r="A416" s="93"/>
      <c r="B416" s="93"/>
      <c r="C416" s="93"/>
      <c r="D416" s="93"/>
      <c r="E416" s="110"/>
      <c r="F416" s="110"/>
      <c r="G416" s="93"/>
      <c r="H416" s="93"/>
      <c r="I416" s="93"/>
      <c r="J416" s="93"/>
      <c r="K416" s="93"/>
      <c r="L416" s="93"/>
      <c r="M416" s="93"/>
      <c r="N416" s="93"/>
      <c r="O416" s="93"/>
      <c r="P416" s="93"/>
      <c r="Q416" s="93"/>
      <c r="R416" s="93"/>
      <c r="S416" s="93"/>
      <c r="T416" s="93"/>
      <c r="U416" s="93"/>
      <c r="V416" s="93"/>
      <c r="W416" s="93"/>
      <c r="X416" s="93"/>
      <c r="Y416" s="93"/>
      <c r="Z416" s="93"/>
    </row>
    <row r="417" ht="14.25" customHeight="1">
      <c r="A417" s="93"/>
      <c r="B417" s="93"/>
      <c r="C417" s="93"/>
      <c r="D417" s="93"/>
      <c r="E417" s="110"/>
      <c r="F417" s="110"/>
      <c r="G417" s="93"/>
      <c r="H417" s="93"/>
      <c r="I417" s="93"/>
      <c r="J417" s="93"/>
      <c r="K417" s="93"/>
      <c r="L417" s="93"/>
      <c r="M417" s="93"/>
      <c r="N417" s="93"/>
      <c r="O417" s="93"/>
      <c r="P417" s="93"/>
      <c r="Q417" s="93"/>
      <c r="R417" s="93"/>
      <c r="S417" s="93"/>
      <c r="T417" s="93"/>
      <c r="U417" s="93"/>
      <c r="V417" s="93"/>
      <c r="W417" s="93"/>
      <c r="X417" s="93"/>
      <c r="Y417" s="93"/>
      <c r="Z417" s="93"/>
    </row>
    <row r="418" ht="14.25" customHeight="1">
      <c r="A418" s="93"/>
      <c r="B418" s="93"/>
      <c r="C418" s="93"/>
      <c r="D418" s="93"/>
      <c r="E418" s="110"/>
      <c r="F418" s="110"/>
      <c r="G418" s="93"/>
      <c r="H418" s="93"/>
      <c r="I418" s="93"/>
      <c r="J418" s="93"/>
      <c r="K418" s="93"/>
      <c r="L418" s="93"/>
      <c r="M418" s="93"/>
      <c r="N418" s="93"/>
      <c r="O418" s="93"/>
      <c r="P418" s="93"/>
      <c r="Q418" s="93"/>
      <c r="R418" s="93"/>
      <c r="S418" s="93"/>
      <c r="T418" s="93"/>
      <c r="U418" s="93"/>
      <c r="V418" s="93"/>
      <c r="W418" s="93"/>
      <c r="X418" s="93"/>
      <c r="Y418" s="93"/>
      <c r="Z418" s="93"/>
    </row>
    <row r="419" ht="14.25" customHeight="1">
      <c r="A419" s="93"/>
      <c r="B419" s="93"/>
      <c r="C419" s="93"/>
      <c r="D419" s="93"/>
      <c r="E419" s="110"/>
      <c r="F419" s="110"/>
      <c r="G419" s="93"/>
      <c r="H419" s="93"/>
      <c r="I419" s="93"/>
      <c r="J419" s="93"/>
      <c r="K419" s="93"/>
      <c r="L419" s="93"/>
      <c r="M419" s="93"/>
      <c r="N419" s="93"/>
      <c r="O419" s="93"/>
      <c r="P419" s="93"/>
      <c r="Q419" s="93"/>
      <c r="R419" s="93"/>
      <c r="S419" s="93"/>
      <c r="T419" s="93"/>
      <c r="U419" s="93"/>
      <c r="V419" s="93"/>
      <c r="W419" s="93"/>
      <c r="X419" s="93"/>
      <c r="Y419" s="93"/>
      <c r="Z419" s="93"/>
    </row>
    <row r="420" ht="14.25" customHeight="1">
      <c r="A420" s="93"/>
      <c r="B420" s="93"/>
      <c r="C420" s="93"/>
      <c r="D420" s="93"/>
      <c r="E420" s="110"/>
      <c r="F420" s="110"/>
      <c r="G420" s="93"/>
      <c r="H420" s="93"/>
      <c r="I420" s="93"/>
      <c r="J420" s="93"/>
      <c r="K420" s="93"/>
      <c r="L420" s="93"/>
      <c r="M420" s="93"/>
      <c r="N420" s="93"/>
      <c r="O420" s="93"/>
      <c r="P420" s="93"/>
      <c r="Q420" s="93"/>
      <c r="R420" s="93"/>
      <c r="S420" s="93"/>
      <c r="T420" s="93"/>
      <c r="U420" s="93"/>
      <c r="V420" s="93"/>
      <c r="W420" s="93"/>
      <c r="X420" s="93"/>
      <c r="Y420" s="93"/>
      <c r="Z420" s="93"/>
    </row>
    <row r="421" ht="14.25" customHeight="1">
      <c r="A421" s="93"/>
      <c r="B421" s="93"/>
      <c r="C421" s="93"/>
      <c r="D421" s="93"/>
      <c r="E421" s="110"/>
      <c r="F421" s="110"/>
      <c r="G421" s="93"/>
      <c r="H421" s="93"/>
      <c r="I421" s="93"/>
      <c r="J421" s="93"/>
      <c r="K421" s="93"/>
      <c r="L421" s="93"/>
      <c r="M421" s="93"/>
      <c r="N421" s="93"/>
      <c r="O421" s="93"/>
      <c r="P421" s="93"/>
      <c r="Q421" s="93"/>
      <c r="R421" s="93"/>
      <c r="S421" s="93"/>
      <c r="T421" s="93"/>
      <c r="U421" s="93"/>
      <c r="V421" s="93"/>
      <c r="W421" s="93"/>
      <c r="X421" s="93"/>
      <c r="Y421" s="93"/>
      <c r="Z421" s="93"/>
    </row>
    <row r="422" ht="14.25" customHeight="1">
      <c r="A422" s="93"/>
      <c r="B422" s="93"/>
      <c r="C422" s="93"/>
      <c r="D422" s="93"/>
      <c r="E422" s="110"/>
      <c r="F422" s="110"/>
      <c r="G422" s="93"/>
      <c r="H422" s="93"/>
      <c r="I422" s="93"/>
      <c r="J422" s="93"/>
      <c r="K422" s="93"/>
      <c r="L422" s="93"/>
      <c r="M422" s="93"/>
      <c r="N422" s="93"/>
      <c r="O422" s="93"/>
      <c r="P422" s="93"/>
      <c r="Q422" s="93"/>
      <c r="R422" s="93"/>
      <c r="S422" s="93"/>
      <c r="T422" s="93"/>
      <c r="U422" s="93"/>
      <c r="V422" s="93"/>
      <c r="W422" s="93"/>
      <c r="X422" s="93"/>
      <c r="Y422" s="93"/>
      <c r="Z422" s="93"/>
    </row>
    <row r="423" ht="14.25" customHeight="1">
      <c r="A423" s="93"/>
      <c r="B423" s="93"/>
      <c r="C423" s="93"/>
      <c r="D423" s="93"/>
      <c r="E423" s="110"/>
      <c r="F423" s="110"/>
      <c r="G423" s="93"/>
      <c r="H423" s="93"/>
      <c r="I423" s="93"/>
      <c r="J423" s="93"/>
      <c r="K423" s="93"/>
      <c r="L423" s="93"/>
      <c r="M423" s="93"/>
      <c r="N423" s="93"/>
      <c r="O423" s="93"/>
      <c r="P423" s="93"/>
      <c r="Q423" s="93"/>
      <c r="R423" s="93"/>
      <c r="S423" s="93"/>
      <c r="T423" s="93"/>
      <c r="U423" s="93"/>
      <c r="V423" s="93"/>
      <c r="W423" s="93"/>
      <c r="X423" s="93"/>
      <c r="Y423" s="93"/>
      <c r="Z423" s="93"/>
    </row>
    <row r="424" ht="14.25" customHeight="1">
      <c r="A424" s="93"/>
      <c r="B424" s="93"/>
      <c r="C424" s="93"/>
      <c r="D424" s="93"/>
      <c r="E424" s="110"/>
      <c r="F424" s="110"/>
      <c r="G424" s="93"/>
      <c r="H424" s="93"/>
      <c r="I424" s="93"/>
      <c r="J424" s="93"/>
      <c r="K424" s="93"/>
      <c r="L424" s="93"/>
      <c r="M424" s="93"/>
      <c r="N424" s="93"/>
      <c r="O424" s="93"/>
      <c r="P424" s="93"/>
      <c r="Q424" s="93"/>
      <c r="R424" s="93"/>
      <c r="S424" s="93"/>
      <c r="T424" s="93"/>
      <c r="U424" s="93"/>
      <c r="V424" s="93"/>
      <c r="W424" s="93"/>
      <c r="X424" s="93"/>
      <c r="Y424" s="93"/>
      <c r="Z424" s="93"/>
    </row>
    <row r="425" ht="14.25" customHeight="1">
      <c r="A425" s="93"/>
      <c r="B425" s="93"/>
      <c r="C425" s="93"/>
      <c r="D425" s="93"/>
      <c r="E425" s="110"/>
      <c r="F425" s="110"/>
      <c r="G425" s="93"/>
      <c r="H425" s="93"/>
      <c r="I425" s="93"/>
      <c r="J425" s="93"/>
      <c r="K425" s="93"/>
      <c r="L425" s="93"/>
      <c r="M425" s="93"/>
      <c r="N425" s="93"/>
      <c r="O425" s="93"/>
      <c r="P425" s="93"/>
      <c r="Q425" s="93"/>
      <c r="R425" s="93"/>
      <c r="S425" s="93"/>
      <c r="T425" s="93"/>
      <c r="U425" s="93"/>
      <c r="V425" s="93"/>
      <c r="W425" s="93"/>
      <c r="X425" s="93"/>
      <c r="Y425" s="93"/>
      <c r="Z425" s="93"/>
    </row>
    <row r="426" ht="14.25" customHeight="1">
      <c r="A426" s="93"/>
      <c r="B426" s="93"/>
      <c r="C426" s="93"/>
      <c r="D426" s="93"/>
      <c r="E426" s="110"/>
      <c r="F426" s="110"/>
      <c r="G426" s="93"/>
      <c r="H426" s="93"/>
      <c r="I426" s="93"/>
      <c r="J426" s="93"/>
      <c r="K426" s="93"/>
      <c r="L426" s="93"/>
      <c r="M426" s="93"/>
      <c r="N426" s="93"/>
      <c r="O426" s="93"/>
      <c r="P426" s="93"/>
      <c r="Q426" s="93"/>
      <c r="R426" s="93"/>
      <c r="S426" s="93"/>
      <c r="T426" s="93"/>
      <c r="U426" s="93"/>
      <c r="V426" s="93"/>
      <c r="W426" s="93"/>
      <c r="X426" s="93"/>
      <c r="Y426" s="93"/>
      <c r="Z426" s="93"/>
    </row>
    <row r="427" ht="14.25" customHeight="1">
      <c r="A427" s="93"/>
      <c r="B427" s="93"/>
      <c r="C427" s="93"/>
      <c r="D427" s="93"/>
      <c r="E427" s="110"/>
      <c r="F427" s="110"/>
      <c r="G427" s="93"/>
      <c r="H427" s="93"/>
      <c r="I427" s="93"/>
      <c r="J427" s="93"/>
      <c r="K427" s="93"/>
      <c r="L427" s="93"/>
      <c r="M427" s="93"/>
      <c r="N427" s="93"/>
      <c r="O427" s="93"/>
      <c r="P427" s="93"/>
      <c r="Q427" s="93"/>
      <c r="R427" s="93"/>
      <c r="S427" s="93"/>
      <c r="T427" s="93"/>
      <c r="U427" s="93"/>
      <c r="V427" s="93"/>
      <c r="W427" s="93"/>
      <c r="X427" s="93"/>
      <c r="Y427" s="93"/>
      <c r="Z427" s="93"/>
    </row>
    <row r="428" ht="14.25" customHeight="1">
      <c r="A428" s="93"/>
      <c r="B428" s="93"/>
      <c r="C428" s="93"/>
      <c r="D428" s="93"/>
      <c r="E428" s="110"/>
      <c r="F428" s="110"/>
      <c r="G428" s="93"/>
      <c r="H428" s="93"/>
      <c r="I428" s="93"/>
      <c r="J428" s="93"/>
      <c r="K428" s="93"/>
      <c r="L428" s="93"/>
      <c r="M428" s="93"/>
      <c r="N428" s="93"/>
      <c r="O428" s="93"/>
      <c r="P428" s="93"/>
      <c r="Q428" s="93"/>
      <c r="R428" s="93"/>
      <c r="S428" s="93"/>
      <c r="T428" s="93"/>
      <c r="U428" s="93"/>
      <c r="V428" s="93"/>
      <c r="W428" s="93"/>
      <c r="X428" s="93"/>
      <c r="Y428" s="93"/>
      <c r="Z428" s="93"/>
    </row>
    <row r="429" ht="14.25" customHeight="1">
      <c r="A429" s="93"/>
      <c r="B429" s="93"/>
      <c r="C429" s="93"/>
      <c r="D429" s="93"/>
      <c r="E429" s="110"/>
      <c r="F429" s="110"/>
      <c r="G429" s="93"/>
      <c r="H429" s="93"/>
      <c r="I429" s="93"/>
      <c r="J429" s="93"/>
      <c r="K429" s="93"/>
      <c r="L429" s="93"/>
      <c r="M429" s="93"/>
      <c r="N429" s="93"/>
      <c r="O429" s="93"/>
      <c r="P429" s="93"/>
      <c r="Q429" s="93"/>
      <c r="R429" s="93"/>
      <c r="S429" s="93"/>
      <c r="T429" s="93"/>
      <c r="U429" s="93"/>
      <c r="V429" s="93"/>
      <c r="W429" s="93"/>
      <c r="X429" s="93"/>
      <c r="Y429" s="93"/>
      <c r="Z429" s="93"/>
    </row>
    <row r="430" ht="14.25" customHeight="1">
      <c r="A430" s="93"/>
      <c r="B430" s="93"/>
      <c r="C430" s="93"/>
      <c r="D430" s="93"/>
      <c r="E430" s="110"/>
      <c r="F430" s="110"/>
      <c r="G430" s="93"/>
      <c r="H430" s="93"/>
      <c r="I430" s="93"/>
      <c r="J430" s="93"/>
      <c r="K430" s="93"/>
      <c r="L430" s="93"/>
      <c r="M430" s="93"/>
      <c r="N430" s="93"/>
      <c r="O430" s="93"/>
      <c r="P430" s="93"/>
      <c r="Q430" s="93"/>
      <c r="R430" s="93"/>
      <c r="S430" s="93"/>
      <c r="T430" s="93"/>
      <c r="U430" s="93"/>
      <c r="V430" s="93"/>
      <c r="W430" s="93"/>
      <c r="X430" s="93"/>
      <c r="Y430" s="93"/>
      <c r="Z430" s="93"/>
    </row>
    <row r="431" ht="14.25" customHeight="1">
      <c r="A431" s="93"/>
      <c r="B431" s="93"/>
      <c r="C431" s="93"/>
      <c r="D431" s="93"/>
      <c r="E431" s="110"/>
      <c r="F431" s="110"/>
      <c r="G431" s="93"/>
      <c r="H431" s="93"/>
      <c r="I431" s="93"/>
      <c r="J431" s="93"/>
      <c r="K431" s="93"/>
      <c r="L431" s="93"/>
      <c r="M431" s="93"/>
      <c r="N431" s="93"/>
      <c r="O431" s="93"/>
      <c r="P431" s="93"/>
      <c r="Q431" s="93"/>
      <c r="R431" s="93"/>
      <c r="S431" s="93"/>
      <c r="T431" s="93"/>
      <c r="U431" s="93"/>
      <c r="V431" s="93"/>
      <c r="W431" s="93"/>
      <c r="X431" s="93"/>
      <c r="Y431" s="93"/>
      <c r="Z431" s="93"/>
    </row>
    <row r="432" ht="14.25" customHeight="1">
      <c r="A432" s="93"/>
      <c r="B432" s="93"/>
      <c r="C432" s="93"/>
      <c r="D432" s="93"/>
      <c r="E432" s="110"/>
      <c r="F432" s="110"/>
      <c r="G432" s="93"/>
      <c r="H432" s="93"/>
      <c r="I432" s="93"/>
      <c r="J432" s="93"/>
      <c r="K432" s="93"/>
      <c r="L432" s="93"/>
      <c r="M432" s="93"/>
      <c r="N432" s="93"/>
      <c r="O432" s="93"/>
      <c r="P432" s="93"/>
      <c r="Q432" s="93"/>
      <c r="R432" s="93"/>
      <c r="S432" s="93"/>
      <c r="T432" s="93"/>
      <c r="U432" s="93"/>
      <c r="V432" s="93"/>
      <c r="W432" s="93"/>
      <c r="X432" s="93"/>
      <c r="Y432" s="93"/>
      <c r="Z432" s="93"/>
    </row>
    <row r="433" ht="14.25" customHeight="1">
      <c r="A433" s="93"/>
      <c r="B433" s="93"/>
      <c r="C433" s="93"/>
      <c r="D433" s="93"/>
      <c r="E433" s="110"/>
      <c r="F433" s="110"/>
      <c r="G433" s="93"/>
      <c r="H433" s="93"/>
      <c r="I433" s="93"/>
      <c r="J433" s="93"/>
      <c r="K433" s="93"/>
      <c r="L433" s="93"/>
      <c r="M433" s="93"/>
      <c r="N433" s="93"/>
      <c r="O433" s="93"/>
      <c r="P433" s="93"/>
      <c r="Q433" s="93"/>
      <c r="R433" s="93"/>
      <c r="S433" s="93"/>
      <c r="T433" s="93"/>
      <c r="U433" s="93"/>
      <c r="V433" s="93"/>
      <c r="W433" s="93"/>
      <c r="X433" s="93"/>
      <c r="Y433" s="93"/>
      <c r="Z433" s="93"/>
    </row>
    <row r="434" ht="14.25" customHeight="1">
      <c r="A434" s="93"/>
      <c r="B434" s="93"/>
      <c r="C434" s="93"/>
      <c r="D434" s="93"/>
      <c r="E434" s="110"/>
      <c r="F434" s="110"/>
      <c r="G434" s="93"/>
      <c r="H434" s="93"/>
      <c r="I434" s="93"/>
      <c r="J434" s="93"/>
      <c r="K434" s="93"/>
      <c r="L434" s="93"/>
      <c r="M434" s="93"/>
      <c r="N434" s="93"/>
      <c r="O434" s="93"/>
      <c r="P434" s="93"/>
      <c r="Q434" s="93"/>
      <c r="R434" s="93"/>
      <c r="S434" s="93"/>
      <c r="T434" s="93"/>
      <c r="U434" s="93"/>
      <c r="V434" s="93"/>
      <c r="W434" s="93"/>
      <c r="X434" s="93"/>
      <c r="Y434" s="93"/>
      <c r="Z434" s="93"/>
    </row>
    <row r="435" ht="14.25" customHeight="1">
      <c r="A435" s="93"/>
      <c r="B435" s="93"/>
      <c r="C435" s="93"/>
      <c r="D435" s="93"/>
      <c r="E435" s="110"/>
      <c r="F435" s="110"/>
      <c r="G435" s="93"/>
      <c r="H435" s="93"/>
      <c r="I435" s="93"/>
      <c r="J435" s="93"/>
      <c r="K435" s="93"/>
      <c r="L435" s="93"/>
      <c r="M435" s="93"/>
      <c r="N435" s="93"/>
      <c r="O435" s="93"/>
      <c r="P435" s="93"/>
      <c r="Q435" s="93"/>
      <c r="R435" s="93"/>
      <c r="S435" s="93"/>
      <c r="T435" s="93"/>
      <c r="U435" s="93"/>
      <c r="V435" s="93"/>
      <c r="W435" s="93"/>
      <c r="X435" s="93"/>
      <c r="Y435" s="93"/>
      <c r="Z435" s="93"/>
    </row>
    <row r="436" ht="14.25" customHeight="1">
      <c r="A436" s="93"/>
      <c r="B436" s="93"/>
      <c r="C436" s="93"/>
      <c r="D436" s="93"/>
      <c r="E436" s="110"/>
      <c r="F436" s="110"/>
      <c r="G436" s="93"/>
      <c r="H436" s="93"/>
      <c r="I436" s="93"/>
      <c r="J436" s="93"/>
      <c r="K436" s="93"/>
      <c r="L436" s="93"/>
      <c r="M436" s="93"/>
      <c r="N436" s="93"/>
      <c r="O436" s="93"/>
      <c r="P436" s="93"/>
      <c r="Q436" s="93"/>
      <c r="R436" s="93"/>
      <c r="S436" s="93"/>
      <c r="T436" s="93"/>
      <c r="U436" s="93"/>
      <c r="V436" s="93"/>
      <c r="W436" s="93"/>
      <c r="X436" s="93"/>
      <c r="Y436" s="93"/>
      <c r="Z436" s="93"/>
    </row>
    <row r="437" ht="14.25" customHeight="1">
      <c r="A437" s="93"/>
      <c r="B437" s="93"/>
      <c r="C437" s="93"/>
      <c r="D437" s="93"/>
      <c r="E437" s="110"/>
      <c r="F437" s="110"/>
      <c r="G437" s="93"/>
      <c r="H437" s="93"/>
      <c r="I437" s="93"/>
      <c r="J437" s="93"/>
      <c r="K437" s="93"/>
      <c r="L437" s="93"/>
      <c r="M437" s="93"/>
      <c r="N437" s="93"/>
      <c r="O437" s="93"/>
      <c r="P437" s="93"/>
      <c r="Q437" s="93"/>
      <c r="R437" s="93"/>
      <c r="S437" s="93"/>
      <c r="T437" s="93"/>
      <c r="U437" s="93"/>
      <c r="V437" s="93"/>
      <c r="W437" s="93"/>
      <c r="X437" s="93"/>
      <c r="Y437" s="93"/>
      <c r="Z437" s="93"/>
    </row>
    <row r="438" ht="14.25" customHeight="1">
      <c r="A438" s="93"/>
      <c r="B438" s="93"/>
      <c r="C438" s="93"/>
      <c r="D438" s="93"/>
      <c r="E438" s="110"/>
      <c r="F438" s="110"/>
      <c r="G438" s="93"/>
      <c r="H438" s="93"/>
      <c r="I438" s="93"/>
      <c r="J438" s="93"/>
      <c r="K438" s="93"/>
      <c r="L438" s="93"/>
      <c r="M438" s="93"/>
      <c r="N438" s="93"/>
      <c r="O438" s="93"/>
      <c r="P438" s="93"/>
      <c r="Q438" s="93"/>
      <c r="R438" s="93"/>
      <c r="S438" s="93"/>
      <c r="T438" s="93"/>
      <c r="U438" s="93"/>
      <c r="V438" s="93"/>
      <c r="W438" s="93"/>
      <c r="X438" s="93"/>
      <c r="Y438" s="93"/>
      <c r="Z438" s="93"/>
    </row>
    <row r="439" ht="14.25" customHeight="1">
      <c r="A439" s="93"/>
      <c r="B439" s="93"/>
      <c r="C439" s="93"/>
      <c r="D439" s="93"/>
      <c r="E439" s="110"/>
      <c r="F439" s="110"/>
      <c r="G439" s="93"/>
      <c r="H439" s="93"/>
      <c r="I439" s="93"/>
      <c r="J439" s="93"/>
      <c r="K439" s="93"/>
      <c r="L439" s="93"/>
      <c r="M439" s="93"/>
      <c r="N439" s="93"/>
      <c r="O439" s="93"/>
      <c r="P439" s="93"/>
      <c r="Q439" s="93"/>
      <c r="R439" s="93"/>
      <c r="S439" s="93"/>
      <c r="T439" s="93"/>
      <c r="U439" s="93"/>
      <c r="V439" s="93"/>
      <c r="W439" s="93"/>
      <c r="X439" s="93"/>
      <c r="Y439" s="93"/>
      <c r="Z439" s="93"/>
    </row>
    <row r="440" ht="14.25" customHeight="1">
      <c r="A440" s="93"/>
      <c r="B440" s="93"/>
      <c r="C440" s="93"/>
      <c r="D440" s="93"/>
      <c r="E440" s="110"/>
      <c r="F440" s="110"/>
      <c r="G440" s="93"/>
      <c r="H440" s="93"/>
      <c r="I440" s="93"/>
      <c r="J440" s="93"/>
      <c r="K440" s="93"/>
      <c r="L440" s="93"/>
      <c r="M440" s="93"/>
      <c r="N440" s="93"/>
      <c r="O440" s="93"/>
      <c r="P440" s="93"/>
      <c r="Q440" s="93"/>
      <c r="R440" s="93"/>
      <c r="S440" s="93"/>
      <c r="T440" s="93"/>
      <c r="U440" s="93"/>
      <c r="V440" s="93"/>
      <c r="W440" s="93"/>
      <c r="X440" s="93"/>
      <c r="Y440" s="93"/>
      <c r="Z440" s="93"/>
    </row>
    <row r="441" ht="14.25" customHeight="1">
      <c r="A441" s="93"/>
      <c r="B441" s="93"/>
      <c r="C441" s="93"/>
      <c r="D441" s="93"/>
      <c r="E441" s="110"/>
      <c r="F441" s="110"/>
      <c r="G441" s="93"/>
      <c r="H441" s="93"/>
      <c r="I441" s="93"/>
      <c r="J441" s="93"/>
      <c r="K441" s="93"/>
      <c r="L441" s="93"/>
      <c r="M441" s="93"/>
      <c r="N441" s="93"/>
      <c r="O441" s="93"/>
      <c r="P441" s="93"/>
      <c r="Q441" s="93"/>
      <c r="R441" s="93"/>
      <c r="S441" s="93"/>
      <c r="T441" s="93"/>
      <c r="U441" s="93"/>
      <c r="V441" s="93"/>
      <c r="W441" s="93"/>
      <c r="X441" s="93"/>
      <c r="Y441" s="93"/>
      <c r="Z441" s="93"/>
    </row>
    <row r="442" ht="14.25" customHeight="1">
      <c r="A442" s="93"/>
      <c r="B442" s="93"/>
      <c r="C442" s="93"/>
      <c r="D442" s="93"/>
      <c r="E442" s="110"/>
      <c r="F442" s="110"/>
      <c r="G442" s="93"/>
      <c r="H442" s="93"/>
      <c r="I442" s="93"/>
      <c r="J442" s="93"/>
      <c r="K442" s="93"/>
      <c r="L442" s="93"/>
      <c r="M442" s="93"/>
      <c r="N442" s="93"/>
      <c r="O442" s="93"/>
      <c r="P442" s="93"/>
      <c r="Q442" s="93"/>
      <c r="R442" s="93"/>
      <c r="S442" s="93"/>
      <c r="T442" s="93"/>
      <c r="U442" s="93"/>
      <c r="V442" s="93"/>
      <c r="W442" s="93"/>
      <c r="X442" s="93"/>
      <c r="Y442" s="93"/>
      <c r="Z442" s="93"/>
    </row>
    <row r="443" ht="14.25" customHeight="1">
      <c r="A443" s="93"/>
      <c r="B443" s="93"/>
      <c r="C443" s="93"/>
      <c r="D443" s="93"/>
      <c r="E443" s="110"/>
      <c r="F443" s="110"/>
      <c r="G443" s="93"/>
      <c r="H443" s="93"/>
      <c r="I443" s="93"/>
      <c r="J443" s="93"/>
      <c r="K443" s="93"/>
      <c r="L443" s="93"/>
      <c r="M443" s="93"/>
      <c r="N443" s="93"/>
      <c r="O443" s="93"/>
      <c r="P443" s="93"/>
      <c r="Q443" s="93"/>
      <c r="R443" s="93"/>
      <c r="S443" s="93"/>
      <c r="T443" s="93"/>
      <c r="U443" s="93"/>
      <c r="V443" s="93"/>
      <c r="W443" s="93"/>
      <c r="X443" s="93"/>
      <c r="Y443" s="93"/>
      <c r="Z443" s="93"/>
    </row>
    <row r="444" ht="14.25" customHeight="1">
      <c r="A444" s="93"/>
      <c r="B444" s="93"/>
      <c r="C444" s="93"/>
      <c r="D444" s="93"/>
      <c r="E444" s="110"/>
      <c r="F444" s="110"/>
      <c r="G444" s="93"/>
      <c r="H444" s="93"/>
      <c r="I444" s="93"/>
      <c r="J444" s="93"/>
      <c r="K444" s="93"/>
      <c r="L444" s="93"/>
      <c r="M444" s="93"/>
      <c r="N444" s="93"/>
      <c r="O444" s="93"/>
      <c r="P444" s="93"/>
      <c r="Q444" s="93"/>
      <c r="R444" s="93"/>
      <c r="S444" s="93"/>
      <c r="T444" s="93"/>
      <c r="U444" s="93"/>
      <c r="V444" s="93"/>
      <c r="W444" s="93"/>
      <c r="X444" s="93"/>
      <c r="Y444" s="93"/>
      <c r="Z444" s="93"/>
    </row>
    <row r="445" ht="14.25" customHeight="1">
      <c r="A445" s="93"/>
      <c r="B445" s="93"/>
      <c r="C445" s="93"/>
      <c r="D445" s="93"/>
      <c r="E445" s="110"/>
      <c r="F445" s="110"/>
      <c r="G445" s="93"/>
      <c r="H445" s="93"/>
      <c r="I445" s="93"/>
      <c r="J445" s="93"/>
      <c r="K445" s="93"/>
      <c r="L445" s="93"/>
      <c r="M445" s="93"/>
      <c r="N445" s="93"/>
      <c r="O445" s="93"/>
      <c r="P445" s="93"/>
      <c r="Q445" s="93"/>
      <c r="R445" s="93"/>
      <c r="S445" s="93"/>
      <c r="T445" s="93"/>
      <c r="U445" s="93"/>
      <c r="V445" s="93"/>
      <c r="W445" s="93"/>
      <c r="X445" s="93"/>
      <c r="Y445" s="93"/>
      <c r="Z445" s="93"/>
    </row>
    <row r="446" ht="14.25" customHeight="1">
      <c r="A446" s="93"/>
      <c r="B446" s="93"/>
      <c r="C446" s="93"/>
      <c r="D446" s="93"/>
      <c r="E446" s="110"/>
      <c r="F446" s="110"/>
      <c r="G446" s="93"/>
      <c r="H446" s="93"/>
      <c r="I446" s="93"/>
      <c r="J446" s="93"/>
      <c r="K446" s="93"/>
      <c r="L446" s="93"/>
      <c r="M446" s="93"/>
      <c r="N446" s="93"/>
      <c r="O446" s="93"/>
      <c r="P446" s="93"/>
      <c r="Q446" s="93"/>
      <c r="R446" s="93"/>
      <c r="S446" s="93"/>
      <c r="T446" s="93"/>
      <c r="U446" s="93"/>
      <c r="V446" s="93"/>
      <c r="W446" s="93"/>
      <c r="X446" s="93"/>
      <c r="Y446" s="93"/>
      <c r="Z446" s="93"/>
    </row>
    <row r="447" ht="14.25" customHeight="1">
      <c r="A447" s="93"/>
      <c r="B447" s="93"/>
      <c r="C447" s="93"/>
      <c r="D447" s="93"/>
      <c r="E447" s="110"/>
      <c r="F447" s="110"/>
      <c r="G447" s="93"/>
      <c r="H447" s="93"/>
      <c r="I447" s="93"/>
      <c r="J447" s="93"/>
      <c r="K447" s="93"/>
      <c r="L447" s="93"/>
      <c r="M447" s="93"/>
      <c r="N447" s="93"/>
      <c r="O447" s="93"/>
      <c r="P447" s="93"/>
      <c r="Q447" s="93"/>
      <c r="R447" s="93"/>
      <c r="S447" s="93"/>
      <c r="T447" s="93"/>
      <c r="U447" s="93"/>
      <c r="V447" s="93"/>
      <c r="W447" s="93"/>
      <c r="X447" s="93"/>
      <c r="Y447" s="93"/>
      <c r="Z447" s="93"/>
    </row>
    <row r="448" ht="14.25" customHeight="1">
      <c r="A448" s="93"/>
      <c r="B448" s="93"/>
      <c r="C448" s="93"/>
      <c r="D448" s="93"/>
      <c r="E448" s="110"/>
      <c r="F448" s="110"/>
      <c r="G448" s="93"/>
      <c r="H448" s="93"/>
      <c r="I448" s="93"/>
      <c r="J448" s="93"/>
      <c r="K448" s="93"/>
      <c r="L448" s="93"/>
      <c r="M448" s="93"/>
      <c r="N448" s="93"/>
      <c r="O448" s="93"/>
      <c r="P448" s="93"/>
      <c r="Q448" s="93"/>
      <c r="R448" s="93"/>
      <c r="S448" s="93"/>
      <c r="T448" s="93"/>
      <c r="U448" s="93"/>
      <c r="V448" s="93"/>
      <c r="W448" s="93"/>
      <c r="X448" s="93"/>
      <c r="Y448" s="93"/>
      <c r="Z448" s="93"/>
    </row>
    <row r="449" ht="14.25" customHeight="1">
      <c r="A449" s="93"/>
      <c r="B449" s="93"/>
      <c r="C449" s="93"/>
      <c r="D449" s="93"/>
      <c r="E449" s="110"/>
      <c r="F449" s="110"/>
      <c r="G449" s="93"/>
      <c r="H449" s="93"/>
      <c r="I449" s="93"/>
      <c r="J449" s="93"/>
      <c r="K449" s="93"/>
      <c r="L449" s="93"/>
      <c r="M449" s="93"/>
      <c r="N449" s="93"/>
      <c r="O449" s="93"/>
      <c r="P449" s="93"/>
      <c r="Q449" s="93"/>
      <c r="R449" s="93"/>
      <c r="S449" s="93"/>
      <c r="T449" s="93"/>
      <c r="U449" s="93"/>
      <c r="V449" s="93"/>
      <c r="W449" s="93"/>
      <c r="X449" s="93"/>
      <c r="Y449" s="93"/>
      <c r="Z449" s="93"/>
    </row>
    <row r="450" ht="14.25" customHeight="1">
      <c r="A450" s="93"/>
      <c r="B450" s="93"/>
      <c r="C450" s="93"/>
      <c r="D450" s="93"/>
      <c r="E450" s="110"/>
      <c r="F450" s="110"/>
      <c r="G450" s="93"/>
      <c r="H450" s="93"/>
      <c r="I450" s="93"/>
      <c r="J450" s="93"/>
      <c r="K450" s="93"/>
      <c r="L450" s="93"/>
      <c r="M450" s="93"/>
      <c r="N450" s="93"/>
      <c r="O450" s="93"/>
      <c r="P450" s="93"/>
      <c r="Q450" s="93"/>
      <c r="R450" s="93"/>
      <c r="S450" s="93"/>
      <c r="T450" s="93"/>
      <c r="U450" s="93"/>
      <c r="V450" s="93"/>
      <c r="W450" s="93"/>
      <c r="X450" s="93"/>
      <c r="Y450" s="93"/>
      <c r="Z450" s="93"/>
    </row>
    <row r="451" ht="14.25" customHeight="1">
      <c r="A451" s="93"/>
      <c r="B451" s="93"/>
      <c r="C451" s="93"/>
      <c r="D451" s="93"/>
      <c r="E451" s="110"/>
      <c r="F451" s="110"/>
      <c r="G451" s="93"/>
      <c r="H451" s="93"/>
      <c r="I451" s="93"/>
      <c r="J451" s="93"/>
      <c r="K451" s="93"/>
      <c r="L451" s="93"/>
      <c r="M451" s="93"/>
      <c r="N451" s="93"/>
      <c r="O451" s="93"/>
      <c r="P451" s="93"/>
      <c r="Q451" s="93"/>
      <c r="R451" s="93"/>
      <c r="S451" s="93"/>
      <c r="T451" s="93"/>
      <c r="U451" s="93"/>
      <c r="V451" s="93"/>
      <c r="W451" s="93"/>
      <c r="X451" s="93"/>
      <c r="Y451" s="93"/>
      <c r="Z451" s="93"/>
    </row>
    <row r="452" ht="14.25" customHeight="1">
      <c r="A452" s="93"/>
      <c r="B452" s="93"/>
      <c r="C452" s="93"/>
      <c r="D452" s="93"/>
      <c r="E452" s="110"/>
      <c r="F452" s="110"/>
      <c r="G452" s="93"/>
      <c r="H452" s="93"/>
      <c r="I452" s="93"/>
      <c r="J452" s="93"/>
      <c r="K452" s="93"/>
      <c r="L452" s="93"/>
      <c r="M452" s="93"/>
      <c r="N452" s="93"/>
      <c r="O452" s="93"/>
      <c r="P452" s="93"/>
      <c r="Q452" s="93"/>
      <c r="R452" s="93"/>
      <c r="S452" s="93"/>
      <c r="T452" s="93"/>
      <c r="U452" s="93"/>
      <c r="V452" s="93"/>
      <c r="W452" s="93"/>
      <c r="X452" s="93"/>
      <c r="Y452" s="93"/>
      <c r="Z452" s="93"/>
    </row>
    <row r="453" ht="14.25" customHeight="1">
      <c r="A453" s="93"/>
      <c r="B453" s="93"/>
      <c r="C453" s="93"/>
      <c r="D453" s="93"/>
      <c r="E453" s="110"/>
      <c r="F453" s="110"/>
      <c r="G453" s="93"/>
      <c r="H453" s="93"/>
      <c r="I453" s="93"/>
      <c r="J453" s="93"/>
      <c r="K453" s="93"/>
      <c r="L453" s="93"/>
      <c r="M453" s="93"/>
      <c r="N453" s="93"/>
      <c r="O453" s="93"/>
      <c r="P453" s="93"/>
      <c r="Q453" s="93"/>
      <c r="R453" s="93"/>
      <c r="S453" s="93"/>
      <c r="T453" s="93"/>
      <c r="U453" s="93"/>
      <c r="V453" s="93"/>
      <c r="W453" s="93"/>
      <c r="X453" s="93"/>
      <c r="Y453" s="93"/>
      <c r="Z453" s="93"/>
    </row>
    <row r="454" ht="14.25" customHeight="1">
      <c r="A454" s="93"/>
      <c r="B454" s="93"/>
      <c r="C454" s="93"/>
      <c r="D454" s="93"/>
      <c r="E454" s="110"/>
      <c r="F454" s="110"/>
      <c r="G454" s="93"/>
      <c r="H454" s="93"/>
      <c r="I454" s="93"/>
      <c r="J454" s="93"/>
      <c r="K454" s="93"/>
      <c r="L454" s="93"/>
      <c r="M454" s="93"/>
      <c r="N454" s="93"/>
      <c r="O454" s="93"/>
      <c r="P454" s="93"/>
      <c r="Q454" s="93"/>
      <c r="R454" s="93"/>
      <c r="S454" s="93"/>
      <c r="T454" s="93"/>
      <c r="U454" s="93"/>
      <c r="V454" s="93"/>
      <c r="W454" s="93"/>
      <c r="X454" s="93"/>
      <c r="Y454" s="93"/>
      <c r="Z454" s="93"/>
    </row>
    <row r="455" ht="14.25" customHeight="1">
      <c r="A455" s="93"/>
      <c r="B455" s="93"/>
      <c r="C455" s="93"/>
      <c r="D455" s="93"/>
      <c r="E455" s="110"/>
      <c r="F455" s="110"/>
      <c r="G455" s="93"/>
      <c r="H455" s="93"/>
      <c r="I455" s="93"/>
      <c r="J455" s="93"/>
      <c r="K455" s="93"/>
      <c r="L455" s="93"/>
      <c r="M455" s="93"/>
      <c r="N455" s="93"/>
      <c r="O455" s="93"/>
      <c r="P455" s="93"/>
      <c r="Q455" s="93"/>
      <c r="R455" s="93"/>
      <c r="S455" s="93"/>
      <c r="T455" s="93"/>
      <c r="U455" s="93"/>
      <c r="V455" s="93"/>
      <c r="W455" s="93"/>
      <c r="X455" s="93"/>
      <c r="Y455" s="93"/>
      <c r="Z455" s="93"/>
    </row>
    <row r="456" ht="14.25" customHeight="1">
      <c r="A456" s="93"/>
      <c r="B456" s="93"/>
      <c r="C456" s="93"/>
      <c r="D456" s="93"/>
      <c r="E456" s="110"/>
      <c r="F456" s="110"/>
      <c r="G456" s="93"/>
      <c r="H456" s="93"/>
      <c r="I456" s="93"/>
      <c r="J456" s="93"/>
      <c r="K456" s="93"/>
      <c r="L456" s="93"/>
      <c r="M456" s="93"/>
      <c r="N456" s="93"/>
      <c r="O456" s="93"/>
      <c r="P456" s="93"/>
      <c r="Q456" s="93"/>
      <c r="R456" s="93"/>
      <c r="S456" s="93"/>
      <c r="T456" s="93"/>
      <c r="U456" s="93"/>
      <c r="V456" s="93"/>
      <c r="W456" s="93"/>
      <c r="X456" s="93"/>
      <c r="Y456" s="93"/>
      <c r="Z456" s="93"/>
    </row>
    <row r="457" ht="14.25" customHeight="1">
      <c r="A457" s="93"/>
      <c r="B457" s="93"/>
      <c r="C457" s="93"/>
      <c r="D457" s="93"/>
      <c r="E457" s="110"/>
      <c r="F457" s="110"/>
      <c r="G457" s="93"/>
      <c r="H457" s="93"/>
      <c r="I457" s="93"/>
      <c r="J457" s="93"/>
      <c r="K457" s="93"/>
      <c r="L457" s="93"/>
      <c r="M457" s="93"/>
      <c r="N457" s="93"/>
      <c r="O457" s="93"/>
      <c r="P457" s="93"/>
      <c r="Q457" s="93"/>
      <c r="R457" s="93"/>
      <c r="S457" s="93"/>
      <c r="T457" s="93"/>
      <c r="U457" s="93"/>
      <c r="V457" s="93"/>
      <c r="W457" s="93"/>
      <c r="X457" s="93"/>
      <c r="Y457" s="93"/>
      <c r="Z457" s="93"/>
    </row>
    <row r="458" ht="14.25" customHeight="1">
      <c r="A458" s="93"/>
      <c r="B458" s="93"/>
      <c r="C458" s="93"/>
      <c r="D458" s="93"/>
      <c r="E458" s="110"/>
      <c r="F458" s="110"/>
      <c r="G458" s="93"/>
      <c r="H458" s="93"/>
      <c r="I458" s="93"/>
      <c r="J458" s="93"/>
      <c r="K458" s="93"/>
      <c r="L458" s="93"/>
      <c r="M458" s="93"/>
      <c r="N458" s="93"/>
      <c r="O458" s="93"/>
      <c r="P458" s="93"/>
      <c r="Q458" s="93"/>
      <c r="R458" s="93"/>
      <c r="S458" s="93"/>
      <c r="T458" s="93"/>
      <c r="U458" s="93"/>
      <c r="V458" s="93"/>
      <c r="W458" s="93"/>
      <c r="X458" s="93"/>
      <c r="Y458" s="93"/>
      <c r="Z458" s="93"/>
    </row>
    <row r="459" ht="14.25" customHeight="1">
      <c r="A459" s="93"/>
      <c r="B459" s="93"/>
      <c r="C459" s="93"/>
      <c r="D459" s="93"/>
      <c r="E459" s="110"/>
      <c r="F459" s="110"/>
      <c r="G459" s="93"/>
      <c r="H459" s="93"/>
      <c r="I459" s="93"/>
      <c r="J459" s="93"/>
      <c r="K459" s="93"/>
      <c r="L459" s="93"/>
      <c r="M459" s="93"/>
      <c r="N459" s="93"/>
      <c r="O459" s="93"/>
      <c r="P459" s="93"/>
      <c r="Q459" s="93"/>
      <c r="R459" s="93"/>
      <c r="S459" s="93"/>
      <c r="T459" s="93"/>
      <c r="U459" s="93"/>
      <c r="V459" s="93"/>
      <c r="W459" s="93"/>
      <c r="X459" s="93"/>
      <c r="Y459" s="93"/>
      <c r="Z459" s="93"/>
    </row>
    <row r="460" ht="14.25" customHeight="1">
      <c r="A460" s="93"/>
      <c r="B460" s="93"/>
      <c r="C460" s="93"/>
      <c r="D460" s="93"/>
      <c r="E460" s="110"/>
      <c r="F460" s="110"/>
      <c r="G460" s="93"/>
      <c r="H460" s="93"/>
      <c r="I460" s="93"/>
      <c r="J460" s="93"/>
      <c r="K460" s="93"/>
      <c r="L460" s="93"/>
      <c r="M460" s="93"/>
      <c r="N460" s="93"/>
      <c r="O460" s="93"/>
      <c r="P460" s="93"/>
      <c r="Q460" s="93"/>
      <c r="R460" s="93"/>
      <c r="S460" s="93"/>
      <c r="T460" s="93"/>
      <c r="U460" s="93"/>
      <c r="V460" s="93"/>
      <c r="W460" s="93"/>
      <c r="X460" s="93"/>
      <c r="Y460" s="93"/>
      <c r="Z460" s="93"/>
    </row>
    <row r="461" ht="14.25" customHeight="1">
      <c r="A461" s="93"/>
      <c r="B461" s="93"/>
      <c r="C461" s="93"/>
      <c r="D461" s="93"/>
      <c r="E461" s="110"/>
      <c r="F461" s="110"/>
      <c r="G461" s="93"/>
      <c r="H461" s="93"/>
      <c r="I461" s="93"/>
      <c r="J461" s="93"/>
      <c r="K461" s="93"/>
      <c r="L461" s="93"/>
      <c r="M461" s="93"/>
      <c r="N461" s="93"/>
      <c r="O461" s="93"/>
      <c r="P461" s="93"/>
      <c r="Q461" s="93"/>
      <c r="R461" s="93"/>
      <c r="S461" s="93"/>
      <c r="T461" s="93"/>
      <c r="U461" s="93"/>
      <c r="V461" s="93"/>
      <c r="W461" s="93"/>
      <c r="X461" s="93"/>
      <c r="Y461" s="93"/>
      <c r="Z461" s="93"/>
    </row>
    <row r="462" ht="14.25" customHeight="1">
      <c r="A462" s="93"/>
      <c r="B462" s="93"/>
      <c r="C462" s="93"/>
      <c r="D462" s="93"/>
      <c r="E462" s="110"/>
      <c r="F462" s="110"/>
      <c r="G462" s="93"/>
      <c r="H462" s="93"/>
      <c r="I462" s="93"/>
      <c r="J462" s="93"/>
      <c r="K462" s="93"/>
      <c r="L462" s="93"/>
      <c r="M462" s="93"/>
      <c r="N462" s="93"/>
      <c r="O462" s="93"/>
      <c r="P462" s="93"/>
      <c r="Q462" s="93"/>
      <c r="R462" s="93"/>
      <c r="S462" s="93"/>
      <c r="T462" s="93"/>
      <c r="U462" s="93"/>
      <c r="V462" s="93"/>
      <c r="W462" s="93"/>
      <c r="X462" s="93"/>
      <c r="Y462" s="93"/>
      <c r="Z462" s="93"/>
    </row>
    <row r="463" ht="14.25" customHeight="1">
      <c r="A463" s="93"/>
      <c r="B463" s="93"/>
      <c r="C463" s="93"/>
      <c r="D463" s="93"/>
      <c r="E463" s="110"/>
      <c r="F463" s="110"/>
      <c r="G463" s="93"/>
      <c r="H463" s="93"/>
      <c r="I463" s="93"/>
      <c r="J463" s="93"/>
      <c r="K463" s="93"/>
      <c r="L463" s="93"/>
      <c r="M463" s="93"/>
      <c r="N463" s="93"/>
      <c r="O463" s="93"/>
      <c r="P463" s="93"/>
      <c r="Q463" s="93"/>
      <c r="R463" s="93"/>
      <c r="S463" s="93"/>
      <c r="T463" s="93"/>
      <c r="U463" s="93"/>
      <c r="V463" s="93"/>
      <c r="W463" s="93"/>
      <c r="X463" s="93"/>
      <c r="Y463" s="93"/>
      <c r="Z463" s="93"/>
    </row>
    <row r="464" ht="14.25" customHeight="1">
      <c r="A464" s="93"/>
      <c r="B464" s="93"/>
      <c r="C464" s="93"/>
      <c r="D464" s="93"/>
      <c r="E464" s="110"/>
      <c r="F464" s="110"/>
      <c r="G464" s="93"/>
      <c r="H464" s="93"/>
      <c r="I464" s="93"/>
      <c r="J464" s="93"/>
      <c r="K464" s="93"/>
      <c r="L464" s="93"/>
      <c r="M464" s="93"/>
      <c r="N464" s="93"/>
      <c r="O464" s="93"/>
      <c r="P464" s="93"/>
      <c r="Q464" s="93"/>
      <c r="R464" s="93"/>
      <c r="S464" s="93"/>
      <c r="T464" s="93"/>
      <c r="U464" s="93"/>
      <c r="V464" s="93"/>
      <c r="W464" s="93"/>
      <c r="X464" s="93"/>
      <c r="Y464" s="93"/>
      <c r="Z464" s="93"/>
    </row>
    <row r="465" ht="14.25" customHeight="1">
      <c r="A465" s="93"/>
      <c r="B465" s="93"/>
      <c r="C465" s="93"/>
      <c r="D465" s="93"/>
      <c r="E465" s="110"/>
      <c r="F465" s="110"/>
      <c r="G465" s="93"/>
      <c r="H465" s="93"/>
      <c r="I465" s="93"/>
      <c r="J465" s="93"/>
      <c r="K465" s="93"/>
      <c r="L465" s="93"/>
      <c r="M465" s="93"/>
      <c r="N465" s="93"/>
      <c r="O465" s="93"/>
      <c r="P465" s="93"/>
      <c r="Q465" s="93"/>
      <c r="R465" s="93"/>
      <c r="S465" s="93"/>
      <c r="T465" s="93"/>
      <c r="U465" s="93"/>
      <c r="V465" s="93"/>
      <c r="W465" s="93"/>
      <c r="X465" s="93"/>
      <c r="Y465" s="93"/>
      <c r="Z465" s="93"/>
    </row>
    <row r="466" ht="14.25" customHeight="1">
      <c r="A466" s="93"/>
      <c r="B466" s="93"/>
      <c r="C466" s="93"/>
      <c r="D466" s="93"/>
      <c r="E466" s="110"/>
      <c r="F466" s="110"/>
      <c r="G466" s="93"/>
      <c r="H466" s="93"/>
      <c r="I466" s="93"/>
      <c r="J466" s="93"/>
      <c r="K466" s="93"/>
      <c r="L466" s="93"/>
      <c r="M466" s="93"/>
      <c r="N466" s="93"/>
      <c r="O466" s="93"/>
      <c r="P466" s="93"/>
      <c r="Q466" s="93"/>
      <c r="R466" s="93"/>
      <c r="S466" s="93"/>
      <c r="T466" s="93"/>
      <c r="U466" s="93"/>
      <c r="V466" s="93"/>
      <c r="W466" s="93"/>
      <c r="X466" s="93"/>
      <c r="Y466" s="93"/>
      <c r="Z466" s="93"/>
    </row>
    <row r="467" ht="14.25" customHeight="1">
      <c r="A467" s="93"/>
      <c r="B467" s="93"/>
      <c r="C467" s="93"/>
      <c r="D467" s="93"/>
      <c r="E467" s="110"/>
      <c r="F467" s="110"/>
      <c r="G467" s="93"/>
      <c r="H467" s="93"/>
      <c r="I467" s="93"/>
      <c r="J467" s="93"/>
      <c r="K467" s="93"/>
      <c r="L467" s="93"/>
      <c r="M467" s="93"/>
      <c r="N467" s="93"/>
      <c r="O467" s="93"/>
      <c r="P467" s="93"/>
      <c r="Q467" s="93"/>
      <c r="R467" s="93"/>
      <c r="S467" s="93"/>
      <c r="T467" s="93"/>
      <c r="U467" s="93"/>
      <c r="V467" s="93"/>
      <c r="W467" s="93"/>
      <c r="X467" s="93"/>
      <c r="Y467" s="93"/>
      <c r="Z467" s="93"/>
    </row>
    <row r="468" ht="14.25" customHeight="1">
      <c r="A468" s="93"/>
      <c r="B468" s="93"/>
      <c r="C468" s="93"/>
      <c r="D468" s="93"/>
      <c r="E468" s="110"/>
      <c r="F468" s="110"/>
      <c r="G468" s="93"/>
      <c r="H468" s="93"/>
      <c r="I468" s="93"/>
      <c r="J468" s="93"/>
      <c r="K468" s="93"/>
      <c r="L468" s="93"/>
      <c r="M468" s="93"/>
      <c r="N468" s="93"/>
      <c r="O468" s="93"/>
      <c r="P468" s="93"/>
      <c r="Q468" s="93"/>
      <c r="R468" s="93"/>
      <c r="S468" s="93"/>
      <c r="T468" s="93"/>
      <c r="U468" s="93"/>
      <c r="V468" s="93"/>
      <c r="W468" s="93"/>
      <c r="X468" s="93"/>
      <c r="Y468" s="93"/>
      <c r="Z468" s="93"/>
    </row>
    <row r="469" ht="14.25" customHeight="1">
      <c r="A469" s="93"/>
      <c r="B469" s="93"/>
      <c r="C469" s="93"/>
      <c r="D469" s="93"/>
      <c r="E469" s="110"/>
      <c r="F469" s="110"/>
      <c r="G469" s="93"/>
      <c r="H469" s="93"/>
      <c r="I469" s="93"/>
      <c r="J469" s="93"/>
      <c r="K469" s="93"/>
      <c r="L469" s="93"/>
      <c r="M469" s="93"/>
      <c r="N469" s="93"/>
      <c r="O469" s="93"/>
      <c r="P469" s="93"/>
      <c r="Q469" s="93"/>
      <c r="R469" s="93"/>
      <c r="S469" s="93"/>
      <c r="T469" s="93"/>
      <c r="U469" s="93"/>
      <c r="V469" s="93"/>
      <c r="W469" s="93"/>
      <c r="X469" s="93"/>
      <c r="Y469" s="93"/>
      <c r="Z469" s="93"/>
    </row>
    <row r="470" ht="14.25" customHeight="1">
      <c r="A470" s="93"/>
      <c r="B470" s="93"/>
      <c r="C470" s="93"/>
      <c r="D470" s="93"/>
      <c r="E470" s="110"/>
      <c r="F470" s="110"/>
      <c r="G470" s="93"/>
      <c r="H470" s="93"/>
      <c r="I470" s="93"/>
      <c r="J470" s="93"/>
      <c r="K470" s="93"/>
      <c r="L470" s="93"/>
      <c r="M470" s="93"/>
      <c r="N470" s="93"/>
      <c r="O470" s="93"/>
      <c r="P470" s="93"/>
      <c r="Q470" s="93"/>
      <c r="R470" s="93"/>
      <c r="S470" s="93"/>
      <c r="T470" s="93"/>
      <c r="U470" s="93"/>
      <c r="V470" s="93"/>
      <c r="W470" s="93"/>
      <c r="X470" s="93"/>
      <c r="Y470" s="93"/>
      <c r="Z470" s="93"/>
    </row>
    <row r="471" ht="14.25" customHeight="1">
      <c r="A471" s="93"/>
      <c r="B471" s="93"/>
      <c r="C471" s="93"/>
      <c r="D471" s="93"/>
      <c r="E471" s="110"/>
      <c r="F471" s="110"/>
      <c r="G471" s="93"/>
      <c r="H471" s="93"/>
      <c r="I471" s="93"/>
      <c r="J471" s="93"/>
      <c r="K471" s="93"/>
      <c r="L471" s="93"/>
      <c r="M471" s="93"/>
      <c r="N471" s="93"/>
      <c r="O471" s="93"/>
      <c r="P471" s="93"/>
      <c r="Q471" s="93"/>
      <c r="R471" s="93"/>
      <c r="S471" s="93"/>
      <c r="T471" s="93"/>
      <c r="U471" s="93"/>
      <c r="V471" s="93"/>
      <c r="W471" s="93"/>
      <c r="X471" s="93"/>
      <c r="Y471" s="93"/>
      <c r="Z471" s="93"/>
    </row>
    <row r="472" ht="14.25" customHeight="1">
      <c r="A472" s="93"/>
      <c r="B472" s="93"/>
      <c r="C472" s="93"/>
      <c r="D472" s="93"/>
      <c r="E472" s="110"/>
      <c r="F472" s="110"/>
      <c r="G472" s="93"/>
      <c r="H472" s="93"/>
      <c r="I472" s="93"/>
      <c r="J472" s="93"/>
      <c r="K472" s="93"/>
      <c r="L472" s="93"/>
      <c r="M472" s="93"/>
      <c r="N472" s="93"/>
      <c r="O472" s="93"/>
      <c r="P472" s="93"/>
      <c r="Q472" s="93"/>
      <c r="R472" s="93"/>
      <c r="S472" s="93"/>
      <c r="T472" s="93"/>
      <c r="U472" s="93"/>
      <c r="V472" s="93"/>
      <c r="W472" s="93"/>
      <c r="X472" s="93"/>
      <c r="Y472" s="93"/>
      <c r="Z472" s="93"/>
    </row>
    <row r="473" ht="14.25" customHeight="1">
      <c r="A473" s="93"/>
      <c r="B473" s="93"/>
      <c r="C473" s="93"/>
      <c r="D473" s="93"/>
      <c r="E473" s="110"/>
      <c r="F473" s="110"/>
      <c r="G473" s="93"/>
      <c r="H473" s="93"/>
      <c r="I473" s="93"/>
      <c r="J473" s="93"/>
      <c r="K473" s="93"/>
      <c r="L473" s="93"/>
      <c r="M473" s="93"/>
      <c r="N473" s="93"/>
      <c r="O473" s="93"/>
      <c r="P473" s="93"/>
      <c r="Q473" s="93"/>
      <c r="R473" s="93"/>
      <c r="S473" s="93"/>
      <c r="T473" s="93"/>
      <c r="U473" s="93"/>
      <c r="V473" s="93"/>
      <c r="W473" s="93"/>
      <c r="X473" s="93"/>
      <c r="Y473" s="93"/>
      <c r="Z473" s="93"/>
    </row>
    <row r="474" ht="14.25" customHeight="1">
      <c r="A474" s="93"/>
      <c r="B474" s="93"/>
      <c r="C474" s="93"/>
      <c r="D474" s="93"/>
      <c r="E474" s="110"/>
      <c r="F474" s="110"/>
      <c r="G474" s="93"/>
      <c r="H474" s="93"/>
      <c r="I474" s="93"/>
      <c r="J474" s="93"/>
      <c r="K474" s="93"/>
      <c r="L474" s="93"/>
      <c r="M474" s="93"/>
      <c r="N474" s="93"/>
      <c r="O474" s="93"/>
      <c r="P474" s="93"/>
      <c r="Q474" s="93"/>
      <c r="R474" s="93"/>
      <c r="S474" s="93"/>
      <c r="T474" s="93"/>
      <c r="U474" s="93"/>
      <c r="V474" s="93"/>
      <c r="W474" s="93"/>
      <c r="X474" s="93"/>
      <c r="Y474" s="93"/>
      <c r="Z474" s="93"/>
    </row>
    <row r="475" ht="14.25" customHeight="1">
      <c r="A475" s="93"/>
      <c r="B475" s="93"/>
      <c r="C475" s="93"/>
      <c r="D475" s="93"/>
      <c r="E475" s="110"/>
      <c r="F475" s="110"/>
      <c r="G475" s="93"/>
      <c r="H475" s="93"/>
      <c r="I475" s="93"/>
      <c r="J475" s="93"/>
      <c r="K475" s="93"/>
      <c r="L475" s="93"/>
      <c r="M475" s="93"/>
      <c r="N475" s="93"/>
      <c r="O475" s="93"/>
      <c r="P475" s="93"/>
      <c r="Q475" s="93"/>
      <c r="R475" s="93"/>
      <c r="S475" s="93"/>
      <c r="T475" s="93"/>
      <c r="U475" s="93"/>
      <c r="V475" s="93"/>
      <c r="W475" s="93"/>
      <c r="X475" s="93"/>
      <c r="Y475" s="93"/>
      <c r="Z475" s="93"/>
    </row>
    <row r="476" ht="14.25" customHeight="1">
      <c r="A476" s="93"/>
      <c r="B476" s="93"/>
      <c r="C476" s="93"/>
      <c r="D476" s="93"/>
      <c r="E476" s="110"/>
      <c r="F476" s="110"/>
      <c r="G476" s="93"/>
      <c r="H476" s="93"/>
      <c r="I476" s="93"/>
      <c r="J476" s="93"/>
      <c r="K476" s="93"/>
      <c r="L476" s="93"/>
      <c r="M476" s="93"/>
      <c r="N476" s="93"/>
      <c r="O476" s="93"/>
      <c r="P476" s="93"/>
      <c r="Q476" s="93"/>
      <c r="R476" s="93"/>
      <c r="S476" s="93"/>
      <c r="T476" s="93"/>
      <c r="U476" s="93"/>
      <c r="V476" s="93"/>
      <c r="W476" s="93"/>
      <c r="X476" s="93"/>
      <c r="Y476" s="93"/>
      <c r="Z476" s="93"/>
    </row>
    <row r="477" ht="14.25" customHeight="1">
      <c r="A477" s="93"/>
      <c r="B477" s="93"/>
      <c r="C477" s="93"/>
      <c r="D477" s="93"/>
      <c r="E477" s="110"/>
      <c r="F477" s="110"/>
      <c r="G477" s="93"/>
      <c r="H477" s="93"/>
      <c r="I477" s="93"/>
      <c r="J477" s="93"/>
      <c r="K477" s="93"/>
      <c r="L477" s="93"/>
      <c r="M477" s="93"/>
      <c r="N477" s="93"/>
      <c r="O477" s="93"/>
      <c r="P477" s="93"/>
      <c r="Q477" s="93"/>
      <c r="R477" s="93"/>
      <c r="S477" s="93"/>
      <c r="T477" s="93"/>
      <c r="U477" s="93"/>
      <c r="V477" s="93"/>
      <c r="W477" s="93"/>
      <c r="X477" s="93"/>
      <c r="Y477" s="93"/>
      <c r="Z477" s="93"/>
    </row>
    <row r="478" ht="14.25" customHeight="1">
      <c r="A478" s="93"/>
      <c r="B478" s="93"/>
      <c r="C478" s="93"/>
      <c r="D478" s="93"/>
      <c r="E478" s="110"/>
      <c r="F478" s="110"/>
      <c r="G478" s="93"/>
      <c r="H478" s="93"/>
      <c r="I478" s="93"/>
      <c r="J478" s="93"/>
      <c r="K478" s="93"/>
      <c r="L478" s="93"/>
      <c r="M478" s="93"/>
      <c r="N478" s="93"/>
      <c r="O478" s="93"/>
      <c r="P478" s="93"/>
      <c r="Q478" s="93"/>
      <c r="R478" s="93"/>
      <c r="S478" s="93"/>
      <c r="T478" s="93"/>
      <c r="U478" s="93"/>
      <c r="V478" s="93"/>
      <c r="W478" s="93"/>
      <c r="X478" s="93"/>
      <c r="Y478" s="93"/>
      <c r="Z478" s="93"/>
    </row>
    <row r="479" ht="14.25" customHeight="1">
      <c r="A479" s="93"/>
      <c r="B479" s="93"/>
      <c r="C479" s="93"/>
      <c r="D479" s="93"/>
      <c r="E479" s="110"/>
      <c r="F479" s="110"/>
      <c r="G479" s="93"/>
      <c r="H479" s="93"/>
      <c r="I479" s="93"/>
      <c r="J479" s="93"/>
      <c r="K479" s="93"/>
      <c r="L479" s="93"/>
      <c r="M479" s="93"/>
      <c r="N479" s="93"/>
      <c r="O479" s="93"/>
      <c r="P479" s="93"/>
      <c r="Q479" s="93"/>
      <c r="R479" s="93"/>
      <c r="S479" s="93"/>
      <c r="T479" s="93"/>
      <c r="U479" s="93"/>
      <c r="V479" s="93"/>
      <c r="W479" s="93"/>
      <c r="X479" s="93"/>
      <c r="Y479" s="93"/>
      <c r="Z479" s="93"/>
    </row>
    <row r="480" ht="14.25" customHeight="1">
      <c r="A480" s="93"/>
      <c r="B480" s="93"/>
      <c r="C480" s="93"/>
      <c r="D480" s="93"/>
      <c r="E480" s="110"/>
      <c r="F480" s="110"/>
      <c r="G480" s="93"/>
      <c r="H480" s="93"/>
      <c r="I480" s="93"/>
      <c r="J480" s="93"/>
      <c r="K480" s="93"/>
      <c r="L480" s="93"/>
      <c r="M480" s="93"/>
      <c r="N480" s="93"/>
      <c r="O480" s="93"/>
      <c r="P480" s="93"/>
      <c r="Q480" s="93"/>
      <c r="R480" s="93"/>
      <c r="S480" s="93"/>
      <c r="T480" s="93"/>
      <c r="U480" s="93"/>
      <c r="V480" s="93"/>
      <c r="W480" s="93"/>
      <c r="X480" s="93"/>
      <c r="Y480" s="93"/>
      <c r="Z480" s="93"/>
    </row>
    <row r="481" ht="14.25" customHeight="1">
      <c r="A481" s="93"/>
      <c r="B481" s="93"/>
      <c r="C481" s="93"/>
      <c r="D481" s="93"/>
      <c r="E481" s="110"/>
      <c r="F481" s="110"/>
      <c r="G481" s="93"/>
      <c r="H481" s="93"/>
      <c r="I481" s="93"/>
      <c r="J481" s="93"/>
      <c r="K481" s="93"/>
      <c r="L481" s="93"/>
      <c r="M481" s="93"/>
      <c r="N481" s="93"/>
      <c r="O481" s="93"/>
      <c r="P481" s="93"/>
      <c r="Q481" s="93"/>
      <c r="R481" s="93"/>
      <c r="S481" s="93"/>
      <c r="T481" s="93"/>
      <c r="U481" s="93"/>
      <c r="V481" s="93"/>
      <c r="W481" s="93"/>
      <c r="X481" s="93"/>
      <c r="Y481" s="93"/>
      <c r="Z481" s="93"/>
    </row>
    <row r="482" ht="14.25" customHeight="1">
      <c r="A482" s="93"/>
      <c r="B482" s="93"/>
      <c r="C482" s="93"/>
      <c r="D482" s="93"/>
      <c r="E482" s="110"/>
      <c r="F482" s="110"/>
      <c r="G482" s="93"/>
      <c r="H482" s="93"/>
      <c r="I482" s="93"/>
      <c r="J482" s="93"/>
      <c r="K482" s="93"/>
      <c r="L482" s="93"/>
      <c r="M482" s="93"/>
      <c r="N482" s="93"/>
      <c r="O482" s="93"/>
      <c r="P482" s="93"/>
      <c r="Q482" s="93"/>
      <c r="R482" s="93"/>
      <c r="S482" s="93"/>
      <c r="T482" s="93"/>
      <c r="U482" s="93"/>
      <c r="V482" s="93"/>
      <c r="W482" s="93"/>
      <c r="X482" s="93"/>
      <c r="Y482" s="93"/>
      <c r="Z482" s="93"/>
    </row>
    <row r="483" ht="14.25" customHeight="1">
      <c r="A483" s="93"/>
      <c r="B483" s="93"/>
      <c r="C483" s="93"/>
      <c r="D483" s="93"/>
      <c r="E483" s="110"/>
      <c r="F483" s="110"/>
      <c r="G483" s="93"/>
      <c r="H483" s="93"/>
      <c r="I483" s="93"/>
      <c r="J483" s="93"/>
      <c r="K483" s="93"/>
      <c r="L483" s="93"/>
      <c r="M483" s="93"/>
      <c r="N483" s="93"/>
      <c r="O483" s="93"/>
      <c r="P483" s="93"/>
      <c r="Q483" s="93"/>
      <c r="R483" s="93"/>
      <c r="S483" s="93"/>
      <c r="T483" s="93"/>
      <c r="U483" s="93"/>
      <c r="V483" s="93"/>
      <c r="W483" s="93"/>
      <c r="X483" s="93"/>
      <c r="Y483" s="93"/>
      <c r="Z483" s="93"/>
    </row>
    <row r="484" ht="14.25" customHeight="1">
      <c r="A484" s="93"/>
      <c r="B484" s="93"/>
      <c r="C484" s="93"/>
      <c r="D484" s="93"/>
      <c r="E484" s="110"/>
      <c r="F484" s="110"/>
      <c r="G484" s="93"/>
      <c r="H484" s="93"/>
      <c r="I484" s="93"/>
      <c r="J484" s="93"/>
      <c r="K484" s="93"/>
      <c r="L484" s="93"/>
      <c r="M484" s="93"/>
      <c r="N484" s="93"/>
      <c r="O484" s="93"/>
      <c r="P484" s="93"/>
      <c r="Q484" s="93"/>
      <c r="R484" s="93"/>
      <c r="S484" s="93"/>
      <c r="T484" s="93"/>
      <c r="U484" s="93"/>
      <c r="V484" s="93"/>
      <c r="W484" s="93"/>
      <c r="X484" s="93"/>
      <c r="Y484" s="93"/>
      <c r="Z484" s="93"/>
    </row>
    <row r="485" ht="14.25" customHeight="1">
      <c r="A485" s="93"/>
      <c r="B485" s="93"/>
      <c r="C485" s="93"/>
      <c r="D485" s="93"/>
      <c r="E485" s="110"/>
      <c r="F485" s="110"/>
      <c r="G485" s="93"/>
      <c r="H485" s="93"/>
      <c r="I485" s="93"/>
      <c r="J485" s="93"/>
      <c r="K485" s="93"/>
      <c r="L485" s="93"/>
      <c r="M485" s="93"/>
      <c r="N485" s="93"/>
      <c r="O485" s="93"/>
      <c r="P485" s="93"/>
      <c r="Q485" s="93"/>
      <c r="R485" s="93"/>
      <c r="S485" s="93"/>
      <c r="T485" s="93"/>
      <c r="U485" s="93"/>
      <c r="V485" s="93"/>
      <c r="W485" s="93"/>
      <c r="X485" s="93"/>
      <c r="Y485" s="93"/>
      <c r="Z485" s="93"/>
    </row>
    <row r="486" ht="14.25" customHeight="1">
      <c r="A486" s="93"/>
      <c r="B486" s="93"/>
      <c r="C486" s="93"/>
      <c r="D486" s="93"/>
      <c r="E486" s="110"/>
      <c r="F486" s="110"/>
      <c r="G486" s="93"/>
      <c r="H486" s="93"/>
      <c r="I486" s="93"/>
      <c r="J486" s="93"/>
      <c r="K486" s="93"/>
      <c r="L486" s="93"/>
      <c r="M486" s="93"/>
      <c r="N486" s="93"/>
      <c r="O486" s="93"/>
      <c r="P486" s="93"/>
      <c r="Q486" s="93"/>
      <c r="R486" s="93"/>
      <c r="S486" s="93"/>
      <c r="T486" s="93"/>
      <c r="U486" s="93"/>
      <c r="V486" s="93"/>
      <c r="W486" s="93"/>
      <c r="X486" s="93"/>
      <c r="Y486" s="93"/>
      <c r="Z486" s="93"/>
    </row>
    <row r="487" ht="14.25" customHeight="1">
      <c r="A487" s="93"/>
      <c r="B487" s="93"/>
      <c r="C487" s="93"/>
      <c r="D487" s="93"/>
      <c r="E487" s="110"/>
      <c r="F487" s="110"/>
      <c r="G487" s="93"/>
      <c r="H487" s="93"/>
      <c r="I487" s="93"/>
      <c r="J487" s="93"/>
      <c r="K487" s="93"/>
      <c r="L487" s="93"/>
      <c r="M487" s="93"/>
      <c r="N487" s="93"/>
      <c r="O487" s="93"/>
      <c r="P487" s="93"/>
      <c r="Q487" s="93"/>
      <c r="R487" s="93"/>
      <c r="S487" s="93"/>
      <c r="T487" s="93"/>
      <c r="U487" s="93"/>
      <c r="V487" s="93"/>
      <c r="W487" s="93"/>
      <c r="X487" s="93"/>
      <c r="Y487" s="93"/>
      <c r="Z487" s="93"/>
    </row>
    <row r="488" ht="14.25" customHeight="1">
      <c r="A488" s="93"/>
      <c r="B488" s="93"/>
      <c r="C488" s="93"/>
      <c r="D488" s="93"/>
      <c r="E488" s="110"/>
      <c r="F488" s="110"/>
      <c r="G488" s="93"/>
      <c r="H488" s="93"/>
      <c r="I488" s="93"/>
      <c r="J488" s="93"/>
      <c r="K488" s="93"/>
      <c r="L488" s="93"/>
      <c r="M488" s="93"/>
      <c r="N488" s="93"/>
      <c r="O488" s="93"/>
      <c r="P488" s="93"/>
      <c r="Q488" s="93"/>
      <c r="R488" s="93"/>
      <c r="S488" s="93"/>
      <c r="T488" s="93"/>
      <c r="U488" s="93"/>
      <c r="V488" s="93"/>
      <c r="W488" s="93"/>
      <c r="X488" s="93"/>
      <c r="Y488" s="93"/>
      <c r="Z488" s="93"/>
    </row>
    <row r="489" ht="14.25" customHeight="1">
      <c r="A489" s="93"/>
      <c r="B489" s="93"/>
      <c r="C489" s="93"/>
      <c r="D489" s="93"/>
      <c r="E489" s="110"/>
      <c r="F489" s="110"/>
      <c r="G489" s="93"/>
      <c r="H489" s="93"/>
      <c r="I489" s="93"/>
      <c r="J489" s="93"/>
      <c r="K489" s="93"/>
      <c r="L489" s="93"/>
      <c r="M489" s="93"/>
      <c r="N489" s="93"/>
      <c r="O489" s="93"/>
      <c r="P489" s="93"/>
      <c r="Q489" s="93"/>
      <c r="R489" s="93"/>
      <c r="S489" s="93"/>
      <c r="T489" s="93"/>
      <c r="U489" s="93"/>
      <c r="V489" s="93"/>
      <c r="W489" s="93"/>
      <c r="X489" s="93"/>
      <c r="Y489" s="93"/>
      <c r="Z489" s="93"/>
    </row>
    <row r="490" ht="14.25" customHeight="1">
      <c r="A490" s="93"/>
      <c r="B490" s="93"/>
      <c r="C490" s="93"/>
      <c r="D490" s="93"/>
      <c r="E490" s="110"/>
      <c r="F490" s="110"/>
      <c r="G490" s="93"/>
      <c r="H490" s="93"/>
      <c r="I490" s="93"/>
      <c r="J490" s="93"/>
      <c r="K490" s="93"/>
      <c r="L490" s="93"/>
      <c r="M490" s="93"/>
      <c r="N490" s="93"/>
      <c r="O490" s="93"/>
      <c r="P490" s="93"/>
      <c r="Q490" s="93"/>
      <c r="R490" s="93"/>
      <c r="S490" s="93"/>
      <c r="T490" s="93"/>
      <c r="U490" s="93"/>
      <c r="V490" s="93"/>
      <c r="W490" s="93"/>
      <c r="X490" s="93"/>
      <c r="Y490" s="93"/>
      <c r="Z490" s="93"/>
    </row>
    <row r="491" ht="14.25" customHeight="1">
      <c r="A491" s="93"/>
      <c r="B491" s="93"/>
      <c r="C491" s="93"/>
      <c r="D491" s="93"/>
      <c r="E491" s="110"/>
      <c r="F491" s="110"/>
      <c r="G491" s="93"/>
      <c r="H491" s="93"/>
      <c r="I491" s="93"/>
      <c r="J491" s="93"/>
      <c r="K491" s="93"/>
      <c r="L491" s="93"/>
      <c r="M491" s="93"/>
      <c r="N491" s="93"/>
      <c r="O491" s="93"/>
      <c r="P491" s="93"/>
      <c r="Q491" s="93"/>
      <c r="R491" s="93"/>
      <c r="S491" s="93"/>
      <c r="T491" s="93"/>
      <c r="U491" s="93"/>
      <c r="V491" s="93"/>
      <c r="W491" s="93"/>
      <c r="X491" s="93"/>
      <c r="Y491" s="93"/>
      <c r="Z491" s="93"/>
    </row>
    <row r="492" ht="14.25" customHeight="1">
      <c r="A492" s="93"/>
      <c r="B492" s="93"/>
      <c r="C492" s="93"/>
      <c r="D492" s="93"/>
      <c r="E492" s="110"/>
      <c r="F492" s="110"/>
      <c r="G492" s="93"/>
      <c r="H492" s="93"/>
      <c r="I492" s="93"/>
      <c r="J492" s="93"/>
      <c r="K492" s="93"/>
      <c r="L492" s="93"/>
      <c r="M492" s="93"/>
      <c r="N492" s="93"/>
      <c r="O492" s="93"/>
      <c r="P492" s="93"/>
      <c r="Q492" s="93"/>
      <c r="R492" s="93"/>
      <c r="S492" s="93"/>
      <c r="T492" s="93"/>
      <c r="U492" s="93"/>
      <c r="V492" s="93"/>
      <c r="W492" s="93"/>
      <c r="X492" s="93"/>
      <c r="Y492" s="93"/>
      <c r="Z492" s="93"/>
    </row>
    <row r="493" ht="14.25" customHeight="1">
      <c r="A493" s="93"/>
      <c r="B493" s="93"/>
      <c r="C493" s="93"/>
      <c r="D493" s="93"/>
      <c r="E493" s="110"/>
      <c r="F493" s="110"/>
      <c r="G493" s="93"/>
      <c r="H493" s="93"/>
      <c r="I493" s="93"/>
      <c r="J493" s="93"/>
      <c r="K493" s="93"/>
      <c r="L493" s="93"/>
      <c r="M493" s="93"/>
      <c r="N493" s="93"/>
      <c r="O493" s="93"/>
      <c r="P493" s="93"/>
      <c r="Q493" s="93"/>
      <c r="R493" s="93"/>
      <c r="S493" s="93"/>
      <c r="T493" s="93"/>
      <c r="U493" s="93"/>
      <c r="V493" s="93"/>
      <c r="W493" s="93"/>
      <c r="X493" s="93"/>
      <c r="Y493" s="93"/>
      <c r="Z493" s="93"/>
    </row>
    <row r="494" ht="14.25" customHeight="1">
      <c r="A494" s="93"/>
      <c r="B494" s="93"/>
      <c r="C494" s="93"/>
      <c r="D494" s="93"/>
      <c r="E494" s="110"/>
      <c r="F494" s="110"/>
      <c r="G494" s="93"/>
      <c r="H494" s="93"/>
      <c r="I494" s="93"/>
      <c r="J494" s="93"/>
      <c r="K494" s="93"/>
      <c r="L494" s="93"/>
      <c r="M494" s="93"/>
      <c r="N494" s="93"/>
      <c r="O494" s="93"/>
      <c r="P494" s="93"/>
      <c r="Q494" s="93"/>
      <c r="R494" s="93"/>
      <c r="S494" s="93"/>
      <c r="T494" s="93"/>
      <c r="U494" s="93"/>
      <c r="V494" s="93"/>
      <c r="W494" s="93"/>
      <c r="X494" s="93"/>
      <c r="Y494" s="93"/>
      <c r="Z494" s="93"/>
    </row>
    <row r="495" ht="14.25" customHeight="1">
      <c r="A495" s="93"/>
      <c r="B495" s="93"/>
      <c r="C495" s="93"/>
      <c r="D495" s="93"/>
      <c r="E495" s="110"/>
      <c r="F495" s="110"/>
      <c r="G495" s="93"/>
      <c r="H495" s="93"/>
      <c r="I495" s="93"/>
      <c r="J495" s="93"/>
      <c r="K495" s="93"/>
      <c r="L495" s="93"/>
      <c r="M495" s="93"/>
      <c r="N495" s="93"/>
      <c r="O495" s="93"/>
      <c r="P495" s="93"/>
      <c r="Q495" s="93"/>
      <c r="R495" s="93"/>
      <c r="S495" s="93"/>
      <c r="T495" s="93"/>
      <c r="U495" s="93"/>
      <c r="V495" s="93"/>
      <c r="W495" s="93"/>
      <c r="X495" s="93"/>
      <c r="Y495" s="93"/>
      <c r="Z495" s="93"/>
    </row>
    <row r="496" ht="14.25" customHeight="1">
      <c r="A496" s="93"/>
      <c r="B496" s="93"/>
      <c r="C496" s="93"/>
      <c r="D496" s="93"/>
      <c r="E496" s="110"/>
      <c r="F496" s="110"/>
      <c r="G496" s="93"/>
      <c r="H496" s="93"/>
      <c r="I496" s="93"/>
      <c r="J496" s="93"/>
      <c r="K496" s="93"/>
      <c r="L496" s="93"/>
      <c r="M496" s="93"/>
      <c r="N496" s="93"/>
      <c r="O496" s="93"/>
      <c r="P496" s="93"/>
      <c r="Q496" s="93"/>
      <c r="R496" s="93"/>
      <c r="S496" s="93"/>
      <c r="T496" s="93"/>
      <c r="U496" s="93"/>
      <c r="V496" s="93"/>
      <c r="W496" s="93"/>
      <c r="X496" s="93"/>
      <c r="Y496" s="93"/>
      <c r="Z496" s="93"/>
    </row>
    <row r="497" ht="14.25" customHeight="1">
      <c r="A497" s="93"/>
      <c r="B497" s="93"/>
      <c r="C497" s="93"/>
      <c r="D497" s="93"/>
      <c r="E497" s="110"/>
      <c r="F497" s="110"/>
      <c r="G497" s="93"/>
      <c r="H497" s="93"/>
      <c r="I497" s="93"/>
      <c r="J497" s="93"/>
      <c r="K497" s="93"/>
      <c r="L497" s="93"/>
      <c r="M497" s="93"/>
      <c r="N497" s="93"/>
      <c r="O497" s="93"/>
      <c r="P497" s="93"/>
      <c r="Q497" s="93"/>
      <c r="R497" s="93"/>
      <c r="S497" s="93"/>
      <c r="T497" s="93"/>
      <c r="U497" s="93"/>
      <c r="V497" s="93"/>
      <c r="W497" s="93"/>
      <c r="X497" s="93"/>
      <c r="Y497" s="93"/>
      <c r="Z497" s="93"/>
    </row>
    <row r="498" ht="14.25" customHeight="1">
      <c r="A498" s="93"/>
      <c r="B498" s="93"/>
      <c r="C498" s="93"/>
      <c r="D498" s="93"/>
      <c r="E498" s="110"/>
      <c r="F498" s="110"/>
      <c r="G498" s="93"/>
      <c r="H498" s="93"/>
      <c r="I498" s="93"/>
      <c r="J498" s="93"/>
      <c r="K498" s="93"/>
      <c r="L498" s="93"/>
      <c r="M498" s="93"/>
      <c r="N498" s="93"/>
      <c r="O498" s="93"/>
      <c r="P498" s="93"/>
      <c r="Q498" s="93"/>
      <c r="R498" s="93"/>
      <c r="S498" s="93"/>
      <c r="T498" s="93"/>
      <c r="U498" s="93"/>
      <c r="V498" s="93"/>
      <c r="W498" s="93"/>
      <c r="X498" s="93"/>
      <c r="Y498" s="93"/>
      <c r="Z498" s="93"/>
    </row>
    <row r="499" ht="14.25" customHeight="1">
      <c r="A499" s="93"/>
      <c r="B499" s="93"/>
      <c r="C499" s="93"/>
      <c r="D499" s="93"/>
      <c r="E499" s="110"/>
      <c r="F499" s="110"/>
      <c r="G499" s="93"/>
      <c r="H499" s="93"/>
      <c r="I499" s="93"/>
      <c r="J499" s="93"/>
      <c r="K499" s="93"/>
      <c r="L499" s="93"/>
      <c r="M499" s="93"/>
      <c r="N499" s="93"/>
      <c r="O499" s="93"/>
      <c r="P499" s="93"/>
      <c r="Q499" s="93"/>
      <c r="R499" s="93"/>
      <c r="S499" s="93"/>
      <c r="T499" s="93"/>
      <c r="U499" s="93"/>
      <c r="V499" s="93"/>
      <c r="W499" s="93"/>
      <c r="X499" s="93"/>
      <c r="Y499" s="93"/>
      <c r="Z499" s="93"/>
    </row>
    <row r="500" ht="14.25" customHeight="1">
      <c r="A500" s="93"/>
      <c r="B500" s="93"/>
      <c r="C500" s="93"/>
      <c r="D500" s="93"/>
      <c r="E500" s="110"/>
      <c r="F500" s="110"/>
      <c r="G500" s="93"/>
      <c r="H500" s="93"/>
      <c r="I500" s="93"/>
      <c r="J500" s="93"/>
      <c r="K500" s="93"/>
      <c r="L500" s="93"/>
      <c r="M500" s="93"/>
      <c r="N500" s="93"/>
      <c r="O500" s="93"/>
      <c r="P500" s="93"/>
      <c r="Q500" s="93"/>
      <c r="R500" s="93"/>
      <c r="S500" s="93"/>
      <c r="T500" s="93"/>
      <c r="U500" s="93"/>
      <c r="V500" s="93"/>
      <c r="W500" s="93"/>
      <c r="X500" s="93"/>
      <c r="Y500" s="93"/>
      <c r="Z500" s="93"/>
    </row>
    <row r="501" ht="14.25" customHeight="1">
      <c r="A501" s="93"/>
      <c r="B501" s="93"/>
      <c r="C501" s="93"/>
      <c r="D501" s="93"/>
      <c r="E501" s="110"/>
      <c r="F501" s="110"/>
      <c r="G501" s="93"/>
      <c r="H501" s="93"/>
      <c r="I501" s="93"/>
      <c r="J501" s="93"/>
      <c r="K501" s="93"/>
      <c r="L501" s="93"/>
      <c r="M501" s="93"/>
      <c r="N501" s="93"/>
      <c r="O501" s="93"/>
      <c r="P501" s="93"/>
      <c r="Q501" s="93"/>
      <c r="R501" s="93"/>
      <c r="S501" s="93"/>
      <c r="T501" s="93"/>
      <c r="U501" s="93"/>
      <c r="V501" s="93"/>
      <c r="W501" s="93"/>
      <c r="X501" s="93"/>
      <c r="Y501" s="93"/>
      <c r="Z501" s="93"/>
    </row>
    <row r="502" ht="14.25" customHeight="1">
      <c r="A502" s="93"/>
      <c r="B502" s="93"/>
      <c r="C502" s="93"/>
      <c r="D502" s="93"/>
      <c r="E502" s="110"/>
      <c r="F502" s="110"/>
      <c r="G502" s="93"/>
      <c r="H502" s="93"/>
      <c r="I502" s="93"/>
      <c r="J502" s="93"/>
      <c r="K502" s="93"/>
      <c r="L502" s="93"/>
      <c r="M502" s="93"/>
      <c r="N502" s="93"/>
      <c r="O502" s="93"/>
      <c r="P502" s="93"/>
      <c r="Q502" s="93"/>
      <c r="R502" s="93"/>
      <c r="S502" s="93"/>
      <c r="T502" s="93"/>
      <c r="U502" s="93"/>
      <c r="V502" s="93"/>
      <c r="W502" s="93"/>
      <c r="X502" s="93"/>
      <c r="Y502" s="93"/>
      <c r="Z502" s="93"/>
    </row>
    <row r="503" ht="14.25" customHeight="1">
      <c r="A503" s="93"/>
      <c r="B503" s="93"/>
      <c r="C503" s="93"/>
      <c r="D503" s="93"/>
      <c r="E503" s="110"/>
      <c r="F503" s="110"/>
      <c r="G503" s="93"/>
      <c r="H503" s="93"/>
      <c r="I503" s="93"/>
      <c r="J503" s="93"/>
      <c r="K503" s="93"/>
      <c r="L503" s="93"/>
      <c r="M503" s="93"/>
      <c r="N503" s="93"/>
      <c r="O503" s="93"/>
      <c r="P503" s="93"/>
      <c r="Q503" s="93"/>
      <c r="R503" s="93"/>
      <c r="S503" s="93"/>
      <c r="T503" s="93"/>
      <c r="U503" s="93"/>
      <c r="V503" s="93"/>
      <c r="W503" s="93"/>
      <c r="X503" s="93"/>
      <c r="Y503" s="93"/>
      <c r="Z503" s="93"/>
    </row>
    <row r="504" ht="14.25" customHeight="1">
      <c r="A504" s="93"/>
      <c r="B504" s="93"/>
      <c r="C504" s="93"/>
      <c r="D504" s="93"/>
      <c r="E504" s="110"/>
      <c r="F504" s="110"/>
      <c r="G504" s="93"/>
      <c r="H504" s="93"/>
      <c r="I504" s="93"/>
      <c r="J504" s="93"/>
      <c r="K504" s="93"/>
      <c r="L504" s="93"/>
      <c r="M504" s="93"/>
      <c r="N504" s="93"/>
      <c r="O504" s="93"/>
      <c r="P504" s="93"/>
      <c r="Q504" s="93"/>
      <c r="R504" s="93"/>
      <c r="S504" s="93"/>
      <c r="T504" s="93"/>
      <c r="U504" s="93"/>
      <c r="V504" s="93"/>
      <c r="W504" s="93"/>
      <c r="X504" s="93"/>
      <c r="Y504" s="93"/>
      <c r="Z504" s="93"/>
    </row>
    <row r="505" ht="14.25" customHeight="1">
      <c r="A505" s="93"/>
      <c r="B505" s="93"/>
      <c r="C505" s="93"/>
      <c r="D505" s="93"/>
      <c r="E505" s="110"/>
      <c r="F505" s="110"/>
      <c r="G505" s="93"/>
      <c r="H505" s="93"/>
      <c r="I505" s="93"/>
      <c r="J505" s="93"/>
      <c r="K505" s="93"/>
      <c r="L505" s="93"/>
      <c r="M505" s="93"/>
      <c r="N505" s="93"/>
      <c r="O505" s="93"/>
      <c r="P505" s="93"/>
      <c r="Q505" s="93"/>
      <c r="R505" s="93"/>
      <c r="S505" s="93"/>
      <c r="T505" s="93"/>
      <c r="U505" s="93"/>
      <c r="V505" s="93"/>
      <c r="W505" s="93"/>
      <c r="X505" s="93"/>
      <c r="Y505" s="93"/>
      <c r="Z505" s="93"/>
    </row>
    <row r="506" ht="14.25" customHeight="1">
      <c r="A506" s="93"/>
      <c r="B506" s="93"/>
      <c r="C506" s="93"/>
      <c r="D506" s="93"/>
      <c r="E506" s="110"/>
      <c r="F506" s="110"/>
      <c r="G506" s="93"/>
      <c r="H506" s="93"/>
      <c r="I506" s="93"/>
      <c r="J506" s="93"/>
      <c r="K506" s="93"/>
      <c r="L506" s="93"/>
      <c r="M506" s="93"/>
      <c r="N506" s="93"/>
      <c r="O506" s="93"/>
      <c r="P506" s="93"/>
      <c r="Q506" s="93"/>
      <c r="R506" s="93"/>
      <c r="S506" s="93"/>
      <c r="T506" s="93"/>
      <c r="U506" s="93"/>
      <c r="V506" s="93"/>
      <c r="W506" s="93"/>
      <c r="X506" s="93"/>
      <c r="Y506" s="93"/>
      <c r="Z506" s="93"/>
    </row>
    <row r="507" ht="14.25" customHeight="1">
      <c r="A507" s="93"/>
      <c r="B507" s="93"/>
      <c r="C507" s="93"/>
      <c r="D507" s="93"/>
      <c r="E507" s="110"/>
      <c r="F507" s="110"/>
      <c r="G507" s="93"/>
      <c r="H507" s="93"/>
      <c r="I507" s="93"/>
      <c r="J507" s="93"/>
      <c r="K507" s="93"/>
      <c r="L507" s="93"/>
      <c r="M507" s="93"/>
      <c r="N507" s="93"/>
      <c r="O507" s="93"/>
      <c r="P507" s="93"/>
      <c r="Q507" s="93"/>
      <c r="R507" s="93"/>
      <c r="S507" s="93"/>
      <c r="T507" s="93"/>
      <c r="U507" s="93"/>
      <c r="V507" s="93"/>
      <c r="W507" s="93"/>
      <c r="X507" s="93"/>
      <c r="Y507" s="93"/>
      <c r="Z507" s="93"/>
    </row>
    <row r="508" ht="14.25" customHeight="1">
      <c r="A508" s="93"/>
      <c r="B508" s="93"/>
      <c r="C508" s="93"/>
      <c r="D508" s="93"/>
      <c r="E508" s="110"/>
      <c r="F508" s="110"/>
      <c r="G508" s="93"/>
      <c r="H508" s="93"/>
      <c r="I508" s="93"/>
      <c r="J508" s="93"/>
      <c r="K508" s="93"/>
      <c r="L508" s="93"/>
      <c r="M508" s="93"/>
      <c r="N508" s="93"/>
      <c r="O508" s="93"/>
      <c r="P508" s="93"/>
      <c r="Q508" s="93"/>
      <c r="R508" s="93"/>
      <c r="S508" s="93"/>
      <c r="T508" s="93"/>
      <c r="U508" s="93"/>
      <c r="V508" s="93"/>
      <c r="W508" s="93"/>
      <c r="X508" s="93"/>
      <c r="Y508" s="93"/>
      <c r="Z508" s="93"/>
    </row>
    <row r="509" ht="14.25" customHeight="1">
      <c r="A509" s="93"/>
      <c r="B509" s="93"/>
      <c r="C509" s="93"/>
      <c r="D509" s="93"/>
      <c r="E509" s="110"/>
      <c r="F509" s="110"/>
      <c r="G509" s="93"/>
      <c r="H509" s="93"/>
      <c r="I509" s="93"/>
      <c r="J509" s="93"/>
      <c r="K509" s="93"/>
      <c r="L509" s="93"/>
      <c r="M509" s="93"/>
      <c r="N509" s="93"/>
      <c r="O509" s="93"/>
      <c r="P509" s="93"/>
      <c r="Q509" s="93"/>
      <c r="R509" s="93"/>
      <c r="S509" s="93"/>
      <c r="T509" s="93"/>
      <c r="U509" s="93"/>
      <c r="V509" s="93"/>
      <c r="W509" s="93"/>
      <c r="X509" s="93"/>
      <c r="Y509" s="93"/>
      <c r="Z509" s="93"/>
    </row>
    <row r="510" ht="14.25" customHeight="1">
      <c r="A510" s="93"/>
      <c r="B510" s="93"/>
      <c r="C510" s="93"/>
      <c r="D510" s="93"/>
      <c r="E510" s="110"/>
      <c r="F510" s="110"/>
      <c r="G510" s="93"/>
      <c r="H510" s="93"/>
      <c r="I510" s="93"/>
      <c r="J510" s="93"/>
      <c r="K510" s="93"/>
      <c r="L510" s="93"/>
      <c r="M510" s="93"/>
      <c r="N510" s="93"/>
      <c r="O510" s="93"/>
      <c r="P510" s="93"/>
      <c r="Q510" s="93"/>
      <c r="R510" s="93"/>
      <c r="S510" s="93"/>
      <c r="T510" s="93"/>
      <c r="U510" s="93"/>
      <c r="V510" s="93"/>
      <c r="W510" s="93"/>
      <c r="X510" s="93"/>
      <c r="Y510" s="93"/>
      <c r="Z510" s="93"/>
    </row>
    <row r="511" ht="14.25" customHeight="1">
      <c r="A511" s="93"/>
      <c r="B511" s="93"/>
      <c r="C511" s="93"/>
      <c r="D511" s="93"/>
      <c r="E511" s="110"/>
      <c r="F511" s="110"/>
      <c r="G511" s="93"/>
      <c r="H511" s="93"/>
      <c r="I511" s="93"/>
      <c r="J511" s="93"/>
      <c r="K511" s="93"/>
      <c r="L511" s="93"/>
      <c r="M511" s="93"/>
      <c r="N511" s="93"/>
      <c r="O511" s="93"/>
      <c r="P511" s="93"/>
      <c r="Q511" s="93"/>
      <c r="R511" s="93"/>
      <c r="S511" s="93"/>
      <c r="T511" s="93"/>
      <c r="U511" s="93"/>
      <c r="V511" s="93"/>
      <c r="W511" s="93"/>
      <c r="X511" s="93"/>
      <c r="Y511" s="93"/>
      <c r="Z511" s="93"/>
    </row>
    <row r="512" ht="14.25" customHeight="1">
      <c r="A512" s="93"/>
      <c r="B512" s="93"/>
      <c r="C512" s="93"/>
      <c r="D512" s="93"/>
      <c r="E512" s="110"/>
      <c r="F512" s="110"/>
      <c r="G512" s="93"/>
      <c r="H512" s="93"/>
      <c r="I512" s="93"/>
      <c r="J512" s="93"/>
      <c r="K512" s="93"/>
      <c r="L512" s="93"/>
      <c r="M512" s="93"/>
      <c r="N512" s="93"/>
      <c r="O512" s="93"/>
      <c r="P512" s="93"/>
      <c r="Q512" s="93"/>
      <c r="R512" s="93"/>
      <c r="S512" s="93"/>
      <c r="T512" s="93"/>
      <c r="U512" s="93"/>
      <c r="V512" s="93"/>
      <c r="W512" s="93"/>
      <c r="X512" s="93"/>
      <c r="Y512" s="93"/>
      <c r="Z512" s="93"/>
    </row>
    <row r="513" ht="14.25" customHeight="1">
      <c r="A513" s="93"/>
      <c r="B513" s="93"/>
      <c r="C513" s="93"/>
      <c r="D513" s="93"/>
      <c r="E513" s="110"/>
      <c r="F513" s="110"/>
      <c r="G513" s="93"/>
      <c r="H513" s="93"/>
      <c r="I513" s="93"/>
      <c r="J513" s="93"/>
      <c r="K513" s="93"/>
      <c r="L513" s="93"/>
      <c r="M513" s="93"/>
      <c r="N513" s="93"/>
      <c r="O513" s="93"/>
      <c r="P513" s="93"/>
      <c r="Q513" s="93"/>
      <c r="R513" s="93"/>
      <c r="S513" s="93"/>
      <c r="T513" s="93"/>
      <c r="U513" s="93"/>
      <c r="V513" s="93"/>
      <c r="W513" s="93"/>
      <c r="X513" s="93"/>
      <c r="Y513" s="93"/>
      <c r="Z513" s="93"/>
    </row>
    <row r="514" ht="14.25" customHeight="1">
      <c r="A514" s="93"/>
      <c r="B514" s="93"/>
      <c r="C514" s="93"/>
      <c r="D514" s="93"/>
      <c r="E514" s="110"/>
      <c r="F514" s="110"/>
      <c r="G514" s="93"/>
      <c r="H514" s="93"/>
      <c r="I514" s="93"/>
      <c r="J514" s="93"/>
      <c r="K514" s="93"/>
      <c r="L514" s="93"/>
      <c r="M514" s="93"/>
      <c r="N514" s="93"/>
      <c r="O514" s="93"/>
      <c r="P514" s="93"/>
      <c r="Q514" s="93"/>
      <c r="R514" s="93"/>
      <c r="S514" s="93"/>
      <c r="T514" s="93"/>
      <c r="U514" s="93"/>
      <c r="V514" s="93"/>
      <c r="W514" s="93"/>
      <c r="X514" s="93"/>
      <c r="Y514" s="93"/>
      <c r="Z514" s="93"/>
    </row>
    <row r="515" ht="14.25" customHeight="1">
      <c r="A515" s="93"/>
      <c r="B515" s="93"/>
      <c r="C515" s="93"/>
      <c r="D515" s="93"/>
      <c r="E515" s="110"/>
      <c r="F515" s="110"/>
      <c r="G515" s="93"/>
      <c r="H515" s="93"/>
      <c r="I515" s="93"/>
      <c r="J515" s="93"/>
      <c r="K515" s="93"/>
      <c r="L515" s="93"/>
      <c r="M515" s="93"/>
      <c r="N515" s="93"/>
      <c r="O515" s="93"/>
      <c r="P515" s="93"/>
      <c r="Q515" s="93"/>
      <c r="R515" s="93"/>
      <c r="S515" s="93"/>
      <c r="T515" s="93"/>
      <c r="U515" s="93"/>
      <c r="V515" s="93"/>
      <c r="W515" s="93"/>
      <c r="X515" s="93"/>
      <c r="Y515" s="93"/>
      <c r="Z515" s="93"/>
    </row>
    <row r="516" ht="14.25" customHeight="1">
      <c r="A516" s="93"/>
      <c r="B516" s="93"/>
      <c r="C516" s="93"/>
      <c r="D516" s="93"/>
      <c r="E516" s="110"/>
      <c r="F516" s="110"/>
      <c r="G516" s="93"/>
      <c r="H516" s="93"/>
      <c r="I516" s="93"/>
      <c r="J516" s="93"/>
      <c r="K516" s="93"/>
      <c r="L516" s="93"/>
      <c r="M516" s="93"/>
      <c r="N516" s="93"/>
      <c r="O516" s="93"/>
      <c r="P516" s="93"/>
      <c r="Q516" s="93"/>
      <c r="R516" s="93"/>
      <c r="S516" s="93"/>
      <c r="T516" s="93"/>
      <c r="U516" s="93"/>
      <c r="V516" s="93"/>
      <c r="W516" s="93"/>
      <c r="X516" s="93"/>
      <c r="Y516" s="93"/>
      <c r="Z516" s="93"/>
    </row>
    <row r="517" ht="14.25" customHeight="1">
      <c r="A517" s="93"/>
      <c r="B517" s="93"/>
      <c r="C517" s="93"/>
      <c r="D517" s="93"/>
      <c r="E517" s="110"/>
      <c r="F517" s="110"/>
      <c r="G517" s="93"/>
      <c r="H517" s="93"/>
      <c r="I517" s="93"/>
      <c r="J517" s="93"/>
      <c r="K517" s="93"/>
      <c r="L517" s="93"/>
      <c r="M517" s="93"/>
      <c r="N517" s="93"/>
      <c r="O517" s="93"/>
      <c r="P517" s="93"/>
      <c r="Q517" s="93"/>
      <c r="R517" s="93"/>
      <c r="S517" s="93"/>
      <c r="T517" s="93"/>
      <c r="U517" s="93"/>
      <c r="V517" s="93"/>
      <c r="W517" s="93"/>
      <c r="X517" s="93"/>
      <c r="Y517" s="93"/>
      <c r="Z517" s="93"/>
    </row>
    <row r="518" ht="14.25" customHeight="1">
      <c r="A518" s="93"/>
      <c r="B518" s="93"/>
      <c r="C518" s="93"/>
      <c r="D518" s="93"/>
      <c r="E518" s="110"/>
      <c r="F518" s="110"/>
      <c r="G518" s="93"/>
      <c r="H518" s="93"/>
      <c r="I518" s="93"/>
      <c r="J518" s="93"/>
      <c r="K518" s="93"/>
      <c r="L518" s="93"/>
      <c r="M518" s="93"/>
      <c r="N518" s="93"/>
      <c r="O518" s="93"/>
      <c r="P518" s="93"/>
      <c r="Q518" s="93"/>
      <c r="R518" s="93"/>
      <c r="S518" s="93"/>
      <c r="T518" s="93"/>
      <c r="U518" s="93"/>
      <c r="V518" s="93"/>
      <c r="W518" s="93"/>
      <c r="X518" s="93"/>
      <c r="Y518" s="93"/>
      <c r="Z518" s="93"/>
    </row>
    <row r="519" ht="14.25" customHeight="1">
      <c r="A519" s="93"/>
      <c r="B519" s="93"/>
      <c r="C519" s="93"/>
      <c r="D519" s="93"/>
      <c r="E519" s="110"/>
      <c r="F519" s="110"/>
      <c r="G519" s="93"/>
      <c r="H519" s="93"/>
      <c r="I519" s="93"/>
      <c r="J519" s="93"/>
      <c r="K519" s="93"/>
      <c r="L519" s="93"/>
      <c r="M519" s="93"/>
      <c r="N519" s="93"/>
      <c r="O519" s="93"/>
      <c r="P519" s="93"/>
      <c r="Q519" s="93"/>
      <c r="R519" s="93"/>
      <c r="S519" s="93"/>
      <c r="T519" s="93"/>
      <c r="U519" s="93"/>
      <c r="V519" s="93"/>
      <c r="W519" s="93"/>
      <c r="X519" s="93"/>
      <c r="Y519" s="93"/>
      <c r="Z519" s="93"/>
    </row>
    <row r="520" ht="14.25" customHeight="1">
      <c r="A520" s="93"/>
      <c r="B520" s="93"/>
      <c r="C520" s="93"/>
      <c r="D520" s="93"/>
      <c r="E520" s="110"/>
      <c r="F520" s="110"/>
      <c r="G520" s="93"/>
      <c r="H520" s="93"/>
      <c r="I520" s="93"/>
      <c r="J520" s="93"/>
      <c r="K520" s="93"/>
      <c r="L520" s="93"/>
      <c r="M520" s="93"/>
      <c r="N520" s="93"/>
      <c r="O520" s="93"/>
      <c r="P520" s="93"/>
      <c r="Q520" s="93"/>
      <c r="R520" s="93"/>
      <c r="S520" s="93"/>
      <c r="T520" s="93"/>
      <c r="U520" s="93"/>
      <c r="V520" s="93"/>
      <c r="W520" s="93"/>
      <c r="X520" s="93"/>
      <c r="Y520" s="93"/>
      <c r="Z520" s="93"/>
    </row>
    <row r="521" ht="14.25" customHeight="1">
      <c r="A521" s="93"/>
      <c r="B521" s="93"/>
      <c r="C521" s="93"/>
      <c r="D521" s="93"/>
      <c r="E521" s="110"/>
      <c r="F521" s="110"/>
      <c r="G521" s="93"/>
      <c r="H521" s="93"/>
      <c r="I521" s="93"/>
      <c r="J521" s="93"/>
      <c r="K521" s="93"/>
      <c r="L521" s="93"/>
      <c r="M521" s="93"/>
      <c r="N521" s="93"/>
      <c r="O521" s="93"/>
      <c r="P521" s="93"/>
      <c r="Q521" s="93"/>
      <c r="R521" s="93"/>
      <c r="S521" s="93"/>
      <c r="T521" s="93"/>
      <c r="U521" s="93"/>
      <c r="V521" s="93"/>
      <c r="W521" s="93"/>
      <c r="X521" s="93"/>
      <c r="Y521" s="93"/>
      <c r="Z521" s="93"/>
    </row>
    <row r="522" ht="14.25" customHeight="1">
      <c r="A522" s="93"/>
      <c r="B522" s="93"/>
      <c r="C522" s="93"/>
      <c r="D522" s="93"/>
      <c r="E522" s="110"/>
      <c r="F522" s="110"/>
      <c r="G522" s="93"/>
      <c r="H522" s="93"/>
      <c r="I522" s="93"/>
      <c r="J522" s="93"/>
      <c r="K522" s="93"/>
      <c r="L522" s="93"/>
      <c r="M522" s="93"/>
      <c r="N522" s="93"/>
      <c r="O522" s="93"/>
      <c r="P522" s="93"/>
      <c r="Q522" s="93"/>
      <c r="R522" s="93"/>
      <c r="S522" s="93"/>
      <c r="T522" s="93"/>
      <c r="U522" s="93"/>
      <c r="V522" s="93"/>
      <c r="W522" s="93"/>
      <c r="X522" s="93"/>
      <c r="Y522" s="93"/>
      <c r="Z522" s="93"/>
    </row>
    <row r="523" ht="14.25" customHeight="1">
      <c r="A523" s="93"/>
      <c r="B523" s="93"/>
      <c r="C523" s="93"/>
      <c r="D523" s="93"/>
      <c r="E523" s="110"/>
      <c r="F523" s="110"/>
      <c r="G523" s="93"/>
      <c r="H523" s="93"/>
      <c r="I523" s="93"/>
      <c r="J523" s="93"/>
      <c r="K523" s="93"/>
      <c r="L523" s="93"/>
      <c r="M523" s="93"/>
      <c r="N523" s="93"/>
      <c r="O523" s="93"/>
      <c r="P523" s="93"/>
      <c r="Q523" s="93"/>
      <c r="R523" s="93"/>
      <c r="S523" s="93"/>
      <c r="T523" s="93"/>
      <c r="U523" s="93"/>
      <c r="V523" s="93"/>
      <c r="W523" s="93"/>
      <c r="X523" s="93"/>
      <c r="Y523" s="93"/>
      <c r="Z523" s="93"/>
    </row>
    <row r="524" ht="14.25" customHeight="1">
      <c r="A524" s="93"/>
      <c r="B524" s="93"/>
      <c r="C524" s="93"/>
      <c r="D524" s="93"/>
      <c r="E524" s="110"/>
      <c r="F524" s="110"/>
      <c r="G524" s="93"/>
      <c r="H524" s="93"/>
      <c r="I524" s="93"/>
      <c r="J524" s="93"/>
      <c r="K524" s="93"/>
      <c r="L524" s="93"/>
      <c r="M524" s="93"/>
      <c r="N524" s="93"/>
      <c r="O524" s="93"/>
      <c r="P524" s="93"/>
      <c r="Q524" s="93"/>
      <c r="R524" s="93"/>
      <c r="S524" s="93"/>
      <c r="T524" s="93"/>
      <c r="U524" s="93"/>
      <c r="V524" s="93"/>
      <c r="W524" s="93"/>
      <c r="X524" s="93"/>
      <c r="Y524" s="93"/>
      <c r="Z524" s="93"/>
    </row>
    <row r="525" ht="14.25" customHeight="1">
      <c r="A525" s="93"/>
      <c r="B525" s="93"/>
      <c r="C525" s="93"/>
      <c r="D525" s="93"/>
      <c r="E525" s="110"/>
      <c r="F525" s="110"/>
      <c r="G525" s="93"/>
      <c r="H525" s="93"/>
      <c r="I525" s="93"/>
      <c r="J525" s="93"/>
      <c r="K525" s="93"/>
      <c r="L525" s="93"/>
      <c r="M525" s="93"/>
      <c r="N525" s="93"/>
      <c r="O525" s="93"/>
      <c r="P525" s="93"/>
      <c r="Q525" s="93"/>
      <c r="R525" s="93"/>
      <c r="S525" s="93"/>
      <c r="T525" s="93"/>
      <c r="U525" s="93"/>
      <c r="V525" s="93"/>
      <c r="W525" s="93"/>
      <c r="X525" s="93"/>
      <c r="Y525" s="93"/>
      <c r="Z525" s="93"/>
    </row>
    <row r="526" ht="14.25" customHeight="1">
      <c r="A526" s="93"/>
      <c r="B526" s="93"/>
      <c r="C526" s="93"/>
      <c r="D526" s="93"/>
      <c r="E526" s="110"/>
      <c r="F526" s="110"/>
      <c r="G526" s="93"/>
      <c r="H526" s="93"/>
      <c r="I526" s="93"/>
      <c r="J526" s="93"/>
      <c r="K526" s="93"/>
      <c r="L526" s="93"/>
      <c r="M526" s="93"/>
      <c r="N526" s="93"/>
      <c r="O526" s="93"/>
      <c r="P526" s="93"/>
      <c r="Q526" s="93"/>
      <c r="R526" s="93"/>
      <c r="S526" s="93"/>
      <c r="T526" s="93"/>
      <c r="U526" s="93"/>
      <c r="V526" s="93"/>
      <c r="W526" s="93"/>
      <c r="X526" s="93"/>
      <c r="Y526" s="93"/>
      <c r="Z526" s="93"/>
    </row>
    <row r="527" ht="14.25" customHeight="1">
      <c r="A527" s="93"/>
      <c r="B527" s="93"/>
      <c r="C527" s="93"/>
      <c r="D527" s="93"/>
      <c r="E527" s="110"/>
      <c r="F527" s="110"/>
      <c r="G527" s="93"/>
      <c r="H527" s="93"/>
      <c r="I527" s="93"/>
      <c r="J527" s="93"/>
      <c r="K527" s="93"/>
      <c r="L527" s="93"/>
      <c r="M527" s="93"/>
      <c r="N527" s="93"/>
      <c r="O527" s="93"/>
      <c r="P527" s="93"/>
      <c r="Q527" s="93"/>
      <c r="R527" s="93"/>
      <c r="S527" s="93"/>
      <c r="T527" s="93"/>
      <c r="U527" s="93"/>
      <c r="V527" s="93"/>
      <c r="W527" s="93"/>
      <c r="X527" s="93"/>
      <c r="Y527" s="93"/>
      <c r="Z527" s="93"/>
    </row>
    <row r="528" ht="14.25" customHeight="1">
      <c r="A528" s="93"/>
      <c r="B528" s="93"/>
      <c r="C528" s="93"/>
      <c r="D528" s="93"/>
      <c r="E528" s="110"/>
      <c r="F528" s="110"/>
      <c r="G528" s="93"/>
      <c r="H528" s="93"/>
      <c r="I528" s="93"/>
      <c r="J528" s="93"/>
      <c r="K528" s="93"/>
      <c r="L528" s="93"/>
      <c r="M528" s="93"/>
      <c r="N528" s="93"/>
      <c r="O528" s="93"/>
      <c r="P528" s="93"/>
      <c r="Q528" s="93"/>
      <c r="R528" s="93"/>
      <c r="S528" s="93"/>
      <c r="T528" s="93"/>
      <c r="U528" s="93"/>
      <c r="V528" s="93"/>
      <c r="W528" s="93"/>
      <c r="X528" s="93"/>
      <c r="Y528" s="93"/>
      <c r="Z528" s="93"/>
    </row>
    <row r="529" ht="14.25" customHeight="1">
      <c r="A529" s="93"/>
      <c r="B529" s="93"/>
      <c r="C529" s="93"/>
      <c r="D529" s="93"/>
      <c r="E529" s="110"/>
      <c r="F529" s="110"/>
      <c r="G529" s="93"/>
      <c r="H529" s="93"/>
      <c r="I529" s="93"/>
      <c r="J529" s="93"/>
      <c r="K529" s="93"/>
      <c r="L529" s="93"/>
      <c r="M529" s="93"/>
      <c r="N529" s="93"/>
      <c r="O529" s="93"/>
      <c r="P529" s="93"/>
      <c r="Q529" s="93"/>
      <c r="R529" s="93"/>
      <c r="S529" s="93"/>
      <c r="T529" s="93"/>
      <c r="U529" s="93"/>
      <c r="V529" s="93"/>
      <c r="W529" s="93"/>
      <c r="X529" s="93"/>
      <c r="Y529" s="93"/>
      <c r="Z529" s="93"/>
    </row>
    <row r="530" ht="14.25" customHeight="1">
      <c r="A530" s="93"/>
      <c r="B530" s="93"/>
      <c r="C530" s="93"/>
      <c r="D530" s="93"/>
      <c r="E530" s="110"/>
      <c r="F530" s="110"/>
      <c r="G530" s="93"/>
      <c r="H530" s="93"/>
      <c r="I530" s="93"/>
      <c r="J530" s="93"/>
      <c r="K530" s="93"/>
      <c r="L530" s="93"/>
      <c r="M530" s="93"/>
      <c r="N530" s="93"/>
      <c r="O530" s="93"/>
      <c r="P530" s="93"/>
      <c r="Q530" s="93"/>
      <c r="R530" s="93"/>
      <c r="S530" s="93"/>
      <c r="T530" s="93"/>
      <c r="U530" s="93"/>
      <c r="V530" s="93"/>
      <c r="W530" s="93"/>
      <c r="X530" s="93"/>
      <c r="Y530" s="93"/>
      <c r="Z530" s="93"/>
    </row>
    <row r="531" ht="14.25" customHeight="1">
      <c r="A531" s="93"/>
      <c r="B531" s="93"/>
      <c r="C531" s="93"/>
      <c r="D531" s="93"/>
      <c r="E531" s="110"/>
      <c r="F531" s="110"/>
      <c r="G531" s="93"/>
      <c r="H531" s="93"/>
      <c r="I531" s="93"/>
      <c r="J531" s="93"/>
      <c r="K531" s="93"/>
      <c r="L531" s="93"/>
      <c r="M531" s="93"/>
      <c r="N531" s="93"/>
      <c r="O531" s="93"/>
      <c r="P531" s="93"/>
      <c r="Q531" s="93"/>
      <c r="R531" s="93"/>
      <c r="S531" s="93"/>
      <c r="T531" s="93"/>
      <c r="U531" s="93"/>
      <c r="V531" s="93"/>
      <c r="W531" s="93"/>
      <c r="X531" s="93"/>
      <c r="Y531" s="93"/>
      <c r="Z531" s="93"/>
    </row>
    <row r="532" ht="14.25" customHeight="1">
      <c r="A532" s="93"/>
      <c r="B532" s="93"/>
      <c r="C532" s="93"/>
      <c r="D532" s="93"/>
      <c r="E532" s="110"/>
      <c r="F532" s="110"/>
      <c r="G532" s="93"/>
      <c r="H532" s="93"/>
      <c r="I532" s="93"/>
      <c r="J532" s="93"/>
      <c r="K532" s="93"/>
      <c r="L532" s="93"/>
      <c r="M532" s="93"/>
      <c r="N532" s="93"/>
      <c r="O532" s="93"/>
      <c r="P532" s="93"/>
      <c r="Q532" s="93"/>
      <c r="R532" s="93"/>
      <c r="S532" s="93"/>
      <c r="T532" s="93"/>
      <c r="U532" s="93"/>
      <c r="V532" s="93"/>
      <c r="W532" s="93"/>
      <c r="X532" s="93"/>
      <c r="Y532" s="93"/>
      <c r="Z532" s="93"/>
    </row>
    <row r="533" ht="14.25" customHeight="1">
      <c r="A533" s="93"/>
      <c r="B533" s="93"/>
      <c r="C533" s="93"/>
      <c r="D533" s="93"/>
      <c r="E533" s="110"/>
      <c r="F533" s="110"/>
      <c r="G533" s="93"/>
      <c r="H533" s="93"/>
      <c r="I533" s="93"/>
      <c r="J533" s="93"/>
      <c r="K533" s="93"/>
      <c r="L533" s="93"/>
      <c r="M533" s="93"/>
      <c r="N533" s="93"/>
      <c r="O533" s="93"/>
      <c r="P533" s="93"/>
      <c r="Q533" s="93"/>
      <c r="R533" s="93"/>
      <c r="S533" s="93"/>
      <c r="T533" s="93"/>
      <c r="U533" s="93"/>
      <c r="V533" s="93"/>
      <c r="W533" s="93"/>
      <c r="X533" s="93"/>
      <c r="Y533" s="93"/>
      <c r="Z533" s="93"/>
    </row>
    <row r="534" ht="14.25" customHeight="1">
      <c r="A534" s="93"/>
      <c r="B534" s="93"/>
      <c r="C534" s="93"/>
      <c r="D534" s="93"/>
      <c r="E534" s="110"/>
      <c r="F534" s="110"/>
      <c r="G534" s="93"/>
      <c r="H534" s="93"/>
      <c r="I534" s="93"/>
      <c r="J534" s="93"/>
      <c r="K534" s="93"/>
      <c r="L534" s="93"/>
      <c r="M534" s="93"/>
      <c r="N534" s="93"/>
      <c r="O534" s="93"/>
      <c r="P534" s="93"/>
      <c r="Q534" s="93"/>
      <c r="R534" s="93"/>
      <c r="S534" s="93"/>
      <c r="T534" s="93"/>
      <c r="U534" s="93"/>
      <c r="V534" s="93"/>
      <c r="W534" s="93"/>
      <c r="X534" s="93"/>
      <c r="Y534" s="93"/>
      <c r="Z534" s="93"/>
    </row>
    <row r="535" ht="14.25" customHeight="1">
      <c r="A535" s="93"/>
      <c r="B535" s="93"/>
      <c r="C535" s="93"/>
      <c r="D535" s="93"/>
      <c r="E535" s="110"/>
      <c r="F535" s="110"/>
      <c r="G535" s="93"/>
      <c r="H535" s="93"/>
      <c r="I535" s="93"/>
      <c r="J535" s="93"/>
      <c r="K535" s="93"/>
      <c r="L535" s="93"/>
      <c r="M535" s="93"/>
      <c r="N535" s="93"/>
      <c r="O535" s="93"/>
      <c r="P535" s="93"/>
      <c r="Q535" s="93"/>
      <c r="R535" s="93"/>
      <c r="S535" s="93"/>
      <c r="T535" s="93"/>
      <c r="U535" s="93"/>
      <c r="V535" s="93"/>
      <c r="W535" s="93"/>
      <c r="X535" s="93"/>
      <c r="Y535" s="93"/>
      <c r="Z535" s="93"/>
    </row>
    <row r="536" ht="14.25" customHeight="1">
      <c r="A536" s="93"/>
      <c r="B536" s="93"/>
      <c r="C536" s="93"/>
      <c r="D536" s="93"/>
      <c r="E536" s="110"/>
      <c r="F536" s="110"/>
      <c r="G536" s="93"/>
      <c r="H536" s="93"/>
      <c r="I536" s="93"/>
      <c r="J536" s="93"/>
      <c r="K536" s="93"/>
      <c r="L536" s="93"/>
      <c r="M536" s="93"/>
      <c r="N536" s="93"/>
      <c r="O536" s="93"/>
      <c r="P536" s="93"/>
      <c r="Q536" s="93"/>
      <c r="R536" s="93"/>
      <c r="S536" s="93"/>
      <c r="T536" s="93"/>
      <c r="U536" s="93"/>
      <c r="V536" s="93"/>
      <c r="W536" s="93"/>
      <c r="X536" s="93"/>
      <c r="Y536" s="93"/>
      <c r="Z536" s="93"/>
    </row>
    <row r="537" ht="14.25" customHeight="1">
      <c r="A537" s="93"/>
      <c r="B537" s="93"/>
      <c r="C537" s="93"/>
      <c r="D537" s="93"/>
      <c r="E537" s="110"/>
      <c r="F537" s="110"/>
      <c r="G537" s="93"/>
      <c r="H537" s="93"/>
      <c r="I537" s="93"/>
      <c r="J537" s="93"/>
      <c r="K537" s="93"/>
      <c r="L537" s="93"/>
      <c r="M537" s="93"/>
      <c r="N537" s="93"/>
      <c r="O537" s="93"/>
      <c r="P537" s="93"/>
      <c r="Q537" s="93"/>
      <c r="R537" s="93"/>
      <c r="S537" s="93"/>
      <c r="T537" s="93"/>
      <c r="U537" s="93"/>
      <c r="V537" s="93"/>
      <c r="W537" s="93"/>
      <c r="X537" s="93"/>
      <c r="Y537" s="93"/>
      <c r="Z537" s="93"/>
    </row>
    <row r="538" ht="14.25" customHeight="1">
      <c r="A538" s="93"/>
      <c r="B538" s="93"/>
      <c r="C538" s="93"/>
      <c r="D538" s="93"/>
      <c r="E538" s="110"/>
      <c r="F538" s="110"/>
      <c r="G538" s="93"/>
      <c r="H538" s="93"/>
      <c r="I538" s="93"/>
      <c r="J538" s="93"/>
      <c r="K538" s="93"/>
      <c r="L538" s="93"/>
      <c r="M538" s="93"/>
      <c r="N538" s="93"/>
      <c r="O538" s="93"/>
      <c r="P538" s="93"/>
      <c r="Q538" s="93"/>
      <c r="R538" s="93"/>
      <c r="S538" s="93"/>
      <c r="T538" s="93"/>
      <c r="U538" s="93"/>
      <c r="V538" s="93"/>
      <c r="W538" s="93"/>
      <c r="X538" s="93"/>
      <c r="Y538" s="93"/>
      <c r="Z538" s="93"/>
    </row>
    <row r="539" ht="14.25" customHeight="1">
      <c r="A539" s="93"/>
      <c r="B539" s="93"/>
      <c r="C539" s="93"/>
      <c r="D539" s="93"/>
      <c r="E539" s="110"/>
      <c r="F539" s="110"/>
      <c r="G539" s="93"/>
      <c r="H539" s="93"/>
      <c r="I539" s="93"/>
      <c r="J539" s="93"/>
      <c r="K539" s="93"/>
      <c r="L539" s="93"/>
      <c r="M539" s="93"/>
      <c r="N539" s="93"/>
      <c r="O539" s="93"/>
      <c r="P539" s="93"/>
      <c r="Q539" s="93"/>
      <c r="R539" s="93"/>
      <c r="S539" s="93"/>
      <c r="T539" s="93"/>
      <c r="U539" s="93"/>
      <c r="V539" s="93"/>
      <c r="W539" s="93"/>
      <c r="X539" s="93"/>
      <c r="Y539" s="93"/>
      <c r="Z539" s="93"/>
    </row>
    <row r="540" ht="14.25" customHeight="1">
      <c r="A540" s="93"/>
      <c r="B540" s="93"/>
      <c r="C540" s="93"/>
      <c r="D540" s="93"/>
      <c r="E540" s="110"/>
      <c r="F540" s="110"/>
      <c r="G540" s="93"/>
      <c r="H540" s="93"/>
      <c r="I540" s="93"/>
      <c r="J540" s="93"/>
      <c r="K540" s="93"/>
      <c r="L540" s="93"/>
      <c r="M540" s="93"/>
      <c r="N540" s="93"/>
      <c r="O540" s="93"/>
      <c r="P540" s="93"/>
      <c r="Q540" s="93"/>
      <c r="R540" s="93"/>
      <c r="S540" s="93"/>
      <c r="T540" s="93"/>
      <c r="U540" s="93"/>
      <c r="V540" s="93"/>
      <c r="W540" s="93"/>
      <c r="X540" s="93"/>
      <c r="Y540" s="93"/>
      <c r="Z540" s="93"/>
    </row>
    <row r="541" ht="14.25" customHeight="1">
      <c r="A541" s="93"/>
      <c r="B541" s="93"/>
      <c r="C541" s="93"/>
      <c r="D541" s="93"/>
      <c r="E541" s="110"/>
      <c r="F541" s="110"/>
      <c r="G541" s="93"/>
      <c r="H541" s="93"/>
      <c r="I541" s="93"/>
      <c r="J541" s="93"/>
      <c r="K541" s="93"/>
      <c r="L541" s="93"/>
      <c r="M541" s="93"/>
      <c r="N541" s="93"/>
      <c r="O541" s="93"/>
      <c r="P541" s="93"/>
      <c r="Q541" s="93"/>
      <c r="R541" s="93"/>
      <c r="S541" s="93"/>
      <c r="T541" s="93"/>
      <c r="U541" s="93"/>
      <c r="V541" s="93"/>
      <c r="W541" s="93"/>
      <c r="X541" s="93"/>
      <c r="Y541" s="93"/>
      <c r="Z541" s="93"/>
    </row>
    <row r="542" ht="14.25" customHeight="1">
      <c r="A542" s="93"/>
      <c r="B542" s="93"/>
      <c r="C542" s="93"/>
      <c r="D542" s="93"/>
      <c r="E542" s="110"/>
      <c r="F542" s="110"/>
      <c r="G542" s="93"/>
      <c r="H542" s="93"/>
      <c r="I542" s="93"/>
      <c r="J542" s="93"/>
      <c r="K542" s="93"/>
      <c r="L542" s="93"/>
      <c r="M542" s="93"/>
      <c r="N542" s="93"/>
      <c r="O542" s="93"/>
      <c r="P542" s="93"/>
      <c r="Q542" s="93"/>
      <c r="R542" s="93"/>
      <c r="S542" s="93"/>
      <c r="T542" s="93"/>
      <c r="U542" s="93"/>
      <c r="V542" s="93"/>
      <c r="W542" s="93"/>
      <c r="X542" s="93"/>
      <c r="Y542" s="93"/>
      <c r="Z542" s="93"/>
    </row>
    <row r="543" ht="14.25" customHeight="1">
      <c r="A543" s="93"/>
      <c r="B543" s="93"/>
      <c r="C543" s="93"/>
      <c r="D543" s="93"/>
      <c r="E543" s="110"/>
      <c r="F543" s="110"/>
      <c r="G543" s="93"/>
      <c r="H543" s="93"/>
      <c r="I543" s="93"/>
      <c r="J543" s="93"/>
      <c r="K543" s="93"/>
      <c r="L543" s="93"/>
      <c r="M543" s="93"/>
      <c r="N543" s="93"/>
      <c r="O543" s="93"/>
      <c r="P543" s="93"/>
      <c r="Q543" s="93"/>
      <c r="R543" s="93"/>
      <c r="S543" s="93"/>
      <c r="T543" s="93"/>
      <c r="U543" s="93"/>
      <c r="V543" s="93"/>
      <c r="W543" s="93"/>
      <c r="X543" s="93"/>
      <c r="Y543" s="93"/>
      <c r="Z543" s="93"/>
    </row>
    <row r="544" ht="14.25" customHeight="1">
      <c r="A544" s="93"/>
      <c r="B544" s="93"/>
      <c r="C544" s="93"/>
      <c r="D544" s="93"/>
      <c r="E544" s="110"/>
      <c r="F544" s="110"/>
      <c r="G544" s="93"/>
      <c r="H544" s="93"/>
      <c r="I544" s="93"/>
      <c r="J544" s="93"/>
      <c r="K544" s="93"/>
      <c r="L544" s="93"/>
      <c r="M544" s="93"/>
      <c r="N544" s="93"/>
      <c r="O544" s="93"/>
      <c r="P544" s="93"/>
      <c r="Q544" s="93"/>
      <c r="R544" s="93"/>
      <c r="S544" s="93"/>
      <c r="T544" s="93"/>
      <c r="U544" s="93"/>
      <c r="V544" s="93"/>
      <c r="W544" s="93"/>
      <c r="X544" s="93"/>
      <c r="Y544" s="93"/>
      <c r="Z544" s="93"/>
    </row>
    <row r="545" ht="14.25" customHeight="1">
      <c r="A545" s="93"/>
      <c r="B545" s="93"/>
      <c r="C545" s="93"/>
      <c r="D545" s="93"/>
      <c r="E545" s="110"/>
      <c r="F545" s="110"/>
      <c r="G545" s="93"/>
      <c r="H545" s="93"/>
      <c r="I545" s="93"/>
      <c r="J545" s="93"/>
      <c r="K545" s="93"/>
      <c r="L545" s="93"/>
      <c r="M545" s="93"/>
      <c r="N545" s="93"/>
      <c r="O545" s="93"/>
      <c r="P545" s="93"/>
      <c r="Q545" s="93"/>
      <c r="R545" s="93"/>
      <c r="S545" s="93"/>
      <c r="T545" s="93"/>
      <c r="U545" s="93"/>
      <c r="V545" s="93"/>
      <c r="W545" s="93"/>
      <c r="X545" s="93"/>
      <c r="Y545" s="93"/>
      <c r="Z545" s="93"/>
    </row>
    <row r="546" ht="14.25" customHeight="1">
      <c r="A546" s="93"/>
      <c r="B546" s="93"/>
      <c r="C546" s="93"/>
      <c r="D546" s="93"/>
      <c r="E546" s="110"/>
      <c r="F546" s="110"/>
      <c r="G546" s="93"/>
      <c r="H546" s="93"/>
      <c r="I546" s="93"/>
      <c r="J546" s="93"/>
      <c r="K546" s="93"/>
      <c r="L546" s="93"/>
      <c r="M546" s="93"/>
      <c r="N546" s="93"/>
      <c r="O546" s="93"/>
      <c r="P546" s="93"/>
      <c r="Q546" s="93"/>
      <c r="R546" s="93"/>
      <c r="S546" s="93"/>
      <c r="T546" s="93"/>
      <c r="U546" s="93"/>
      <c r="V546" s="93"/>
      <c r="W546" s="93"/>
      <c r="X546" s="93"/>
      <c r="Y546" s="93"/>
      <c r="Z546" s="93"/>
    </row>
    <row r="547" ht="14.25" customHeight="1">
      <c r="A547" s="93"/>
      <c r="B547" s="93"/>
      <c r="C547" s="93"/>
      <c r="D547" s="93"/>
      <c r="E547" s="110"/>
      <c r="F547" s="110"/>
      <c r="G547" s="93"/>
      <c r="H547" s="93"/>
      <c r="I547" s="93"/>
      <c r="J547" s="93"/>
      <c r="K547" s="93"/>
      <c r="L547" s="93"/>
      <c r="M547" s="93"/>
      <c r="N547" s="93"/>
      <c r="O547" s="93"/>
      <c r="P547" s="93"/>
      <c r="Q547" s="93"/>
      <c r="R547" s="93"/>
      <c r="S547" s="93"/>
      <c r="T547" s="93"/>
      <c r="U547" s="93"/>
      <c r="V547" s="93"/>
      <c r="W547" s="93"/>
      <c r="X547" s="93"/>
      <c r="Y547" s="93"/>
      <c r="Z547" s="93"/>
    </row>
    <row r="548" ht="14.25" customHeight="1">
      <c r="A548" s="93"/>
      <c r="B548" s="93"/>
      <c r="C548" s="93"/>
      <c r="D548" s="93"/>
      <c r="E548" s="110"/>
      <c r="F548" s="110"/>
      <c r="G548" s="93"/>
      <c r="H548" s="93"/>
      <c r="I548" s="93"/>
      <c r="J548" s="93"/>
      <c r="K548" s="93"/>
      <c r="L548" s="93"/>
      <c r="M548" s="93"/>
      <c r="N548" s="93"/>
      <c r="O548" s="93"/>
      <c r="P548" s="93"/>
      <c r="Q548" s="93"/>
      <c r="R548" s="93"/>
      <c r="S548" s="93"/>
      <c r="T548" s="93"/>
      <c r="U548" s="93"/>
      <c r="V548" s="93"/>
      <c r="W548" s="93"/>
      <c r="X548" s="93"/>
      <c r="Y548" s="93"/>
      <c r="Z548" s="93"/>
    </row>
    <row r="549" ht="14.25" customHeight="1">
      <c r="A549" s="93"/>
      <c r="B549" s="93"/>
      <c r="C549" s="93"/>
      <c r="D549" s="93"/>
      <c r="E549" s="110"/>
      <c r="F549" s="110"/>
      <c r="G549" s="93"/>
      <c r="H549" s="93"/>
      <c r="I549" s="93"/>
      <c r="J549" s="93"/>
      <c r="K549" s="93"/>
      <c r="L549" s="93"/>
      <c r="M549" s="93"/>
      <c r="N549" s="93"/>
      <c r="O549" s="93"/>
      <c r="P549" s="93"/>
      <c r="Q549" s="93"/>
      <c r="R549" s="93"/>
      <c r="S549" s="93"/>
      <c r="T549" s="93"/>
      <c r="U549" s="93"/>
      <c r="V549" s="93"/>
      <c r="W549" s="93"/>
      <c r="X549" s="93"/>
      <c r="Y549" s="93"/>
      <c r="Z549" s="93"/>
    </row>
    <row r="550" ht="14.25" customHeight="1">
      <c r="A550" s="93"/>
      <c r="B550" s="93"/>
      <c r="C550" s="93"/>
      <c r="D550" s="93"/>
      <c r="E550" s="110"/>
      <c r="F550" s="110"/>
      <c r="G550" s="93"/>
      <c r="H550" s="93"/>
      <c r="I550" s="93"/>
      <c r="J550" s="93"/>
      <c r="K550" s="93"/>
      <c r="L550" s="93"/>
      <c r="M550" s="93"/>
      <c r="N550" s="93"/>
      <c r="O550" s="93"/>
      <c r="P550" s="93"/>
      <c r="Q550" s="93"/>
      <c r="R550" s="93"/>
      <c r="S550" s="93"/>
      <c r="T550" s="93"/>
      <c r="U550" s="93"/>
      <c r="V550" s="93"/>
      <c r="W550" s="93"/>
      <c r="X550" s="93"/>
      <c r="Y550" s="93"/>
      <c r="Z550" s="93"/>
    </row>
    <row r="551" ht="14.25" customHeight="1">
      <c r="A551" s="93"/>
      <c r="B551" s="93"/>
      <c r="C551" s="93"/>
      <c r="D551" s="93"/>
      <c r="E551" s="110"/>
      <c r="F551" s="110"/>
      <c r="G551" s="93"/>
      <c r="H551" s="93"/>
      <c r="I551" s="93"/>
      <c r="J551" s="93"/>
      <c r="K551" s="93"/>
      <c r="L551" s="93"/>
      <c r="M551" s="93"/>
      <c r="N551" s="93"/>
      <c r="O551" s="93"/>
      <c r="P551" s="93"/>
      <c r="Q551" s="93"/>
      <c r="R551" s="93"/>
      <c r="S551" s="93"/>
      <c r="T551" s="93"/>
      <c r="U551" s="93"/>
      <c r="V551" s="93"/>
      <c r="W551" s="93"/>
      <c r="X551" s="93"/>
      <c r="Y551" s="93"/>
      <c r="Z551" s="93"/>
    </row>
    <row r="552" ht="14.25" customHeight="1">
      <c r="A552" s="93"/>
      <c r="B552" s="93"/>
      <c r="C552" s="93"/>
      <c r="D552" s="93"/>
      <c r="E552" s="110"/>
      <c r="F552" s="110"/>
      <c r="G552" s="93"/>
      <c r="H552" s="93"/>
      <c r="I552" s="93"/>
      <c r="J552" s="93"/>
      <c r="K552" s="93"/>
      <c r="L552" s="93"/>
      <c r="M552" s="93"/>
      <c r="N552" s="93"/>
      <c r="O552" s="93"/>
      <c r="P552" s="93"/>
      <c r="Q552" s="93"/>
      <c r="R552" s="93"/>
      <c r="S552" s="93"/>
      <c r="T552" s="93"/>
      <c r="U552" s="93"/>
      <c r="V552" s="93"/>
      <c r="W552" s="93"/>
      <c r="X552" s="93"/>
      <c r="Y552" s="93"/>
      <c r="Z552" s="93"/>
    </row>
    <row r="553" ht="14.25" customHeight="1">
      <c r="A553" s="93"/>
      <c r="B553" s="93"/>
      <c r="C553" s="93"/>
      <c r="D553" s="93"/>
      <c r="E553" s="110"/>
      <c r="F553" s="110"/>
      <c r="G553" s="93"/>
      <c r="H553" s="93"/>
      <c r="I553" s="93"/>
      <c r="J553" s="93"/>
      <c r="K553" s="93"/>
      <c r="L553" s="93"/>
      <c r="M553" s="93"/>
      <c r="N553" s="93"/>
      <c r="O553" s="93"/>
      <c r="P553" s="93"/>
      <c r="Q553" s="93"/>
      <c r="R553" s="93"/>
      <c r="S553" s="93"/>
      <c r="T553" s="93"/>
      <c r="U553" s="93"/>
      <c r="V553" s="93"/>
      <c r="W553" s="93"/>
      <c r="X553" s="93"/>
      <c r="Y553" s="93"/>
      <c r="Z553" s="93"/>
    </row>
    <row r="554" ht="14.25" customHeight="1">
      <c r="A554" s="93"/>
      <c r="B554" s="93"/>
      <c r="C554" s="93"/>
      <c r="D554" s="93"/>
      <c r="E554" s="110"/>
      <c r="F554" s="110"/>
      <c r="G554" s="93"/>
      <c r="H554" s="93"/>
      <c r="I554" s="93"/>
      <c r="J554" s="93"/>
      <c r="K554" s="93"/>
      <c r="L554" s="93"/>
      <c r="M554" s="93"/>
      <c r="N554" s="93"/>
      <c r="O554" s="93"/>
      <c r="P554" s="93"/>
      <c r="Q554" s="93"/>
      <c r="R554" s="93"/>
      <c r="S554" s="93"/>
      <c r="T554" s="93"/>
      <c r="U554" s="93"/>
      <c r="V554" s="93"/>
      <c r="W554" s="93"/>
      <c r="X554" s="93"/>
      <c r="Y554" s="93"/>
      <c r="Z554" s="93"/>
    </row>
    <row r="555" ht="14.25" customHeight="1">
      <c r="A555" s="93"/>
      <c r="B555" s="93"/>
      <c r="C555" s="93"/>
      <c r="D555" s="93"/>
      <c r="E555" s="110"/>
      <c r="F555" s="110"/>
      <c r="G555" s="93"/>
      <c r="H555" s="93"/>
      <c r="I555" s="93"/>
      <c r="J555" s="93"/>
      <c r="K555" s="93"/>
      <c r="L555" s="93"/>
      <c r="M555" s="93"/>
      <c r="N555" s="93"/>
      <c r="O555" s="93"/>
      <c r="P555" s="93"/>
      <c r="Q555" s="93"/>
      <c r="R555" s="93"/>
      <c r="S555" s="93"/>
      <c r="T555" s="93"/>
      <c r="U555" s="93"/>
      <c r="V555" s="93"/>
      <c r="W555" s="93"/>
      <c r="X555" s="93"/>
      <c r="Y555" s="93"/>
      <c r="Z555" s="93"/>
    </row>
    <row r="556" ht="14.25" customHeight="1">
      <c r="A556" s="93"/>
      <c r="B556" s="93"/>
      <c r="C556" s="93"/>
      <c r="D556" s="93"/>
      <c r="E556" s="110"/>
      <c r="F556" s="110"/>
      <c r="G556" s="93"/>
      <c r="H556" s="93"/>
      <c r="I556" s="93"/>
      <c r="J556" s="93"/>
      <c r="K556" s="93"/>
      <c r="L556" s="93"/>
      <c r="M556" s="93"/>
      <c r="N556" s="93"/>
      <c r="O556" s="93"/>
      <c r="P556" s="93"/>
      <c r="Q556" s="93"/>
      <c r="R556" s="93"/>
      <c r="S556" s="93"/>
      <c r="T556" s="93"/>
      <c r="U556" s="93"/>
      <c r="V556" s="93"/>
      <c r="W556" s="93"/>
      <c r="X556" s="93"/>
      <c r="Y556" s="93"/>
      <c r="Z556" s="93"/>
    </row>
    <row r="557" ht="14.25" customHeight="1">
      <c r="A557" s="93"/>
      <c r="B557" s="93"/>
      <c r="C557" s="93"/>
      <c r="D557" s="93"/>
      <c r="E557" s="110"/>
      <c r="F557" s="110"/>
      <c r="G557" s="93"/>
      <c r="H557" s="93"/>
      <c r="I557" s="93"/>
      <c r="J557" s="93"/>
      <c r="K557" s="93"/>
      <c r="L557" s="93"/>
      <c r="M557" s="93"/>
      <c r="N557" s="93"/>
      <c r="O557" s="93"/>
      <c r="P557" s="93"/>
      <c r="Q557" s="93"/>
      <c r="R557" s="93"/>
      <c r="S557" s="93"/>
      <c r="T557" s="93"/>
      <c r="U557" s="93"/>
      <c r="V557" s="93"/>
      <c r="W557" s="93"/>
      <c r="X557" s="93"/>
      <c r="Y557" s="93"/>
      <c r="Z557" s="93"/>
    </row>
    <row r="558" ht="14.25" customHeight="1">
      <c r="A558" s="93"/>
      <c r="B558" s="93"/>
      <c r="C558" s="93"/>
      <c r="D558" s="93"/>
      <c r="E558" s="110"/>
      <c r="F558" s="110"/>
      <c r="G558" s="93"/>
      <c r="H558" s="93"/>
      <c r="I558" s="93"/>
      <c r="J558" s="93"/>
      <c r="K558" s="93"/>
      <c r="L558" s="93"/>
      <c r="M558" s="93"/>
      <c r="N558" s="93"/>
      <c r="O558" s="93"/>
      <c r="P558" s="93"/>
      <c r="Q558" s="93"/>
      <c r="R558" s="93"/>
      <c r="S558" s="93"/>
      <c r="T558" s="93"/>
      <c r="U558" s="93"/>
      <c r="V558" s="93"/>
      <c r="W558" s="93"/>
      <c r="X558" s="93"/>
      <c r="Y558" s="93"/>
      <c r="Z558" s="93"/>
    </row>
    <row r="559" ht="14.25" customHeight="1">
      <c r="A559" s="93"/>
      <c r="B559" s="93"/>
      <c r="C559" s="93"/>
      <c r="D559" s="93"/>
      <c r="E559" s="110"/>
      <c r="F559" s="110"/>
      <c r="G559" s="93"/>
      <c r="H559" s="93"/>
      <c r="I559" s="93"/>
      <c r="J559" s="93"/>
      <c r="K559" s="93"/>
      <c r="L559" s="93"/>
      <c r="M559" s="93"/>
      <c r="N559" s="93"/>
      <c r="O559" s="93"/>
      <c r="P559" s="93"/>
      <c r="Q559" s="93"/>
      <c r="R559" s="93"/>
      <c r="S559" s="93"/>
      <c r="T559" s="93"/>
      <c r="U559" s="93"/>
      <c r="V559" s="93"/>
      <c r="W559" s="93"/>
      <c r="X559" s="93"/>
      <c r="Y559" s="93"/>
      <c r="Z559" s="93"/>
    </row>
    <row r="560" ht="14.25" customHeight="1">
      <c r="A560" s="93"/>
      <c r="B560" s="93"/>
      <c r="C560" s="93"/>
      <c r="D560" s="93"/>
      <c r="E560" s="110"/>
      <c r="F560" s="110"/>
      <c r="G560" s="93"/>
      <c r="H560" s="93"/>
      <c r="I560" s="93"/>
      <c r="J560" s="93"/>
      <c r="K560" s="93"/>
      <c r="L560" s="93"/>
      <c r="M560" s="93"/>
      <c r="N560" s="93"/>
      <c r="O560" s="93"/>
      <c r="P560" s="93"/>
      <c r="Q560" s="93"/>
      <c r="R560" s="93"/>
      <c r="S560" s="93"/>
      <c r="T560" s="93"/>
      <c r="U560" s="93"/>
      <c r="V560" s="93"/>
      <c r="W560" s="93"/>
      <c r="X560" s="93"/>
      <c r="Y560" s="93"/>
      <c r="Z560" s="93"/>
    </row>
    <row r="561" ht="14.25" customHeight="1">
      <c r="A561" s="93"/>
      <c r="B561" s="93"/>
      <c r="C561" s="93"/>
      <c r="D561" s="93"/>
      <c r="E561" s="110"/>
      <c r="F561" s="110"/>
      <c r="G561" s="93"/>
      <c r="H561" s="93"/>
      <c r="I561" s="93"/>
      <c r="J561" s="93"/>
      <c r="K561" s="93"/>
      <c r="L561" s="93"/>
      <c r="M561" s="93"/>
      <c r="N561" s="93"/>
      <c r="O561" s="93"/>
      <c r="P561" s="93"/>
      <c r="Q561" s="93"/>
      <c r="R561" s="93"/>
      <c r="S561" s="93"/>
      <c r="T561" s="93"/>
      <c r="U561" s="93"/>
      <c r="V561" s="93"/>
      <c r="W561" s="93"/>
      <c r="X561" s="93"/>
      <c r="Y561" s="93"/>
      <c r="Z561" s="93"/>
    </row>
    <row r="562" ht="14.25" customHeight="1">
      <c r="A562" s="93"/>
      <c r="B562" s="93"/>
      <c r="C562" s="93"/>
      <c r="D562" s="93"/>
      <c r="E562" s="110"/>
      <c r="F562" s="110"/>
      <c r="G562" s="93"/>
      <c r="H562" s="93"/>
      <c r="I562" s="93"/>
      <c r="J562" s="93"/>
      <c r="K562" s="93"/>
      <c r="L562" s="93"/>
      <c r="M562" s="93"/>
      <c r="N562" s="93"/>
      <c r="O562" s="93"/>
      <c r="P562" s="93"/>
      <c r="Q562" s="93"/>
      <c r="R562" s="93"/>
      <c r="S562" s="93"/>
      <c r="T562" s="93"/>
      <c r="U562" s="93"/>
      <c r="V562" s="93"/>
      <c r="W562" s="93"/>
      <c r="X562" s="93"/>
      <c r="Y562" s="93"/>
      <c r="Z562" s="93"/>
    </row>
    <row r="563" ht="14.25" customHeight="1">
      <c r="A563" s="93"/>
      <c r="B563" s="93"/>
      <c r="C563" s="93"/>
      <c r="D563" s="93"/>
      <c r="E563" s="110"/>
      <c r="F563" s="110"/>
      <c r="G563" s="93"/>
      <c r="H563" s="93"/>
      <c r="I563" s="93"/>
      <c r="J563" s="93"/>
      <c r="K563" s="93"/>
      <c r="L563" s="93"/>
      <c r="M563" s="93"/>
      <c r="N563" s="93"/>
      <c r="O563" s="93"/>
      <c r="P563" s="93"/>
      <c r="Q563" s="93"/>
      <c r="R563" s="93"/>
      <c r="S563" s="93"/>
      <c r="T563" s="93"/>
      <c r="U563" s="93"/>
      <c r="V563" s="93"/>
      <c r="W563" s="93"/>
      <c r="X563" s="93"/>
      <c r="Y563" s="93"/>
      <c r="Z563" s="93"/>
    </row>
    <row r="564" ht="14.25" customHeight="1">
      <c r="A564" s="93"/>
      <c r="B564" s="93"/>
      <c r="C564" s="93"/>
      <c r="D564" s="93"/>
      <c r="E564" s="110"/>
      <c r="F564" s="110"/>
      <c r="G564" s="93"/>
      <c r="H564" s="93"/>
      <c r="I564" s="93"/>
      <c r="J564" s="93"/>
      <c r="K564" s="93"/>
      <c r="L564" s="93"/>
      <c r="M564" s="93"/>
      <c r="N564" s="93"/>
      <c r="O564" s="93"/>
      <c r="P564" s="93"/>
      <c r="Q564" s="93"/>
      <c r="R564" s="93"/>
      <c r="S564" s="93"/>
      <c r="T564" s="93"/>
      <c r="U564" s="93"/>
      <c r="V564" s="93"/>
      <c r="W564" s="93"/>
      <c r="X564" s="93"/>
      <c r="Y564" s="93"/>
      <c r="Z564" s="93"/>
    </row>
    <row r="565" ht="14.25" customHeight="1">
      <c r="A565" s="93"/>
      <c r="B565" s="93"/>
      <c r="C565" s="93"/>
      <c r="D565" s="93"/>
      <c r="E565" s="110"/>
      <c r="F565" s="110"/>
      <c r="G565" s="93"/>
      <c r="H565" s="93"/>
      <c r="I565" s="93"/>
      <c r="J565" s="93"/>
      <c r="K565" s="93"/>
      <c r="L565" s="93"/>
      <c r="M565" s="93"/>
      <c r="N565" s="93"/>
      <c r="O565" s="93"/>
      <c r="P565" s="93"/>
      <c r="Q565" s="93"/>
      <c r="R565" s="93"/>
      <c r="S565" s="93"/>
      <c r="T565" s="93"/>
      <c r="U565" s="93"/>
      <c r="V565" s="93"/>
      <c r="W565" s="93"/>
      <c r="X565" s="93"/>
      <c r="Y565" s="93"/>
      <c r="Z565" s="93"/>
    </row>
    <row r="566" ht="14.25" customHeight="1">
      <c r="A566" s="93"/>
      <c r="B566" s="93"/>
      <c r="C566" s="93"/>
      <c r="D566" s="93"/>
      <c r="E566" s="110"/>
      <c r="F566" s="110"/>
      <c r="G566" s="93"/>
      <c r="H566" s="93"/>
      <c r="I566" s="93"/>
      <c r="J566" s="93"/>
      <c r="K566" s="93"/>
      <c r="L566" s="93"/>
      <c r="M566" s="93"/>
      <c r="N566" s="93"/>
      <c r="O566" s="93"/>
      <c r="P566" s="93"/>
      <c r="Q566" s="93"/>
      <c r="R566" s="93"/>
      <c r="S566" s="93"/>
      <c r="T566" s="93"/>
      <c r="U566" s="93"/>
      <c r="V566" s="93"/>
      <c r="W566" s="93"/>
      <c r="X566" s="93"/>
      <c r="Y566" s="93"/>
      <c r="Z566" s="93"/>
    </row>
    <row r="567" ht="14.25" customHeight="1">
      <c r="A567" s="93"/>
      <c r="B567" s="93"/>
      <c r="C567" s="93"/>
      <c r="D567" s="93"/>
      <c r="E567" s="110"/>
      <c r="F567" s="110"/>
      <c r="G567" s="93"/>
      <c r="H567" s="93"/>
      <c r="I567" s="93"/>
      <c r="J567" s="93"/>
      <c r="K567" s="93"/>
      <c r="L567" s="93"/>
      <c r="M567" s="93"/>
      <c r="N567" s="93"/>
      <c r="O567" s="93"/>
      <c r="P567" s="93"/>
      <c r="Q567" s="93"/>
      <c r="R567" s="93"/>
      <c r="S567" s="93"/>
      <c r="T567" s="93"/>
      <c r="U567" s="93"/>
      <c r="V567" s="93"/>
      <c r="W567" s="93"/>
      <c r="X567" s="93"/>
      <c r="Y567" s="93"/>
      <c r="Z567" s="93"/>
    </row>
    <row r="568" ht="14.25" customHeight="1">
      <c r="A568" s="93"/>
      <c r="B568" s="93"/>
      <c r="C568" s="93"/>
      <c r="D568" s="93"/>
      <c r="E568" s="110"/>
      <c r="F568" s="110"/>
      <c r="G568" s="93"/>
      <c r="H568" s="93"/>
      <c r="I568" s="93"/>
      <c r="J568" s="93"/>
      <c r="K568" s="93"/>
      <c r="L568" s="93"/>
      <c r="M568" s="93"/>
      <c r="N568" s="93"/>
      <c r="O568" s="93"/>
      <c r="P568" s="93"/>
      <c r="Q568" s="93"/>
      <c r="R568" s="93"/>
      <c r="S568" s="93"/>
      <c r="T568" s="93"/>
      <c r="U568" s="93"/>
      <c r="V568" s="93"/>
      <c r="W568" s="93"/>
      <c r="X568" s="93"/>
      <c r="Y568" s="93"/>
      <c r="Z568" s="93"/>
    </row>
    <row r="569" ht="14.25" customHeight="1">
      <c r="A569" s="93"/>
      <c r="B569" s="93"/>
      <c r="C569" s="93"/>
      <c r="D569" s="93"/>
      <c r="E569" s="110"/>
      <c r="F569" s="110"/>
      <c r="G569" s="93"/>
      <c r="H569" s="93"/>
      <c r="I569" s="93"/>
      <c r="J569" s="93"/>
      <c r="K569" s="93"/>
      <c r="L569" s="93"/>
      <c r="M569" s="93"/>
      <c r="N569" s="93"/>
      <c r="O569" s="93"/>
      <c r="P569" s="93"/>
      <c r="Q569" s="93"/>
      <c r="R569" s="93"/>
      <c r="S569" s="93"/>
      <c r="T569" s="93"/>
      <c r="U569" s="93"/>
      <c r="V569" s="93"/>
      <c r="W569" s="93"/>
      <c r="X569" s="93"/>
      <c r="Y569" s="93"/>
      <c r="Z569" s="93"/>
    </row>
    <row r="570" ht="14.25" customHeight="1">
      <c r="A570" s="93"/>
      <c r="B570" s="93"/>
      <c r="C570" s="93"/>
      <c r="D570" s="93"/>
      <c r="E570" s="110"/>
      <c r="F570" s="110"/>
      <c r="G570" s="93"/>
      <c r="H570" s="93"/>
      <c r="I570" s="93"/>
      <c r="J570" s="93"/>
      <c r="K570" s="93"/>
      <c r="L570" s="93"/>
      <c r="M570" s="93"/>
      <c r="N570" s="93"/>
      <c r="O570" s="93"/>
      <c r="P570" s="93"/>
      <c r="Q570" s="93"/>
      <c r="R570" s="93"/>
      <c r="S570" s="93"/>
      <c r="T570" s="93"/>
      <c r="U570" s="93"/>
      <c r="V570" s="93"/>
      <c r="W570" s="93"/>
      <c r="X570" s="93"/>
      <c r="Y570" s="93"/>
      <c r="Z570" s="93"/>
    </row>
    <row r="571" ht="14.25" customHeight="1">
      <c r="A571" s="93"/>
      <c r="B571" s="93"/>
      <c r="C571" s="93"/>
      <c r="D571" s="93"/>
      <c r="E571" s="110"/>
      <c r="F571" s="110"/>
      <c r="G571" s="93"/>
      <c r="H571" s="93"/>
      <c r="I571" s="93"/>
      <c r="J571" s="93"/>
      <c r="K571" s="93"/>
      <c r="L571" s="93"/>
      <c r="M571" s="93"/>
      <c r="N571" s="93"/>
      <c r="O571" s="93"/>
      <c r="P571" s="93"/>
      <c r="Q571" s="93"/>
      <c r="R571" s="93"/>
      <c r="S571" s="93"/>
      <c r="T571" s="93"/>
      <c r="U571" s="93"/>
      <c r="V571" s="93"/>
      <c r="W571" s="93"/>
      <c r="X571" s="93"/>
      <c r="Y571" s="93"/>
      <c r="Z571" s="93"/>
    </row>
    <row r="572" ht="14.25" customHeight="1">
      <c r="A572" s="93"/>
      <c r="B572" s="93"/>
      <c r="C572" s="93"/>
      <c r="D572" s="93"/>
      <c r="E572" s="110"/>
      <c r="F572" s="110"/>
      <c r="G572" s="93"/>
      <c r="H572" s="93"/>
      <c r="I572" s="93"/>
      <c r="J572" s="93"/>
      <c r="K572" s="93"/>
      <c r="L572" s="93"/>
      <c r="M572" s="93"/>
      <c r="N572" s="93"/>
      <c r="O572" s="93"/>
      <c r="P572" s="93"/>
      <c r="Q572" s="93"/>
      <c r="R572" s="93"/>
      <c r="S572" s="93"/>
      <c r="T572" s="93"/>
      <c r="U572" s="93"/>
      <c r="V572" s="93"/>
      <c r="W572" s="93"/>
      <c r="X572" s="93"/>
      <c r="Y572" s="93"/>
      <c r="Z572" s="93"/>
    </row>
    <row r="573" ht="14.25" customHeight="1">
      <c r="A573" s="93"/>
      <c r="B573" s="93"/>
      <c r="C573" s="93"/>
      <c r="D573" s="93"/>
      <c r="E573" s="110"/>
      <c r="F573" s="110"/>
      <c r="G573" s="93"/>
      <c r="H573" s="93"/>
      <c r="I573" s="93"/>
      <c r="J573" s="93"/>
      <c r="K573" s="93"/>
      <c r="L573" s="93"/>
      <c r="M573" s="93"/>
      <c r="N573" s="93"/>
      <c r="O573" s="93"/>
      <c r="P573" s="93"/>
      <c r="Q573" s="93"/>
      <c r="R573" s="93"/>
      <c r="S573" s="93"/>
      <c r="T573" s="93"/>
      <c r="U573" s="93"/>
      <c r="V573" s="93"/>
      <c r="W573" s="93"/>
      <c r="X573" s="93"/>
      <c r="Y573" s="93"/>
      <c r="Z573" s="93"/>
    </row>
    <row r="574" ht="14.25" customHeight="1">
      <c r="A574" s="93"/>
      <c r="B574" s="93"/>
      <c r="C574" s="93"/>
      <c r="D574" s="93"/>
      <c r="E574" s="110"/>
      <c r="F574" s="110"/>
      <c r="G574" s="93"/>
      <c r="H574" s="93"/>
      <c r="I574" s="93"/>
      <c r="J574" s="93"/>
      <c r="K574" s="93"/>
      <c r="L574" s="93"/>
      <c r="M574" s="93"/>
      <c r="N574" s="93"/>
      <c r="O574" s="93"/>
      <c r="P574" s="93"/>
      <c r="Q574" s="93"/>
      <c r="R574" s="93"/>
      <c r="S574" s="93"/>
      <c r="T574" s="93"/>
      <c r="U574" s="93"/>
      <c r="V574" s="93"/>
      <c r="W574" s="93"/>
      <c r="X574" s="93"/>
      <c r="Y574" s="93"/>
      <c r="Z574" s="93"/>
    </row>
    <row r="575" ht="14.25" customHeight="1">
      <c r="A575" s="93"/>
      <c r="B575" s="93"/>
      <c r="C575" s="93"/>
      <c r="D575" s="93"/>
      <c r="E575" s="110"/>
      <c r="F575" s="110"/>
      <c r="G575" s="93"/>
      <c r="H575" s="93"/>
      <c r="I575" s="93"/>
      <c r="J575" s="93"/>
      <c r="K575" s="93"/>
      <c r="L575" s="93"/>
      <c r="M575" s="93"/>
      <c r="N575" s="93"/>
      <c r="O575" s="93"/>
      <c r="P575" s="93"/>
      <c r="Q575" s="93"/>
      <c r="R575" s="93"/>
      <c r="S575" s="93"/>
      <c r="T575" s="93"/>
      <c r="U575" s="93"/>
      <c r="V575" s="93"/>
      <c r="W575" s="93"/>
      <c r="X575" s="93"/>
      <c r="Y575" s="93"/>
      <c r="Z575" s="93"/>
    </row>
    <row r="576" ht="14.25" customHeight="1">
      <c r="A576" s="93"/>
      <c r="B576" s="93"/>
      <c r="C576" s="93"/>
      <c r="D576" s="93"/>
      <c r="E576" s="110"/>
      <c r="F576" s="110"/>
      <c r="G576" s="93"/>
      <c r="H576" s="93"/>
      <c r="I576" s="93"/>
      <c r="J576" s="93"/>
      <c r="K576" s="93"/>
      <c r="L576" s="93"/>
      <c r="M576" s="93"/>
      <c r="N576" s="93"/>
      <c r="O576" s="93"/>
      <c r="P576" s="93"/>
      <c r="Q576" s="93"/>
      <c r="R576" s="93"/>
      <c r="S576" s="93"/>
      <c r="T576" s="93"/>
      <c r="U576" s="93"/>
      <c r="V576" s="93"/>
      <c r="W576" s="93"/>
      <c r="X576" s="93"/>
      <c r="Y576" s="93"/>
      <c r="Z576" s="93"/>
    </row>
    <row r="577" ht="14.25" customHeight="1">
      <c r="A577" s="93"/>
      <c r="B577" s="93"/>
      <c r="C577" s="93"/>
      <c r="D577" s="93"/>
      <c r="E577" s="110"/>
      <c r="F577" s="110"/>
      <c r="G577" s="93"/>
      <c r="H577" s="93"/>
      <c r="I577" s="93"/>
      <c r="J577" s="93"/>
      <c r="K577" s="93"/>
      <c r="L577" s="93"/>
      <c r="M577" s="93"/>
      <c r="N577" s="93"/>
      <c r="O577" s="93"/>
      <c r="P577" s="93"/>
      <c r="Q577" s="93"/>
      <c r="R577" s="93"/>
      <c r="S577" s="93"/>
      <c r="T577" s="93"/>
      <c r="U577" s="93"/>
      <c r="V577" s="93"/>
      <c r="W577" s="93"/>
      <c r="X577" s="93"/>
      <c r="Y577" s="93"/>
      <c r="Z577" s="93"/>
    </row>
    <row r="578" ht="14.25" customHeight="1">
      <c r="A578" s="93"/>
      <c r="B578" s="93"/>
      <c r="C578" s="93"/>
      <c r="D578" s="93"/>
      <c r="E578" s="110"/>
      <c r="F578" s="110"/>
      <c r="G578" s="93"/>
      <c r="H578" s="93"/>
      <c r="I578" s="93"/>
      <c r="J578" s="93"/>
      <c r="K578" s="93"/>
      <c r="L578" s="93"/>
      <c r="M578" s="93"/>
      <c r="N578" s="93"/>
      <c r="O578" s="93"/>
      <c r="P578" s="93"/>
      <c r="Q578" s="93"/>
      <c r="R578" s="93"/>
      <c r="S578" s="93"/>
      <c r="T578" s="93"/>
      <c r="U578" s="93"/>
      <c r="V578" s="93"/>
      <c r="W578" s="93"/>
      <c r="X578" s="93"/>
      <c r="Y578" s="93"/>
      <c r="Z578" s="93"/>
    </row>
    <row r="579" ht="14.25" customHeight="1">
      <c r="A579" s="93"/>
      <c r="B579" s="93"/>
      <c r="C579" s="93"/>
      <c r="D579" s="93"/>
      <c r="E579" s="110"/>
      <c r="F579" s="110"/>
      <c r="G579" s="93"/>
      <c r="H579" s="93"/>
      <c r="I579" s="93"/>
      <c r="J579" s="93"/>
      <c r="K579" s="93"/>
      <c r="L579" s="93"/>
      <c r="M579" s="93"/>
      <c r="N579" s="93"/>
      <c r="O579" s="93"/>
      <c r="P579" s="93"/>
      <c r="Q579" s="93"/>
      <c r="R579" s="93"/>
      <c r="S579" s="93"/>
      <c r="T579" s="93"/>
      <c r="U579" s="93"/>
      <c r="V579" s="93"/>
      <c r="W579" s="93"/>
      <c r="X579" s="93"/>
      <c r="Y579" s="93"/>
      <c r="Z579" s="93"/>
    </row>
    <row r="580" ht="14.25" customHeight="1">
      <c r="A580" s="93"/>
      <c r="B580" s="93"/>
      <c r="C580" s="93"/>
      <c r="D580" s="93"/>
      <c r="E580" s="110"/>
      <c r="F580" s="110"/>
      <c r="G580" s="93"/>
      <c r="H580" s="93"/>
      <c r="I580" s="93"/>
      <c r="J580" s="93"/>
      <c r="K580" s="93"/>
      <c r="L580" s="93"/>
      <c r="M580" s="93"/>
      <c r="N580" s="93"/>
      <c r="O580" s="93"/>
      <c r="P580" s="93"/>
      <c r="Q580" s="93"/>
      <c r="R580" s="93"/>
      <c r="S580" s="93"/>
      <c r="T580" s="93"/>
      <c r="U580" s="93"/>
      <c r="V580" s="93"/>
      <c r="W580" s="93"/>
      <c r="X580" s="93"/>
      <c r="Y580" s="93"/>
      <c r="Z580" s="93"/>
    </row>
    <row r="581" ht="14.25" customHeight="1">
      <c r="A581" s="93"/>
      <c r="B581" s="93"/>
      <c r="C581" s="93"/>
      <c r="D581" s="93"/>
      <c r="E581" s="110"/>
      <c r="F581" s="110"/>
      <c r="G581" s="93"/>
      <c r="H581" s="93"/>
      <c r="I581" s="93"/>
      <c r="J581" s="93"/>
      <c r="K581" s="93"/>
      <c r="L581" s="93"/>
      <c r="M581" s="93"/>
      <c r="N581" s="93"/>
      <c r="O581" s="93"/>
      <c r="P581" s="93"/>
      <c r="Q581" s="93"/>
      <c r="R581" s="93"/>
      <c r="S581" s="93"/>
      <c r="T581" s="93"/>
      <c r="U581" s="93"/>
      <c r="V581" s="93"/>
      <c r="W581" s="93"/>
      <c r="X581" s="93"/>
      <c r="Y581" s="93"/>
      <c r="Z581" s="93"/>
    </row>
    <row r="582" ht="14.25" customHeight="1">
      <c r="A582" s="93"/>
      <c r="B582" s="93"/>
      <c r="C582" s="93"/>
      <c r="D582" s="93"/>
      <c r="E582" s="110"/>
      <c r="F582" s="110"/>
      <c r="G582" s="93"/>
      <c r="H582" s="93"/>
      <c r="I582" s="93"/>
      <c r="J582" s="93"/>
      <c r="K582" s="93"/>
      <c r="L582" s="93"/>
      <c r="M582" s="93"/>
      <c r="N582" s="93"/>
      <c r="O582" s="93"/>
      <c r="P582" s="93"/>
      <c r="Q582" s="93"/>
      <c r="R582" s="93"/>
      <c r="S582" s="93"/>
      <c r="T582" s="93"/>
      <c r="U582" s="93"/>
      <c r="V582" s="93"/>
      <c r="W582" s="93"/>
      <c r="X582" s="93"/>
      <c r="Y582" s="93"/>
      <c r="Z582" s="93"/>
    </row>
    <row r="583" ht="14.25" customHeight="1">
      <c r="A583" s="93"/>
      <c r="B583" s="93"/>
      <c r="C583" s="93"/>
      <c r="D583" s="93"/>
      <c r="E583" s="110"/>
      <c r="F583" s="110"/>
      <c r="G583" s="93"/>
      <c r="H583" s="93"/>
      <c r="I583" s="93"/>
      <c r="J583" s="93"/>
      <c r="K583" s="93"/>
      <c r="L583" s="93"/>
      <c r="M583" s="93"/>
      <c r="N583" s="93"/>
      <c r="O583" s="93"/>
      <c r="P583" s="93"/>
      <c r="Q583" s="93"/>
      <c r="R583" s="93"/>
      <c r="S583" s="93"/>
      <c r="T583" s="93"/>
      <c r="U583" s="93"/>
      <c r="V583" s="93"/>
      <c r="W583" s="93"/>
      <c r="X583" s="93"/>
      <c r="Y583" s="93"/>
      <c r="Z583" s="93"/>
    </row>
    <row r="584" ht="14.25" customHeight="1">
      <c r="A584" s="93"/>
      <c r="B584" s="93"/>
      <c r="C584" s="93"/>
      <c r="D584" s="93"/>
      <c r="E584" s="110"/>
      <c r="F584" s="110"/>
      <c r="G584" s="93"/>
      <c r="H584" s="93"/>
      <c r="I584" s="93"/>
      <c r="J584" s="93"/>
      <c r="K584" s="93"/>
      <c r="L584" s="93"/>
      <c r="M584" s="93"/>
      <c r="N584" s="93"/>
      <c r="O584" s="93"/>
      <c r="P584" s="93"/>
      <c r="Q584" s="93"/>
      <c r="R584" s="93"/>
      <c r="S584" s="93"/>
      <c r="T584" s="93"/>
      <c r="U584" s="93"/>
      <c r="V584" s="93"/>
      <c r="W584" s="93"/>
      <c r="X584" s="93"/>
      <c r="Y584" s="93"/>
      <c r="Z584" s="93"/>
    </row>
    <row r="585" ht="14.25" customHeight="1">
      <c r="A585" s="93"/>
      <c r="B585" s="93"/>
      <c r="C585" s="93"/>
      <c r="D585" s="93"/>
      <c r="E585" s="110"/>
      <c r="F585" s="110"/>
      <c r="G585" s="93"/>
      <c r="H585" s="93"/>
      <c r="I585" s="93"/>
      <c r="J585" s="93"/>
      <c r="K585" s="93"/>
      <c r="L585" s="93"/>
      <c r="M585" s="93"/>
      <c r="N585" s="93"/>
      <c r="O585" s="93"/>
      <c r="P585" s="93"/>
      <c r="Q585" s="93"/>
      <c r="R585" s="93"/>
      <c r="S585" s="93"/>
      <c r="T585" s="93"/>
      <c r="U585" s="93"/>
      <c r="V585" s="93"/>
      <c r="W585" s="93"/>
      <c r="X585" s="93"/>
      <c r="Y585" s="93"/>
      <c r="Z585" s="93"/>
    </row>
    <row r="586" ht="14.25" customHeight="1">
      <c r="A586" s="93"/>
      <c r="B586" s="93"/>
      <c r="C586" s="93"/>
      <c r="D586" s="93"/>
      <c r="E586" s="110"/>
      <c r="F586" s="110"/>
      <c r="G586" s="93"/>
      <c r="H586" s="93"/>
      <c r="I586" s="93"/>
      <c r="J586" s="93"/>
      <c r="K586" s="93"/>
      <c r="L586" s="93"/>
      <c r="M586" s="93"/>
      <c r="N586" s="93"/>
      <c r="O586" s="93"/>
      <c r="P586" s="93"/>
      <c r="Q586" s="93"/>
      <c r="R586" s="93"/>
      <c r="S586" s="93"/>
      <c r="T586" s="93"/>
      <c r="U586" s="93"/>
      <c r="V586" s="93"/>
      <c r="W586" s="93"/>
      <c r="X586" s="93"/>
      <c r="Y586" s="93"/>
      <c r="Z586" s="93"/>
    </row>
    <row r="587" ht="14.25" customHeight="1">
      <c r="A587" s="93"/>
      <c r="B587" s="93"/>
      <c r="C587" s="93"/>
      <c r="D587" s="93"/>
      <c r="E587" s="110"/>
      <c r="F587" s="110"/>
      <c r="G587" s="93"/>
      <c r="H587" s="93"/>
      <c r="I587" s="93"/>
      <c r="J587" s="93"/>
      <c r="K587" s="93"/>
      <c r="L587" s="93"/>
      <c r="M587" s="93"/>
      <c r="N587" s="93"/>
      <c r="O587" s="93"/>
      <c r="P587" s="93"/>
      <c r="Q587" s="93"/>
      <c r="R587" s="93"/>
      <c r="S587" s="93"/>
      <c r="T587" s="93"/>
      <c r="U587" s="93"/>
      <c r="V587" s="93"/>
      <c r="W587" s="93"/>
      <c r="X587" s="93"/>
      <c r="Y587" s="93"/>
      <c r="Z587" s="93"/>
    </row>
    <row r="588" ht="14.25" customHeight="1">
      <c r="A588" s="93"/>
      <c r="B588" s="93"/>
      <c r="C588" s="93"/>
      <c r="D588" s="93"/>
      <c r="E588" s="110"/>
      <c r="F588" s="110"/>
      <c r="G588" s="93"/>
      <c r="H588" s="93"/>
      <c r="I588" s="93"/>
      <c r="J588" s="93"/>
      <c r="K588" s="93"/>
      <c r="L588" s="93"/>
      <c r="M588" s="93"/>
      <c r="N588" s="93"/>
      <c r="O588" s="93"/>
      <c r="P588" s="93"/>
      <c r="Q588" s="93"/>
      <c r="R588" s="93"/>
      <c r="S588" s="93"/>
      <c r="T588" s="93"/>
      <c r="U588" s="93"/>
      <c r="V588" s="93"/>
      <c r="W588" s="93"/>
      <c r="X588" s="93"/>
      <c r="Y588" s="93"/>
      <c r="Z588" s="93"/>
    </row>
    <row r="589" ht="14.25" customHeight="1">
      <c r="A589" s="93"/>
      <c r="B589" s="93"/>
      <c r="C589" s="93"/>
      <c r="D589" s="93"/>
      <c r="E589" s="110"/>
      <c r="F589" s="110"/>
      <c r="G589" s="93"/>
      <c r="H589" s="93"/>
      <c r="I589" s="93"/>
      <c r="J589" s="93"/>
      <c r="K589" s="93"/>
      <c r="L589" s="93"/>
      <c r="M589" s="93"/>
      <c r="N589" s="93"/>
      <c r="O589" s="93"/>
      <c r="P589" s="93"/>
      <c r="Q589" s="93"/>
      <c r="R589" s="93"/>
      <c r="S589" s="93"/>
      <c r="T589" s="93"/>
      <c r="U589" s="93"/>
      <c r="V589" s="93"/>
      <c r="W589" s="93"/>
      <c r="X589" s="93"/>
      <c r="Y589" s="93"/>
      <c r="Z589" s="93"/>
    </row>
    <row r="590" ht="14.25" customHeight="1">
      <c r="A590" s="93"/>
      <c r="B590" s="93"/>
      <c r="C590" s="93"/>
      <c r="D590" s="93"/>
      <c r="E590" s="110"/>
      <c r="F590" s="110"/>
      <c r="G590" s="93"/>
      <c r="H590" s="93"/>
      <c r="I590" s="93"/>
      <c r="J590" s="93"/>
      <c r="K590" s="93"/>
      <c r="L590" s="93"/>
      <c r="M590" s="93"/>
      <c r="N590" s="93"/>
      <c r="O590" s="93"/>
      <c r="P590" s="93"/>
      <c r="Q590" s="93"/>
      <c r="R590" s="93"/>
      <c r="S590" s="93"/>
      <c r="T590" s="93"/>
      <c r="U590" s="93"/>
      <c r="V590" s="93"/>
      <c r="W590" s="93"/>
      <c r="X590" s="93"/>
      <c r="Y590" s="93"/>
      <c r="Z590" s="93"/>
    </row>
    <row r="591" ht="14.25" customHeight="1">
      <c r="A591" s="93"/>
      <c r="B591" s="93"/>
      <c r="C591" s="93"/>
      <c r="D591" s="93"/>
      <c r="E591" s="110"/>
      <c r="F591" s="110"/>
      <c r="G591" s="93"/>
      <c r="H591" s="93"/>
      <c r="I591" s="93"/>
      <c r="J591" s="93"/>
      <c r="K591" s="93"/>
      <c r="L591" s="93"/>
      <c r="M591" s="93"/>
      <c r="N591" s="93"/>
      <c r="O591" s="93"/>
      <c r="P591" s="93"/>
      <c r="Q591" s="93"/>
      <c r="R591" s="93"/>
      <c r="S591" s="93"/>
      <c r="T591" s="93"/>
      <c r="U591" s="93"/>
      <c r="V591" s="93"/>
      <c r="W591" s="93"/>
      <c r="X591" s="93"/>
      <c r="Y591" s="93"/>
      <c r="Z591" s="93"/>
    </row>
    <row r="592" ht="14.25" customHeight="1">
      <c r="A592" s="93"/>
      <c r="B592" s="93"/>
      <c r="C592" s="93"/>
      <c r="D592" s="93"/>
      <c r="E592" s="110"/>
      <c r="F592" s="110"/>
      <c r="G592" s="93"/>
      <c r="H592" s="93"/>
      <c r="I592" s="93"/>
      <c r="J592" s="93"/>
      <c r="K592" s="93"/>
      <c r="L592" s="93"/>
      <c r="M592" s="93"/>
      <c r="N592" s="93"/>
      <c r="O592" s="93"/>
      <c r="P592" s="93"/>
      <c r="Q592" s="93"/>
      <c r="R592" s="93"/>
      <c r="S592" s="93"/>
      <c r="T592" s="93"/>
      <c r="U592" s="93"/>
      <c r="V592" s="93"/>
      <c r="W592" s="93"/>
      <c r="X592" s="93"/>
      <c r="Y592" s="93"/>
      <c r="Z592" s="93"/>
    </row>
    <row r="593" ht="14.25" customHeight="1">
      <c r="A593" s="93"/>
      <c r="B593" s="93"/>
      <c r="C593" s="93"/>
      <c r="D593" s="93"/>
      <c r="E593" s="110"/>
      <c r="F593" s="110"/>
      <c r="G593" s="93"/>
      <c r="H593" s="93"/>
      <c r="I593" s="93"/>
      <c r="J593" s="93"/>
      <c r="K593" s="93"/>
      <c r="L593" s="93"/>
      <c r="M593" s="93"/>
      <c r="N593" s="93"/>
      <c r="O593" s="93"/>
      <c r="P593" s="93"/>
      <c r="Q593" s="93"/>
      <c r="R593" s="93"/>
      <c r="S593" s="93"/>
      <c r="T593" s="93"/>
      <c r="U593" s="93"/>
      <c r="V593" s="93"/>
      <c r="W593" s="93"/>
      <c r="X593" s="93"/>
      <c r="Y593" s="93"/>
      <c r="Z593" s="93"/>
    </row>
    <row r="594" ht="14.25" customHeight="1">
      <c r="A594" s="93"/>
      <c r="B594" s="93"/>
      <c r="C594" s="93"/>
      <c r="D594" s="93"/>
      <c r="E594" s="110"/>
      <c r="F594" s="110"/>
      <c r="G594" s="93"/>
      <c r="H594" s="93"/>
      <c r="I594" s="93"/>
      <c r="J594" s="93"/>
      <c r="K594" s="93"/>
      <c r="L594" s="93"/>
      <c r="M594" s="93"/>
      <c r="N594" s="93"/>
      <c r="O594" s="93"/>
      <c r="P594" s="93"/>
      <c r="Q594" s="93"/>
      <c r="R594" s="93"/>
      <c r="S594" s="93"/>
      <c r="T594" s="93"/>
      <c r="U594" s="93"/>
      <c r="V594" s="93"/>
      <c r="W594" s="93"/>
      <c r="X594" s="93"/>
      <c r="Y594" s="93"/>
      <c r="Z594" s="93"/>
    </row>
    <row r="595" ht="14.25" customHeight="1">
      <c r="A595" s="93"/>
      <c r="B595" s="93"/>
      <c r="C595" s="93"/>
      <c r="D595" s="93"/>
      <c r="E595" s="110"/>
      <c r="F595" s="110"/>
      <c r="G595" s="93"/>
      <c r="H595" s="93"/>
      <c r="I595" s="93"/>
      <c r="J595" s="93"/>
      <c r="K595" s="93"/>
      <c r="L595" s="93"/>
      <c r="M595" s="93"/>
      <c r="N595" s="93"/>
      <c r="O595" s="93"/>
      <c r="P595" s="93"/>
      <c r="Q595" s="93"/>
      <c r="R595" s="93"/>
      <c r="S595" s="93"/>
      <c r="T595" s="93"/>
      <c r="U595" s="93"/>
      <c r="V595" s="93"/>
      <c r="W595" s="93"/>
      <c r="X595" s="93"/>
      <c r="Y595" s="93"/>
      <c r="Z595" s="93"/>
    </row>
    <row r="596" ht="14.25" customHeight="1">
      <c r="A596" s="93"/>
      <c r="B596" s="93"/>
      <c r="C596" s="93"/>
      <c r="D596" s="93"/>
      <c r="E596" s="110"/>
      <c r="F596" s="110"/>
      <c r="G596" s="93"/>
      <c r="H596" s="93"/>
      <c r="I596" s="93"/>
      <c r="J596" s="93"/>
      <c r="K596" s="93"/>
      <c r="L596" s="93"/>
      <c r="M596" s="93"/>
      <c r="N596" s="93"/>
      <c r="O596" s="93"/>
      <c r="P596" s="93"/>
      <c r="Q596" s="93"/>
      <c r="R596" s="93"/>
      <c r="S596" s="93"/>
      <c r="T596" s="93"/>
      <c r="U596" s="93"/>
      <c r="V596" s="93"/>
      <c r="W596" s="93"/>
      <c r="X596" s="93"/>
      <c r="Y596" s="93"/>
      <c r="Z596" s="93"/>
    </row>
    <row r="597" ht="14.25" customHeight="1">
      <c r="A597" s="93"/>
      <c r="B597" s="93"/>
      <c r="C597" s="93"/>
      <c r="D597" s="93"/>
      <c r="E597" s="110"/>
      <c r="F597" s="110"/>
      <c r="G597" s="93"/>
      <c r="H597" s="93"/>
      <c r="I597" s="93"/>
      <c r="J597" s="93"/>
      <c r="K597" s="93"/>
      <c r="L597" s="93"/>
      <c r="M597" s="93"/>
      <c r="N597" s="93"/>
      <c r="O597" s="93"/>
      <c r="P597" s="93"/>
      <c r="Q597" s="93"/>
      <c r="R597" s="93"/>
      <c r="S597" s="93"/>
      <c r="T597" s="93"/>
      <c r="U597" s="93"/>
      <c r="V597" s="93"/>
      <c r="W597" s="93"/>
      <c r="X597" s="93"/>
      <c r="Y597" s="93"/>
      <c r="Z597" s="93"/>
    </row>
    <row r="598" ht="14.25" customHeight="1">
      <c r="A598" s="93"/>
      <c r="B598" s="93"/>
      <c r="C598" s="93"/>
      <c r="D598" s="93"/>
      <c r="E598" s="110"/>
      <c r="F598" s="110"/>
      <c r="G598" s="93"/>
      <c r="H598" s="93"/>
      <c r="I598" s="93"/>
      <c r="J598" s="93"/>
      <c r="K598" s="93"/>
      <c r="L598" s="93"/>
      <c r="M598" s="93"/>
      <c r="N598" s="93"/>
      <c r="O598" s="93"/>
      <c r="P598" s="93"/>
      <c r="Q598" s="93"/>
      <c r="R598" s="93"/>
      <c r="S598" s="93"/>
      <c r="T598" s="93"/>
      <c r="U598" s="93"/>
      <c r="V598" s="93"/>
      <c r="W598" s="93"/>
      <c r="X598" s="93"/>
      <c r="Y598" s="93"/>
      <c r="Z598" s="93"/>
    </row>
    <row r="599" ht="14.25" customHeight="1">
      <c r="A599" s="93"/>
      <c r="B599" s="93"/>
      <c r="C599" s="93"/>
      <c r="D599" s="93"/>
      <c r="E599" s="110"/>
      <c r="F599" s="110"/>
      <c r="G599" s="93"/>
      <c r="H599" s="93"/>
      <c r="I599" s="93"/>
      <c r="J599" s="93"/>
      <c r="K599" s="93"/>
      <c r="L599" s="93"/>
      <c r="M599" s="93"/>
      <c r="N599" s="93"/>
      <c r="O599" s="93"/>
      <c r="P599" s="93"/>
      <c r="Q599" s="93"/>
      <c r="R599" s="93"/>
      <c r="S599" s="93"/>
      <c r="T599" s="93"/>
      <c r="U599" s="93"/>
      <c r="V599" s="93"/>
      <c r="W599" s="93"/>
      <c r="X599" s="93"/>
      <c r="Y599" s="93"/>
      <c r="Z599" s="93"/>
    </row>
    <row r="600" ht="14.25" customHeight="1">
      <c r="A600" s="93"/>
      <c r="B600" s="93"/>
      <c r="C600" s="93"/>
      <c r="D600" s="93"/>
      <c r="E600" s="110"/>
      <c r="F600" s="110"/>
      <c r="G600" s="93"/>
      <c r="H600" s="93"/>
      <c r="I600" s="93"/>
      <c r="J600" s="93"/>
      <c r="K600" s="93"/>
      <c r="L600" s="93"/>
      <c r="M600" s="93"/>
      <c r="N600" s="93"/>
      <c r="O600" s="93"/>
      <c r="P600" s="93"/>
      <c r="Q600" s="93"/>
      <c r="R600" s="93"/>
      <c r="S600" s="93"/>
      <c r="T600" s="93"/>
      <c r="U600" s="93"/>
      <c r="V600" s="93"/>
      <c r="W600" s="93"/>
      <c r="X600" s="93"/>
      <c r="Y600" s="93"/>
      <c r="Z600" s="93"/>
    </row>
    <row r="601" ht="14.25" customHeight="1">
      <c r="A601" s="93"/>
      <c r="B601" s="93"/>
      <c r="C601" s="93"/>
      <c r="D601" s="93"/>
      <c r="E601" s="110"/>
      <c r="F601" s="110"/>
      <c r="G601" s="93"/>
      <c r="H601" s="93"/>
      <c r="I601" s="93"/>
      <c r="J601" s="93"/>
      <c r="K601" s="93"/>
      <c r="L601" s="93"/>
      <c r="M601" s="93"/>
      <c r="N601" s="93"/>
      <c r="O601" s="93"/>
      <c r="P601" s="93"/>
      <c r="Q601" s="93"/>
      <c r="R601" s="93"/>
      <c r="S601" s="93"/>
      <c r="T601" s="93"/>
      <c r="U601" s="93"/>
      <c r="V601" s="93"/>
      <c r="W601" s="93"/>
      <c r="X601" s="93"/>
      <c r="Y601" s="93"/>
      <c r="Z601" s="93"/>
    </row>
    <row r="602" ht="14.25" customHeight="1">
      <c r="A602" s="93"/>
      <c r="B602" s="93"/>
      <c r="C602" s="93"/>
      <c r="D602" s="93"/>
      <c r="E602" s="110"/>
      <c r="F602" s="110"/>
      <c r="G602" s="93"/>
      <c r="H602" s="93"/>
      <c r="I602" s="93"/>
      <c r="J602" s="93"/>
      <c r="K602" s="93"/>
      <c r="L602" s="93"/>
      <c r="M602" s="93"/>
      <c r="N602" s="93"/>
      <c r="O602" s="93"/>
      <c r="P602" s="93"/>
      <c r="Q602" s="93"/>
      <c r="R602" s="93"/>
      <c r="S602" s="93"/>
      <c r="T602" s="93"/>
      <c r="U602" s="93"/>
      <c r="V602" s="93"/>
      <c r="W602" s="93"/>
      <c r="X602" s="93"/>
      <c r="Y602" s="93"/>
      <c r="Z602" s="93"/>
    </row>
    <row r="603" ht="14.25" customHeight="1">
      <c r="A603" s="93"/>
      <c r="B603" s="93"/>
      <c r="C603" s="93"/>
      <c r="D603" s="93"/>
      <c r="E603" s="110"/>
      <c r="F603" s="110"/>
      <c r="G603" s="93"/>
      <c r="H603" s="93"/>
      <c r="I603" s="93"/>
      <c r="J603" s="93"/>
      <c r="K603" s="93"/>
      <c r="L603" s="93"/>
      <c r="M603" s="93"/>
      <c r="N603" s="93"/>
      <c r="O603" s="93"/>
      <c r="P603" s="93"/>
      <c r="Q603" s="93"/>
      <c r="R603" s="93"/>
      <c r="S603" s="93"/>
      <c r="T603" s="93"/>
      <c r="U603" s="93"/>
      <c r="V603" s="93"/>
      <c r="W603" s="93"/>
      <c r="X603" s="93"/>
      <c r="Y603" s="93"/>
      <c r="Z603" s="93"/>
    </row>
    <row r="604" ht="14.25" customHeight="1">
      <c r="A604" s="93"/>
      <c r="B604" s="93"/>
      <c r="C604" s="93"/>
      <c r="D604" s="93"/>
      <c r="E604" s="110"/>
      <c r="F604" s="110"/>
      <c r="G604" s="93"/>
      <c r="H604" s="93"/>
      <c r="I604" s="93"/>
      <c r="J604" s="93"/>
      <c r="K604" s="93"/>
      <c r="L604" s="93"/>
      <c r="M604" s="93"/>
      <c r="N604" s="93"/>
      <c r="O604" s="93"/>
      <c r="P604" s="93"/>
      <c r="Q604" s="93"/>
      <c r="R604" s="93"/>
      <c r="S604" s="93"/>
      <c r="T604" s="93"/>
      <c r="U604" s="93"/>
      <c r="V604" s="93"/>
      <c r="W604" s="93"/>
      <c r="X604" s="93"/>
      <c r="Y604" s="93"/>
      <c r="Z604" s="93"/>
    </row>
    <row r="605" ht="14.25" customHeight="1">
      <c r="A605" s="93"/>
      <c r="B605" s="93"/>
      <c r="C605" s="93"/>
      <c r="D605" s="93"/>
      <c r="E605" s="110"/>
      <c r="F605" s="110"/>
      <c r="G605" s="93"/>
      <c r="H605" s="93"/>
      <c r="I605" s="93"/>
      <c r="J605" s="93"/>
      <c r="K605" s="93"/>
      <c r="L605" s="93"/>
      <c r="M605" s="93"/>
      <c r="N605" s="93"/>
      <c r="O605" s="93"/>
      <c r="P605" s="93"/>
      <c r="Q605" s="93"/>
      <c r="R605" s="93"/>
      <c r="S605" s="93"/>
      <c r="T605" s="93"/>
      <c r="U605" s="93"/>
      <c r="V605" s="93"/>
      <c r="W605" s="93"/>
      <c r="X605" s="93"/>
      <c r="Y605" s="93"/>
      <c r="Z605" s="93"/>
    </row>
    <row r="606" ht="14.25" customHeight="1">
      <c r="A606" s="93"/>
      <c r="B606" s="93"/>
      <c r="C606" s="93"/>
      <c r="D606" s="93"/>
      <c r="E606" s="110"/>
      <c r="F606" s="110"/>
      <c r="G606" s="93"/>
      <c r="H606" s="93"/>
      <c r="I606" s="93"/>
      <c r="J606" s="93"/>
      <c r="K606" s="93"/>
      <c r="L606" s="93"/>
      <c r="M606" s="93"/>
      <c r="N606" s="93"/>
      <c r="O606" s="93"/>
      <c r="P606" s="93"/>
      <c r="Q606" s="93"/>
      <c r="R606" s="93"/>
      <c r="S606" s="93"/>
      <c r="T606" s="93"/>
      <c r="U606" s="93"/>
      <c r="V606" s="93"/>
      <c r="W606" s="93"/>
      <c r="X606" s="93"/>
      <c r="Y606" s="93"/>
      <c r="Z606" s="93"/>
    </row>
    <row r="607" ht="14.25" customHeight="1">
      <c r="A607" s="93"/>
      <c r="B607" s="93"/>
      <c r="C607" s="93"/>
      <c r="D607" s="93"/>
      <c r="E607" s="110"/>
      <c r="F607" s="110"/>
      <c r="G607" s="93"/>
      <c r="H607" s="93"/>
      <c r="I607" s="93"/>
      <c r="J607" s="93"/>
      <c r="K607" s="93"/>
      <c r="L607" s="93"/>
      <c r="M607" s="93"/>
      <c r="N607" s="93"/>
      <c r="O607" s="93"/>
      <c r="P607" s="93"/>
      <c r="Q607" s="93"/>
      <c r="R607" s="93"/>
      <c r="S607" s="93"/>
      <c r="T607" s="93"/>
      <c r="U607" s="93"/>
      <c r="V607" s="93"/>
      <c r="W607" s="93"/>
      <c r="X607" s="93"/>
      <c r="Y607" s="93"/>
      <c r="Z607" s="93"/>
    </row>
    <row r="608" ht="14.25" customHeight="1">
      <c r="A608" s="93"/>
      <c r="B608" s="93"/>
      <c r="C608" s="93"/>
      <c r="D608" s="93"/>
      <c r="E608" s="110"/>
      <c r="F608" s="110"/>
      <c r="G608" s="93"/>
      <c r="H608" s="93"/>
      <c r="I608" s="93"/>
      <c r="J608" s="93"/>
      <c r="K608" s="93"/>
      <c r="L608" s="93"/>
      <c r="M608" s="93"/>
      <c r="N608" s="93"/>
      <c r="O608" s="93"/>
      <c r="P608" s="93"/>
      <c r="Q608" s="93"/>
      <c r="R608" s="93"/>
      <c r="S608" s="93"/>
      <c r="T608" s="93"/>
      <c r="U608" s="93"/>
      <c r="V608" s="93"/>
      <c r="W608" s="93"/>
      <c r="X608" s="93"/>
      <c r="Y608" s="93"/>
      <c r="Z608" s="93"/>
    </row>
    <row r="609" ht="14.25" customHeight="1">
      <c r="A609" s="93"/>
      <c r="B609" s="93"/>
      <c r="C609" s="93"/>
      <c r="D609" s="93"/>
      <c r="E609" s="110"/>
      <c r="F609" s="110"/>
      <c r="G609" s="93"/>
      <c r="H609" s="93"/>
      <c r="I609" s="93"/>
      <c r="J609" s="93"/>
      <c r="K609" s="93"/>
      <c r="L609" s="93"/>
      <c r="M609" s="93"/>
      <c r="N609" s="93"/>
      <c r="O609" s="93"/>
      <c r="P609" s="93"/>
      <c r="Q609" s="93"/>
      <c r="R609" s="93"/>
      <c r="S609" s="93"/>
      <c r="T609" s="93"/>
      <c r="U609" s="93"/>
      <c r="V609" s="93"/>
      <c r="W609" s="93"/>
      <c r="X609" s="93"/>
      <c r="Y609" s="93"/>
      <c r="Z609" s="93"/>
    </row>
    <row r="610" ht="14.25" customHeight="1">
      <c r="A610" s="93"/>
      <c r="B610" s="93"/>
      <c r="C610" s="93"/>
      <c r="D610" s="93"/>
      <c r="E610" s="110"/>
      <c r="F610" s="110"/>
      <c r="G610" s="93"/>
      <c r="H610" s="93"/>
      <c r="I610" s="93"/>
      <c r="J610" s="93"/>
      <c r="K610" s="93"/>
      <c r="L610" s="93"/>
      <c r="M610" s="93"/>
      <c r="N610" s="93"/>
      <c r="O610" s="93"/>
      <c r="P610" s="93"/>
      <c r="Q610" s="93"/>
      <c r="R610" s="93"/>
      <c r="S610" s="93"/>
      <c r="T610" s="93"/>
      <c r="U610" s="93"/>
      <c r="V610" s="93"/>
      <c r="W610" s="93"/>
      <c r="X610" s="93"/>
      <c r="Y610" s="93"/>
      <c r="Z610" s="93"/>
    </row>
    <row r="611" ht="14.25" customHeight="1">
      <c r="A611" s="93"/>
      <c r="B611" s="93"/>
      <c r="C611" s="93"/>
      <c r="D611" s="93"/>
      <c r="E611" s="110"/>
      <c r="F611" s="110"/>
      <c r="G611" s="93"/>
      <c r="H611" s="93"/>
      <c r="I611" s="93"/>
      <c r="J611" s="93"/>
      <c r="K611" s="93"/>
      <c r="L611" s="93"/>
      <c r="M611" s="93"/>
      <c r="N611" s="93"/>
      <c r="O611" s="93"/>
      <c r="P611" s="93"/>
      <c r="Q611" s="93"/>
      <c r="R611" s="93"/>
      <c r="S611" s="93"/>
      <c r="T611" s="93"/>
      <c r="U611" s="93"/>
      <c r="V611" s="93"/>
      <c r="W611" s="93"/>
      <c r="X611" s="93"/>
      <c r="Y611" s="93"/>
      <c r="Z611" s="93"/>
    </row>
    <row r="612" ht="14.25" customHeight="1">
      <c r="A612" s="93"/>
      <c r="B612" s="93"/>
      <c r="C612" s="93"/>
      <c r="D612" s="93"/>
      <c r="E612" s="110"/>
      <c r="F612" s="110"/>
      <c r="G612" s="93"/>
      <c r="H612" s="93"/>
      <c r="I612" s="93"/>
      <c r="J612" s="93"/>
      <c r="K612" s="93"/>
      <c r="L612" s="93"/>
      <c r="M612" s="93"/>
      <c r="N612" s="93"/>
      <c r="O612" s="93"/>
      <c r="P612" s="93"/>
      <c r="Q612" s="93"/>
      <c r="R612" s="93"/>
      <c r="S612" s="93"/>
      <c r="T612" s="93"/>
      <c r="U612" s="93"/>
      <c r="V612" s="93"/>
      <c r="W612" s="93"/>
      <c r="X612" s="93"/>
      <c r="Y612" s="93"/>
      <c r="Z612" s="93"/>
    </row>
    <row r="613" ht="14.25" customHeight="1">
      <c r="A613" s="93"/>
      <c r="B613" s="93"/>
      <c r="C613" s="93"/>
      <c r="D613" s="93"/>
      <c r="E613" s="110"/>
      <c r="F613" s="110"/>
      <c r="G613" s="93"/>
      <c r="H613" s="93"/>
      <c r="I613" s="93"/>
      <c r="J613" s="93"/>
      <c r="K613" s="93"/>
      <c r="L613" s="93"/>
      <c r="M613" s="93"/>
      <c r="N613" s="93"/>
      <c r="O613" s="93"/>
      <c r="P613" s="93"/>
      <c r="Q613" s="93"/>
      <c r="R613" s="93"/>
      <c r="S613" s="93"/>
      <c r="T613" s="93"/>
      <c r="U613" s="93"/>
      <c r="V613" s="93"/>
      <c r="W613" s="93"/>
      <c r="X613" s="93"/>
      <c r="Y613" s="93"/>
      <c r="Z613" s="93"/>
    </row>
    <row r="614" ht="14.25" customHeight="1">
      <c r="A614" s="93"/>
      <c r="B614" s="93"/>
      <c r="C614" s="93"/>
      <c r="D614" s="93"/>
      <c r="E614" s="110"/>
      <c r="F614" s="110"/>
      <c r="G614" s="93"/>
      <c r="H614" s="93"/>
      <c r="I614" s="93"/>
      <c r="J614" s="93"/>
      <c r="K614" s="93"/>
      <c r="L614" s="93"/>
      <c r="M614" s="93"/>
      <c r="N614" s="93"/>
      <c r="O614" s="93"/>
      <c r="P614" s="93"/>
      <c r="Q614" s="93"/>
      <c r="R614" s="93"/>
      <c r="S614" s="93"/>
      <c r="T614" s="93"/>
      <c r="U614" s="93"/>
      <c r="V614" s="93"/>
      <c r="W614" s="93"/>
      <c r="X614" s="93"/>
      <c r="Y614" s="93"/>
      <c r="Z614" s="93"/>
    </row>
    <row r="615" ht="14.25" customHeight="1">
      <c r="A615" s="93"/>
      <c r="B615" s="93"/>
      <c r="C615" s="93"/>
      <c r="D615" s="93"/>
      <c r="E615" s="110"/>
      <c r="F615" s="110"/>
      <c r="G615" s="93"/>
      <c r="H615" s="93"/>
      <c r="I615" s="93"/>
      <c r="J615" s="93"/>
      <c r="K615" s="93"/>
      <c r="L615" s="93"/>
      <c r="M615" s="93"/>
      <c r="N615" s="93"/>
      <c r="O615" s="93"/>
      <c r="P615" s="93"/>
      <c r="Q615" s="93"/>
      <c r="R615" s="93"/>
      <c r="S615" s="93"/>
      <c r="T615" s="93"/>
      <c r="U615" s="93"/>
      <c r="V615" s="93"/>
      <c r="W615" s="93"/>
      <c r="X615" s="93"/>
      <c r="Y615" s="93"/>
      <c r="Z615" s="93"/>
    </row>
    <row r="616" ht="14.25" customHeight="1">
      <c r="A616" s="93"/>
      <c r="B616" s="93"/>
      <c r="C616" s="93"/>
      <c r="D616" s="93"/>
      <c r="E616" s="110"/>
      <c r="F616" s="110"/>
      <c r="G616" s="93"/>
      <c r="H616" s="93"/>
      <c r="I616" s="93"/>
      <c r="J616" s="93"/>
      <c r="K616" s="93"/>
      <c r="L616" s="93"/>
      <c r="M616" s="93"/>
      <c r="N616" s="93"/>
      <c r="O616" s="93"/>
      <c r="P616" s="93"/>
      <c r="Q616" s="93"/>
      <c r="R616" s="93"/>
      <c r="S616" s="93"/>
      <c r="T616" s="93"/>
      <c r="U616" s="93"/>
      <c r="V616" s="93"/>
      <c r="W616" s="93"/>
      <c r="X616" s="93"/>
      <c r="Y616" s="93"/>
      <c r="Z616" s="93"/>
    </row>
    <row r="617" ht="14.25" customHeight="1">
      <c r="A617" s="93"/>
      <c r="B617" s="93"/>
      <c r="C617" s="93"/>
      <c r="D617" s="93"/>
      <c r="E617" s="110"/>
      <c r="F617" s="110"/>
      <c r="G617" s="93"/>
      <c r="H617" s="93"/>
      <c r="I617" s="93"/>
      <c r="J617" s="93"/>
      <c r="K617" s="93"/>
      <c r="L617" s="93"/>
      <c r="M617" s="93"/>
      <c r="N617" s="93"/>
      <c r="O617" s="93"/>
      <c r="P617" s="93"/>
      <c r="Q617" s="93"/>
      <c r="R617" s="93"/>
      <c r="S617" s="93"/>
      <c r="T617" s="93"/>
      <c r="U617" s="93"/>
      <c r="V617" s="93"/>
      <c r="W617" s="93"/>
      <c r="X617" s="93"/>
      <c r="Y617" s="93"/>
      <c r="Z617" s="93"/>
    </row>
    <row r="618" ht="14.25" customHeight="1">
      <c r="A618" s="93"/>
      <c r="B618" s="93"/>
      <c r="C618" s="93"/>
      <c r="D618" s="93"/>
      <c r="E618" s="110"/>
      <c r="F618" s="110"/>
      <c r="G618" s="93"/>
      <c r="H618" s="93"/>
      <c r="I618" s="93"/>
      <c r="J618" s="93"/>
      <c r="K618" s="93"/>
      <c r="L618" s="93"/>
      <c r="M618" s="93"/>
      <c r="N618" s="93"/>
      <c r="O618" s="93"/>
      <c r="P618" s="93"/>
      <c r="Q618" s="93"/>
      <c r="R618" s="93"/>
      <c r="S618" s="93"/>
      <c r="T618" s="93"/>
      <c r="U618" s="93"/>
      <c r="V618" s="93"/>
      <c r="W618" s="93"/>
      <c r="X618" s="93"/>
      <c r="Y618" s="93"/>
      <c r="Z618" s="93"/>
    </row>
    <row r="619" ht="14.25" customHeight="1">
      <c r="A619" s="93"/>
      <c r="B619" s="93"/>
      <c r="C619" s="93"/>
      <c r="D619" s="93"/>
      <c r="E619" s="110"/>
      <c r="F619" s="110"/>
      <c r="G619" s="93"/>
      <c r="H619" s="93"/>
      <c r="I619" s="93"/>
      <c r="J619" s="93"/>
      <c r="K619" s="93"/>
      <c r="L619" s="93"/>
      <c r="M619" s="93"/>
      <c r="N619" s="93"/>
      <c r="O619" s="93"/>
      <c r="P619" s="93"/>
      <c r="Q619" s="93"/>
      <c r="R619" s="93"/>
      <c r="S619" s="93"/>
      <c r="T619" s="93"/>
      <c r="U619" s="93"/>
      <c r="V619" s="93"/>
      <c r="W619" s="93"/>
      <c r="X619" s="93"/>
      <c r="Y619" s="93"/>
      <c r="Z619" s="93"/>
    </row>
    <row r="620" ht="14.25" customHeight="1">
      <c r="A620" s="93"/>
      <c r="B620" s="93"/>
      <c r="C620" s="93"/>
      <c r="D620" s="93"/>
      <c r="E620" s="110"/>
      <c r="F620" s="110"/>
      <c r="G620" s="93"/>
      <c r="H620" s="93"/>
      <c r="I620" s="93"/>
      <c r="J620" s="93"/>
      <c r="K620" s="93"/>
      <c r="L620" s="93"/>
      <c r="M620" s="93"/>
      <c r="N620" s="93"/>
      <c r="O620" s="93"/>
      <c r="P620" s="93"/>
      <c r="Q620" s="93"/>
      <c r="R620" s="93"/>
      <c r="S620" s="93"/>
      <c r="T620" s="93"/>
      <c r="U620" s="93"/>
      <c r="V620" s="93"/>
      <c r="W620" s="93"/>
      <c r="X620" s="93"/>
      <c r="Y620" s="93"/>
      <c r="Z620" s="93"/>
    </row>
    <row r="621" ht="14.25" customHeight="1">
      <c r="A621" s="93"/>
      <c r="B621" s="93"/>
      <c r="C621" s="93"/>
      <c r="D621" s="93"/>
      <c r="E621" s="110"/>
      <c r="F621" s="110"/>
      <c r="G621" s="93"/>
      <c r="H621" s="93"/>
      <c r="I621" s="93"/>
      <c r="J621" s="93"/>
      <c r="K621" s="93"/>
      <c r="L621" s="93"/>
      <c r="M621" s="93"/>
      <c r="N621" s="93"/>
      <c r="O621" s="93"/>
      <c r="P621" s="93"/>
      <c r="Q621" s="93"/>
      <c r="R621" s="93"/>
      <c r="S621" s="93"/>
      <c r="T621" s="93"/>
      <c r="U621" s="93"/>
      <c r="V621" s="93"/>
      <c r="W621" s="93"/>
      <c r="X621" s="93"/>
      <c r="Y621" s="93"/>
      <c r="Z621" s="93"/>
    </row>
    <row r="622" ht="14.25" customHeight="1">
      <c r="A622" s="93"/>
      <c r="B622" s="93"/>
      <c r="C622" s="93"/>
      <c r="D622" s="93"/>
      <c r="E622" s="110"/>
      <c r="F622" s="110"/>
      <c r="G622" s="93"/>
      <c r="H622" s="93"/>
      <c r="I622" s="93"/>
      <c r="J622" s="93"/>
      <c r="K622" s="93"/>
      <c r="L622" s="93"/>
      <c r="M622" s="93"/>
      <c r="N622" s="93"/>
      <c r="O622" s="93"/>
      <c r="P622" s="93"/>
      <c r="Q622" s="93"/>
      <c r="R622" s="93"/>
      <c r="S622" s="93"/>
      <c r="T622" s="93"/>
      <c r="U622" s="93"/>
      <c r="V622" s="93"/>
      <c r="W622" s="93"/>
      <c r="X622" s="93"/>
      <c r="Y622" s="93"/>
      <c r="Z622" s="93"/>
    </row>
    <row r="623" ht="14.25" customHeight="1">
      <c r="A623" s="93"/>
      <c r="B623" s="93"/>
      <c r="C623" s="93"/>
      <c r="D623" s="93"/>
      <c r="E623" s="110"/>
      <c r="F623" s="110"/>
      <c r="G623" s="93"/>
      <c r="H623" s="93"/>
      <c r="I623" s="93"/>
      <c r="J623" s="93"/>
      <c r="K623" s="93"/>
      <c r="L623" s="93"/>
      <c r="M623" s="93"/>
      <c r="N623" s="93"/>
      <c r="O623" s="93"/>
      <c r="P623" s="93"/>
      <c r="Q623" s="93"/>
      <c r="R623" s="93"/>
      <c r="S623" s="93"/>
      <c r="T623" s="93"/>
      <c r="U623" s="93"/>
      <c r="V623" s="93"/>
      <c r="W623" s="93"/>
      <c r="X623" s="93"/>
      <c r="Y623" s="93"/>
      <c r="Z623" s="93"/>
    </row>
    <row r="624" ht="14.25" customHeight="1">
      <c r="A624" s="93"/>
      <c r="B624" s="93"/>
      <c r="C624" s="93"/>
      <c r="D624" s="93"/>
      <c r="E624" s="110"/>
      <c r="F624" s="110"/>
      <c r="G624" s="93"/>
      <c r="H624" s="93"/>
      <c r="I624" s="93"/>
      <c r="J624" s="93"/>
      <c r="K624" s="93"/>
      <c r="L624" s="93"/>
      <c r="M624" s="93"/>
      <c r="N624" s="93"/>
      <c r="O624" s="93"/>
      <c r="P624" s="93"/>
      <c r="Q624" s="93"/>
      <c r="R624" s="93"/>
      <c r="S624" s="93"/>
      <c r="T624" s="93"/>
      <c r="U624" s="93"/>
      <c r="V624" s="93"/>
      <c r="W624" s="93"/>
      <c r="X624" s="93"/>
      <c r="Y624" s="93"/>
      <c r="Z624" s="93"/>
    </row>
    <row r="625" ht="14.25" customHeight="1">
      <c r="A625" s="93"/>
      <c r="B625" s="93"/>
      <c r="C625" s="93"/>
      <c r="D625" s="93"/>
      <c r="E625" s="110"/>
      <c r="F625" s="110"/>
      <c r="G625" s="93"/>
      <c r="H625" s="93"/>
      <c r="I625" s="93"/>
      <c r="J625" s="93"/>
      <c r="K625" s="93"/>
      <c r="L625" s="93"/>
      <c r="M625" s="93"/>
      <c r="N625" s="93"/>
      <c r="O625" s="93"/>
      <c r="P625" s="93"/>
      <c r="Q625" s="93"/>
      <c r="R625" s="93"/>
      <c r="S625" s="93"/>
      <c r="T625" s="93"/>
      <c r="U625" s="93"/>
      <c r="V625" s="93"/>
      <c r="W625" s="93"/>
      <c r="X625" s="93"/>
      <c r="Y625" s="93"/>
      <c r="Z625" s="93"/>
    </row>
    <row r="626" ht="14.25" customHeight="1">
      <c r="A626" s="93"/>
      <c r="B626" s="93"/>
      <c r="C626" s="93"/>
      <c r="D626" s="93"/>
      <c r="E626" s="110"/>
      <c r="F626" s="110"/>
      <c r="G626" s="93"/>
      <c r="H626" s="93"/>
      <c r="I626" s="93"/>
      <c r="J626" s="93"/>
      <c r="K626" s="93"/>
      <c r="L626" s="93"/>
      <c r="M626" s="93"/>
      <c r="N626" s="93"/>
      <c r="O626" s="93"/>
      <c r="P626" s="93"/>
      <c r="Q626" s="93"/>
      <c r="R626" s="93"/>
      <c r="S626" s="93"/>
      <c r="T626" s="93"/>
      <c r="U626" s="93"/>
      <c r="V626" s="93"/>
      <c r="W626" s="93"/>
      <c r="X626" s="93"/>
      <c r="Y626" s="93"/>
      <c r="Z626" s="93"/>
    </row>
    <row r="627" ht="14.25" customHeight="1">
      <c r="A627" s="93"/>
      <c r="B627" s="93"/>
      <c r="C627" s="93"/>
      <c r="D627" s="93"/>
      <c r="E627" s="110"/>
      <c r="F627" s="110"/>
      <c r="G627" s="93"/>
      <c r="H627" s="93"/>
      <c r="I627" s="93"/>
      <c r="J627" s="93"/>
      <c r="K627" s="93"/>
      <c r="L627" s="93"/>
      <c r="M627" s="93"/>
      <c r="N627" s="93"/>
      <c r="O627" s="93"/>
      <c r="P627" s="93"/>
      <c r="Q627" s="93"/>
      <c r="R627" s="93"/>
      <c r="S627" s="93"/>
      <c r="T627" s="93"/>
      <c r="U627" s="93"/>
      <c r="V627" s="93"/>
      <c r="W627" s="93"/>
      <c r="X627" s="93"/>
      <c r="Y627" s="93"/>
      <c r="Z627" s="93"/>
    </row>
    <row r="628" ht="14.25" customHeight="1">
      <c r="A628" s="93"/>
      <c r="B628" s="93"/>
      <c r="C628" s="93"/>
      <c r="D628" s="93"/>
      <c r="E628" s="110"/>
      <c r="F628" s="110"/>
      <c r="G628" s="93"/>
      <c r="H628" s="93"/>
      <c r="I628" s="93"/>
      <c r="J628" s="93"/>
      <c r="K628" s="93"/>
      <c r="L628" s="93"/>
      <c r="M628" s="93"/>
      <c r="N628" s="93"/>
      <c r="O628" s="93"/>
      <c r="P628" s="93"/>
      <c r="Q628" s="93"/>
      <c r="R628" s="93"/>
      <c r="S628" s="93"/>
      <c r="T628" s="93"/>
      <c r="U628" s="93"/>
      <c r="V628" s="93"/>
      <c r="W628" s="93"/>
      <c r="X628" s="93"/>
      <c r="Y628" s="93"/>
      <c r="Z628" s="93"/>
    </row>
    <row r="629" ht="14.25" customHeight="1">
      <c r="A629" s="93"/>
      <c r="B629" s="93"/>
      <c r="C629" s="93"/>
      <c r="D629" s="93"/>
      <c r="E629" s="110"/>
      <c r="F629" s="110"/>
      <c r="G629" s="93"/>
      <c r="H629" s="93"/>
      <c r="I629" s="93"/>
      <c r="J629" s="93"/>
      <c r="K629" s="93"/>
      <c r="L629" s="93"/>
      <c r="M629" s="93"/>
      <c r="N629" s="93"/>
      <c r="O629" s="93"/>
      <c r="P629" s="93"/>
      <c r="Q629" s="93"/>
      <c r="R629" s="93"/>
      <c r="S629" s="93"/>
      <c r="T629" s="93"/>
      <c r="U629" s="93"/>
      <c r="V629" s="93"/>
      <c r="W629" s="93"/>
      <c r="X629" s="93"/>
      <c r="Y629" s="93"/>
      <c r="Z629" s="93"/>
    </row>
    <row r="630" ht="14.25" customHeight="1">
      <c r="A630" s="93"/>
      <c r="B630" s="93"/>
      <c r="C630" s="93"/>
      <c r="D630" s="93"/>
      <c r="E630" s="110"/>
      <c r="F630" s="110"/>
      <c r="G630" s="93"/>
      <c r="H630" s="93"/>
      <c r="I630" s="93"/>
      <c r="J630" s="93"/>
      <c r="K630" s="93"/>
      <c r="L630" s="93"/>
      <c r="M630" s="93"/>
      <c r="N630" s="93"/>
      <c r="O630" s="93"/>
      <c r="P630" s="93"/>
      <c r="Q630" s="93"/>
      <c r="R630" s="93"/>
      <c r="S630" s="93"/>
      <c r="T630" s="93"/>
      <c r="U630" s="93"/>
      <c r="V630" s="93"/>
      <c r="W630" s="93"/>
      <c r="X630" s="93"/>
      <c r="Y630" s="93"/>
      <c r="Z630" s="93"/>
    </row>
    <row r="631" ht="14.25" customHeight="1">
      <c r="A631" s="93"/>
      <c r="B631" s="93"/>
      <c r="C631" s="93"/>
      <c r="D631" s="93"/>
      <c r="E631" s="110"/>
      <c r="F631" s="110"/>
      <c r="G631" s="93"/>
      <c r="H631" s="93"/>
      <c r="I631" s="93"/>
      <c r="J631" s="93"/>
      <c r="K631" s="93"/>
      <c r="L631" s="93"/>
      <c r="M631" s="93"/>
      <c r="N631" s="93"/>
      <c r="O631" s="93"/>
      <c r="P631" s="93"/>
      <c r="Q631" s="93"/>
      <c r="R631" s="93"/>
      <c r="S631" s="93"/>
      <c r="T631" s="93"/>
      <c r="U631" s="93"/>
      <c r="V631" s="93"/>
      <c r="W631" s="93"/>
      <c r="X631" s="93"/>
      <c r="Y631" s="93"/>
      <c r="Z631" s="93"/>
    </row>
    <row r="632" ht="14.25" customHeight="1">
      <c r="A632" s="93"/>
      <c r="B632" s="93"/>
      <c r="C632" s="93"/>
      <c r="D632" s="93"/>
      <c r="E632" s="110"/>
      <c r="F632" s="110"/>
      <c r="G632" s="93"/>
      <c r="H632" s="93"/>
      <c r="I632" s="93"/>
      <c r="J632" s="93"/>
      <c r="K632" s="93"/>
      <c r="L632" s="93"/>
      <c r="M632" s="93"/>
      <c r="N632" s="93"/>
      <c r="O632" s="93"/>
      <c r="P632" s="93"/>
      <c r="Q632" s="93"/>
      <c r="R632" s="93"/>
      <c r="S632" s="93"/>
      <c r="T632" s="93"/>
      <c r="U632" s="93"/>
      <c r="V632" s="93"/>
      <c r="W632" s="93"/>
      <c r="X632" s="93"/>
      <c r="Y632" s="93"/>
      <c r="Z632" s="93"/>
    </row>
    <row r="633" ht="14.25" customHeight="1">
      <c r="A633" s="93"/>
      <c r="B633" s="93"/>
      <c r="C633" s="93"/>
      <c r="D633" s="93"/>
      <c r="E633" s="110"/>
      <c r="F633" s="110"/>
      <c r="G633" s="93"/>
      <c r="H633" s="93"/>
      <c r="I633" s="93"/>
      <c r="J633" s="93"/>
      <c r="K633" s="93"/>
      <c r="L633" s="93"/>
      <c r="M633" s="93"/>
      <c r="N633" s="93"/>
      <c r="O633" s="93"/>
      <c r="P633" s="93"/>
      <c r="Q633" s="93"/>
      <c r="R633" s="93"/>
      <c r="S633" s="93"/>
      <c r="T633" s="93"/>
      <c r="U633" s="93"/>
      <c r="V633" s="93"/>
      <c r="W633" s="93"/>
      <c r="X633" s="93"/>
      <c r="Y633" s="93"/>
      <c r="Z633" s="93"/>
    </row>
    <row r="634" ht="14.25" customHeight="1">
      <c r="A634" s="93"/>
      <c r="B634" s="93"/>
      <c r="C634" s="93"/>
      <c r="D634" s="93"/>
      <c r="E634" s="110"/>
      <c r="F634" s="110"/>
      <c r="G634" s="93"/>
      <c r="H634" s="93"/>
      <c r="I634" s="93"/>
      <c r="J634" s="93"/>
      <c r="K634" s="93"/>
      <c r="L634" s="93"/>
      <c r="M634" s="93"/>
      <c r="N634" s="93"/>
      <c r="O634" s="93"/>
      <c r="P634" s="93"/>
      <c r="Q634" s="93"/>
      <c r="R634" s="93"/>
      <c r="S634" s="93"/>
      <c r="T634" s="93"/>
      <c r="U634" s="93"/>
      <c r="V634" s="93"/>
      <c r="W634" s="93"/>
      <c r="X634" s="93"/>
      <c r="Y634" s="93"/>
      <c r="Z634" s="93"/>
    </row>
    <row r="635" ht="14.25" customHeight="1">
      <c r="A635" s="93"/>
      <c r="B635" s="93"/>
      <c r="C635" s="93"/>
      <c r="D635" s="93"/>
      <c r="E635" s="110"/>
      <c r="F635" s="110"/>
      <c r="G635" s="93"/>
      <c r="H635" s="93"/>
      <c r="I635" s="93"/>
      <c r="J635" s="93"/>
      <c r="K635" s="93"/>
      <c r="L635" s="93"/>
      <c r="M635" s="93"/>
      <c r="N635" s="93"/>
      <c r="O635" s="93"/>
      <c r="P635" s="93"/>
      <c r="Q635" s="93"/>
      <c r="R635" s="93"/>
      <c r="S635" s="93"/>
      <c r="T635" s="93"/>
      <c r="U635" s="93"/>
      <c r="V635" s="93"/>
      <c r="W635" s="93"/>
      <c r="X635" s="93"/>
      <c r="Y635" s="93"/>
      <c r="Z635" s="93"/>
    </row>
    <row r="636" ht="14.25" customHeight="1">
      <c r="A636" s="93"/>
      <c r="B636" s="93"/>
      <c r="C636" s="93"/>
      <c r="D636" s="93"/>
      <c r="E636" s="110"/>
      <c r="F636" s="110"/>
      <c r="G636" s="93"/>
      <c r="H636" s="93"/>
      <c r="I636" s="93"/>
      <c r="J636" s="93"/>
      <c r="K636" s="93"/>
      <c r="L636" s="93"/>
      <c r="M636" s="93"/>
      <c r="N636" s="93"/>
      <c r="O636" s="93"/>
      <c r="P636" s="93"/>
      <c r="Q636" s="93"/>
      <c r="R636" s="93"/>
      <c r="S636" s="93"/>
      <c r="T636" s="93"/>
      <c r="U636" s="93"/>
      <c r="V636" s="93"/>
      <c r="W636" s="93"/>
      <c r="X636" s="93"/>
      <c r="Y636" s="93"/>
      <c r="Z636" s="93"/>
    </row>
    <row r="637" ht="14.25" customHeight="1">
      <c r="A637" s="93"/>
      <c r="B637" s="93"/>
      <c r="C637" s="93"/>
      <c r="D637" s="93"/>
      <c r="E637" s="110"/>
      <c r="F637" s="110"/>
      <c r="G637" s="93"/>
      <c r="H637" s="93"/>
      <c r="I637" s="93"/>
      <c r="J637" s="93"/>
      <c r="K637" s="93"/>
      <c r="L637" s="93"/>
      <c r="M637" s="93"/>
      <c r="N637" s="93"/>
      <c r="O637" s="93"/>
      <c r="P637" s="93"/>
      <c r="Q637" s="93"/>
      <c r="R637" s="93"/>
      <c r="S637" s="93"/>
      <c r="T637" s="93"/>
      <c r="U637" s="93"/>
      <c r="V637" s="93"/>
      <c r="W637" s="93"/>
      <c r="X637" s="93"/>
      <c r="Y637" s="93"/>
      <c r="Z637" s="93"/>
    </row>
    <row r="638" ht="14.25" customHeight="1">
      <c r="A638" s="93"/>
      <c r="B638" s="93"/>
      <c r="C638" s="93"/>
      <c r="D638" s="93"/>
      <c r="E638" s="110"/>
      <c r="F638" s="110"/>
      <c r="G638" s="93"/>
      <c r="H638" s="93"/>
      <c r="I638" s="93"/>
      <c r="J638" s="93"/>
      <c r="K638" s="93"/>
      <c r="L638" s="93"/>
      <c r="M638" s="93"/>
      <c r="N638" s="93"/>
      <c r="O638" s="93"/>
      <c r="P638" s="93"/>
      <c r="Q638" s="93"/>
      <c r="R638" s="93"/>
      <c r="S638" s="93"/>
      <c r="T638" s="93"/>
      <c r="U638" s="93"/>
      <c r="V638" s="93"/>
      <c r="W638" s="93"/>
      <c r="X638" s="93"/>
      <c r="Y638" s="93"/>
      <c r="Z638" s="93"/>
    </row>
    <row r="639" ht="14.25" customHeight="1">
      <c r="A639" s="93"/>
      <c r="B639" s="93"/>
      <c r="C639" s="93"/>
      <c r="D639" s="93"/>
      <c r="E639" s="110"/>
      <c r="F639" s="110"/>
      <c r="G639" s="93"/>
      <c r="H639" s="93"/>
      <c r="I639" s="93"/>
      <c r="J639" s="93"/>
      <c r="K639" s="93"/>
      <c r="L639" s="93"/>
      <c r="M639" s="93"/>
      <c r="N639" s="93"/>
      <c r="O639" s="93"/>
      <c r="P639" s="93"/>
      <c r="Q639" s="93"/>
      <c r="R639" s="93"/>
      <c r="S639" s="93"/>
      <c r="T639" s="93"/>
      <c r="U639" s="93"/>
      <c r="V639" s="93"/>
      <c r="W639" s="93"/>
      <c r="X639" s="93"/>
      <c r="Y639" s="93"/>
      <c r="Z639" s="93"/>
    </row>
    <row r="640" ht="14.25" customHeight="1">
      <c r="A640" s="93"/>
      <c r="B640" s="93"/>
      <c r="C640" s="93"/>
      <c r="D640" s="93"/>
      <c r="E640" s="110"/>
      <c r="F640" s="110"/>
      <c r="G640" s="93"/>
      <c r="H640" s="93"/>
      <c r="I640" s="93"/>
      <c r="J640" s="93"/>
      <c r="K640" s="93"/>
      <c r="L640" s="93"/>
      <c r="M640" s="93"/>
      <c r="N640" s="93"/>
      <c r="O640" s="93"/>
      <c r="P640" s="93"/>
      <c r="Q640" s="93"/>
      <c r="R640" s="93"/>
      <c r="S640" s="93"/>
      <c r="T640" s="93"/>
      <c r="U640" s="93"/>
      <c r="V640" s="93"/>
      <c r="W640" s="93"/>
      <c r="X640" s="93"/>
      <c r="Y640" s="93"/>
      <c r="Z640" s="93"/>
    </row>
    <row r="641" ht="14.25" customHeight="1">
      <c r="A641" s="93"/>
      <c r="B641" s="93"/>
      <c r="C641" s="93"/>
      <c r="D641" s="93"/>
      <c r="E641" s="110"/>
      <c r="F641" s="110"/>
      <c r="G641" s="93"/>
      <c r="H641" s="93"/>
      <c r="I641" s="93"/>
      <c r="J641" s="93"/>
      <c r="K641" s="93"/>
      <c r="L641" s="93"/>
      <c r="M641" s="93"/>
      <c r="N641" s="93"/>
      <c r="O641" s="93"/>
      <c r="P641" s="93"/>
      <c r="Q641" s="93"/>
      <c r="R641" s="93"/>
      <c r="S641" s="93"/>
      <c r="T641" s="93"/>
      <c r="U641" s="93"/>
      <c r="V641" s="93"/>
      <c r="W641" s="93"/>
      <c r="X641" s="93"/>
      <c r="Y641" s="93"/>
      <c r="Z641" s="93"/>
    </row>
    <row r="642" ht="14.25" customHeight="1">
      <c r="A642" s="93"/>
      <c r="B642" s="93"/>
      <c r="C642" s="93"/>
      <c r="D642" s="93"/>
      <c r="E642" s="110"/>
      <c r="F642" s="110"/>
      <c r="G642" s="93"/>
      <c r="H642" s="93"/>
      <c r="I642" s="93"/>
      <c r="J642" s="93"/>
      <c r="K642" s="93"/>
      <c r="L642" s="93"/>
      <c r="M642" s="93"/>
      <c r="N642" s="93"/>
      <c r="O642" s="93"/>
      <c r="P642" s="93"/>
      <c r="Q642" s="93"/>
      <c r="R642" s="93"/>
      <c r="S642" s="93"/>
      <c r="T642" s="93"/>
      <c r="U642" s="93"/>
      <c r="V642" s="93"/>
      <c r="W642" s="93"/>
      <c r="X642" s="93"/>
      <c r="Y642" s="93"/>
      <c r="Z642" s="93"/>
    </row>
    <row r="643" ht="14.25" customHeight="1">
      <c r="A643" s="93"/>
      <c r="B643" s="93"/>
      <c r="C643" s="93"/>
      <c r="D643" s="93"/>
      <c r="E643" s="110"/>
      <c r="F643" s="110"/>
      <c r="G643" s="93"/>
      <c r="H643" s="93"/>
      <c r="I643" s="93"/>
      <c r="J643" s="93"/>
      <c r="K643" s="93"/>
      <c r="L643" s="93"/>
      <c r="M643" s="93"/>
      <c r="N643" s="93"/>
      <c r="O643" s="93"/>
      <c r="P643" s="93"/>
      <c r="Q643" s="93"/>
      <c r="R643" s="93"/>
      <c r="S643" s="93"/>
      <c r="T643" s="93"/>
      <c r="U643" s="93"/>
      <c r="V643" s="93"/>
      <c r="W643" s="93"/>
      <c r="X643" s="93"/>
      <c r="Y643" s="93"/>
      <c r="Z643" s="93"/>
    </row>
    <row r="644" ht="14.25" customHeight="1">
      <c r="A644" s="93"/>
      <c r="B644" s="93"/>
      <c r="C644" s="93"/>
      <c r="D644" s="93"/>
      <c r="E644" s="110"/>
      <c r="F644" s="110"/>
      <c r="G644" s="93"/>
      <c r="H644" s="93"/>
      <c r="I644" s="93"/>
      <c r="J644" s="93"/>
      <c r="K644" s="93"/>
      <c r="L644" s="93"/>
      <c r="M644" s="93"/>
      <c r="N644" s="93"/>
      <c r="O644" s="93"/>
      <c r="P644" s="93"/>
      <c r="Q644" s="93"/>
      <c r="R644" s="93"/>
      <c r="S644" s="93"/>
      <c r="T644" s="93"/>
      <c r="U644" s="93"/>
      <c r="V644" s="93"/>
      <c r="W644" s="93"/>
      <c r="X644" s="93"/>
      <c r="Y644" s="93"/>
      <c r="Z644" s="93"/>
    </row>
    <row r="645" ht="14.25" customHeight="1">
      <c r="A645" s="93"/>
      <c r="B645" s="93"/>
      <c r="C645" s="93"/>
      <c r="D645" s="93"/>
      <c r="E645" s="110"/>
      <c r="F645" s="110"/>
      <c r="G645" s="93"/>
      <c r="H645" s="93"/>
      <c r="I645" s="93"/>
      <c r="J645" s="93"/>
      <c r="K645" s="93"/>
      <c r="L645" s="93"/>
      <c r="M645" s="93"/>
      <c r="N645" s="93"/>
      <c r="O645" s="93"/>
      <c r="P645" s="93"/>
      <c r="Q645" s="93"/>
      <c r="R645" s="93"/>
      <c r="S645" s="93"/>
      <c r="T645" s="93"/>
      <c r="U645" s="93"/>
      <c r="V645" s="93"/>
      <c r="W645" s="93"/>
      <c r="X645" s="93"/>
      <c r="Y645" s="93"/>
      <c r="Z645" s="93"/>
    </row>
    <row r="646" ht="14.25" customHeight="1">
      <c r="A646" s="93"/>
      <c r="B646" s="93"/>
      <c r="C646" s="93"/>
      <c r="D646" s="93"/>
      <c r="E646" s="110"/>
      <c r="F646" s="110"/>
      <c r="G646" s="93"/>
      <c r="H646" s="93"/>
      <c r="I646" s="93"/>
      <c r="J646" s="93"/>
      <c r="K646" s="93"/>
      <c r="L646" s="93"/>
      <c r="M646" s="93"/>
      <c r="N646" s="93"/>
      <c r="O646" s="93"/>
      <c r="P646" s="93"/>
      <c r="Q646" s="93"/>
      <c r="R646" s="93"/>
      <c r="S646" s="93"/>
      <c r="T646" s="93"/>
      <c r="U646" s="93"/>
      <c r="V646" s="93"/>
      <c r="W646" s="93"/>
      <c r="X646" s="93"/>
      <c r="Y646" s="93"/>
      <c r="Z646" s="93"/>
    </row>
    <row r="647" ht="14.25" customHeight="1">
      <c r="A647" s="93"/>
      <c r="B647" s="93"/>
      <c r="C647" s="93"/>
      <c r="D647" s="93"/>
      <c r="E647" s="110"/>
      <c r="F647" s="110"/>
      <c r="G647" s="93"/>
      <c r="H647" s="93"/>
      <c r="I647" s="93"/>
      <c r="J647" s="93"/>
      <c r="K647" s="93"/>
      <c r="L647" s="93"/>
      <c r="M647" s="93"/>
      <c r="N647" s="93"/>
      <c r="O647" s="93"/>
      <c r="P647" s="93"/>
      <c r="Q647" s="93"/>
      <c r="R647" s="93"/>
      <c r="S647" s="93"/>
      <c r="T647" s="93"/>
      <c r="U647" s="93"/>
      <c r="V647" s="93"/>
      <c r="W647" s="93"/>
      <c r="X647" s="93"/>
      <c r="Y647" s="93"/>
      <c r="Z647" s="93"/>
    </row>
    <row r="648" ht="14.25" customHeight="1">
      <c r="A648" s="93"/>
      <c r="B648" s="93"/>
      <c r="C648" s="93"/>
      <c r="D648" s="93"/>
      <c r="E648" s="110"/>
      <c r="F648" s="110"/>
      <c r="G648" s="93"/>
      <c r="H648" s="93"/>
      <c r="I648" s="93"/>
      <c r="J648" s="93"/>
      <c r="K648" s="93"/>
      <c r="L648" s="93"/>
      <c r="M648" s="93"/>
      <c r="N648" s="93"/>
      <c r="O648" s="93"/>
      <c r="P648" s="93"/>
      <c r="Q648" s="93"/>
      <c r="R648" s="93"/>
      <c r="S648" s="93"/>
      <c r="T648" s="93"/>
      <c r="U648" s="93"/>
      <c r="V648" s="93"/>
      <c r="W648" s="93"/>
      <c r="X648" s="93"/>
      <c r="Y648" s="93"/>
      <c r="Z648" s="93"/>
    </row>
    <row r="649" ht="14.25" customHeight="1">
      <c r="A649" s="93"/>
      <c r="B649" s="93"/>
      <c r="C649" s="93"/>
      <c r="D649" s="93"/>
      <c r="E649" s="110"/>
      <c r="F649" s="110"/>
      <c r="G649" s="93"/>
      <c r="H649" s="93"/>
      <c r="I649" s="93"/>
      <c r="J649" s="93"/>
      <c r="K649" s="93"/>
      <c r="L649" s="93"/>
      <c r="M649" s="93"/>
      <c r="N649" s="93"/>
      <c r="O649" s="93"/>
      <c r="P649" s="93"/>
      <c r="Q649" s="93"/>
      <c r="R649" s="93"/>
      <c r="S649" s="93"/>
      <c r="T649" s="93"/>
      <c r="U649" s="93"/>
      <c r="V649" s="93"/>
      <c r="W649" s="93"/>
      <c r="X649" s="93"/>
      <c r="Y649" s="93"/>
      <c r="Z649" s="93"/>
    </row>
    <row r="650" ht="14.25" customHeight="1">
      <c r="A650" s="93"/>
      <c r="B650" s="93"/>
      <c r="C650" s="93"/>
      <c r="D650" s="93"/>
      <c r="E650" s="110"/>
      <c r="F650" s="110"/>
      <c r="G650" s="93"/>
      <c r="H650" s="93"/>
      <c r="I650" s="93"/>
      <c r="J650" s="93"/>
      <c r="K650" s="93"/>
      <c r="L650" s="93"/>
      <c r="M650" s="93"/>
      <c r="N650" s="93"/>
      <c r="O650" s="93"/>
      <c r="P650" s="93"/>
      <c r="Q650" s="93"/>
      <c r="R650" s="93"/>
      <c r="S650" s="93"/>
      <c r="T650" s="93"/>
      <c r="U650" s="93"/>
      <c r="V650" s="93"/>
      <c r="W650" s="93"/>
      <c r="X650" s="93"/>
      <c r="Y650" s="93"/>
      <c r="Z650" s="93"/>
    </row>
    <row r="651" ht="14.25" customHeight="1">
      <c r="A651" s="93"/>
      <c r="B651" s="93"/>
      <c r="C651" s="93"/>
      <c r="D651" s="93"/>
      <c r="E651" s="110"/>
      <c r="F651" s="110"/>
      <c r="G651" s="93"/>
      <c r="H651" s="93"/>
      <c r="I651" s="93"/>
      <c r="J651" s="93"/>
      <c r="K651" s="93"/>
      <c r="L651" s="93"/>
      <c r="M651" s="93"/>
      <c r="N651" s="93"/>
      <c r="O651" s="93"/>
      <c r="P651" s="93"/>
      <c r="Q651" s="93"/>
      <c r="R651" s="93"/>
      <c r="S651" s="93"/>
      <c r="T651" s="93"/>
      <c r="U651" s="93"/>
      <c r="V651" s="93"/>
      <c r="W651" s="93"/>
      <c r="X651" s="93"/>
      <c r="Y651" s="93"/>
      <c r="Z651" s="93"/>
    </row>
    <row r="652" ht="14.25" customHeight="1">
      <c r="A652" s="93"/>
      <c r="B652" s="93"/>
      <c r="C652" s="93"/>
      <c r="D652" s="93"/>
      <c r="E652" s="110"/>
      <c r="F652" s="110"/>
      <c r="G652" s="93"/>
      <c r="H652" s="93"/>
      <c r="I652" s="93"/>
      <c r="J652" s="93"/>
      <c r="K652" s="93"/>
      <c r="L652" s="93"/>
      <c r="M652" s="93"/>
      <c r="N652" s="93"/>
      <c r="O652" s="93"/>
      <c r="P652" s="93"/>
      <c r="Q652" s="93"/>
      <c r="R652" s="93"/>
      <c r="S652" s="93"/>
      <c r="T652" s="93"/>
      <c r="U652" s="93"/>
      <c r="V652" s="93"/>
      <c r="W652" s="93"/>
      <c r="X652" s="93"/>
      <c r="Y652" s="93"/>
      <c r="Z652" s="93"/>
    </row>
    <row r="653" ht="14.25" customHeight="1">
      <c r="A653" s="93"/>
      <c r="B653" s="93"/>
      <c r="C653" s="93"/>
      <c r="D653" s="93"/>
      <c r="E653" s="110"/>
      <c r="F653" s="110"/>
      <c r="G653" s="93"/>
      <c r="H653" s="93"/>
      <c r="I653" s="93"/>
      <c r="J653" s="93"/>
      <c r="K653" s="93"/>
      <c r="L653" s="93"/>
      <c r="M653" s="93"/>
      <c r="N653" s="93"/>
      <c r="O653" s="93"/>
      <c r="P653" s="93"/>
      <c r="Q653" s="93"/>
      <c r="R653" s="93"/>
      <c r="S653" s="93"/>
      <c r="T653" s="93"/>
      <c r="U653" s="93"/>
      <c r="V653" s="93"/>
      <c r="W653" s="93"/>
      <c r="X653" s="93"/>
      <c r="Y653" s="93"/>
      <c r="Z653" s="93"/>
    </row>
    <row r="654" ht="14.25" customHeight="1">
      <c r="A654" s="93"/>
      <c r="B654" s="93"/>
      <c r="C654" s="93"/>
      <c r="D654" s="93"/>
      <c r="E654" s="110"/>
      <c r="F654" s="110"/>
      <c r="G654" s="93"/>
      <c r="H654" s="93"/>
      <c r="I654" s="93"/>
      <c r="J654" s="93"/>
      <c r="K654" s="93"/>
      <c r="L654" s="93"/>
      <c r="M654" s="93"/>
      <c r="N654" s="93"/>
      <c r="O654" s="93"/>
      <c r="P654" s="93"/>
      <c r="Q654" s="93"/>
      <c r="R654" s="93"/>
      <c r="S654" s="93"/>
      <c r="T654" s="93"/>
      <c r="U654" s="93"/>
      <c r="V654" s="93"/>
      <c r="W654" s="93"/>
      <c r="X654" s="93"/>
      <c r="Y654" s="93"/>
      <c r="Z654" s="93"/>
    </row>
    <row r="655" ht="14.25" customHeight="1">
      <c r="A655" s="93"/>
      <c r="B655" s="93"/>
      <c r="C655" s="93"/>
      <c r="D655" s="93"/>
      <c r="E655" s="110"/>
      <c r="F655" s="110"/>
      <c r="G655" s="93"/>
      <c r="H655" s="93"/>
      <c r="I655" s="93"/>
      <c r="J655" s="93"/>
      <c r="K655" s="93"/>
      <c r="L655" s="93"/>
      <c r="M655" s="93"/>
      <c r="N655" s="93"/>
      <c r="O655" s="93"/>
      <c r="P655" s="93"/>
      <c r="Q655" s="93"/>
      <c r="R655" s="93"/>
      <c r="S655" s="93"/>
      <c r="T655" s="93"/>
      <c r="U655" s="93"/>
      <c r="V655" s="93"/>
      <c r="W655" s="93"/>
      <c r="X655" s="93"/>
      <c r="Y655" s="93"/>
      <c r="Z655" s="93"/>
    </row>
    <row r="656" ht="14.25" customHeight="1">
      <c r="A656" s="93"/>
      <c r="B656" s="93"/>
      <c r="C656" s="93"/>
      <c r="D656" s="93"/>
      <c r="E656" s="110"/>
      <c r="F656" s="110"/>
      <c r="G656" s="93"/>
      <c r="H656" s="93"/>
      <c r="I656" s="93"/>
      <c r="J656" s="93"/>
      <c r="K656" s="93"/>
      <c r="L656" s="93"/>
      <c r="M656" s="93"/>
      <c r="N656" s="93"/>
      <c r="O656" s="93"/>
      <c r="P656" s="93"/>
      <c r="Q656" s="93"/>
      <c r="R656" s="93"/>
      <c r="S656" s="93"/>
      <c r="T656" s="93"/>
      <c r="U656" s="93"/>
      <c r="V656" s="93"/>
      <c r="W656" s="93"/>
      <c r="X656" s="93"/>
      <c r="Y656" s="93"/>
      <c r="Z656" s="93"/>
    </row>
    <row r="657" ht="14.25" customHeight="1">
      <c r="A657" s="93"/>
      <c r="B657" s="93"/>
      <c r="C657" s="93"/>
      <c r="D657" s="93"/>
      <c r="E657" s="110"/>
      <c r="F657" s="110"/>
      <c r="G657" s="93"/>
      <c r="H657" s="93"/>
      <c r="I657" s="93"/>
      <c r="J657" s="93"/>
      <c r="K657" s="93"/>
      <c r="L657" s="93"/>
      <c r="M657" s="93"/>
      <c r="N657" s="93"/>
      <c r="O657" s="93"/>
      <c r="P657" s="93"/>
      <c r="Q657" s="93"/>
      <c r="R657" s="93"/>
      <c r="S657" s="93"/>
      <c r="T657" s="93"/>
      <c r="U657" s="93"/>
      <c r="V657" s="93"/>
      <c r="W657" s="93"/>
      <c r="X657" s="93"/>
      <c r="Y657" s="93"/>
      <c r="Z657" s="93"/>
    </row>
    <row r="658" ht="14.25" customHeight="1">
      <c r="A658" s="93"/>
      <c r="B658" s="93"/>
      <c r="C658" s="93"/>
      <c r="D658" s="93"/>
      <c r="E658" s="110"/>
      <c r="F658" s="110"/>
      <c r="G658" s="93"/>
      <c r="H658" s="93"/>
      <c r="I658" s="93"/>
      <c r="J658" s="93"/>
      <c r="K658" s="93"/>
      <c r="L658" s="93"/>
      <c r="M658" s="93"/>
      <c r="N658" s="93"/>
      <c r="O658" s="93"/>
      <c r="P658" s="93"/>
      <c r="Q658" s="93"/>
      <c r="R658" s="93"/>
      <c r="S658" s="93"/>
      <c r="T658" s="93"/>
      <c r="U658" s="93"/>
      <c r="V658" s="93"/>
      <c r="W658" s="93"/>
      <c r="X658" s="93"/>
      <c r="Y658" s="93"/>
      <c r="Z658" s="93"/>
    </row>
    <row r="659" ht="14.25" customHeight="1">
      <c r="A659" s="93"/>
      <c r="B659" s="93"/>
      <c r="C659" s="93"/>
      <c r="D659" s="93"/>
      <c r="E659" s="110"/>
      <c r="F659" s="110"/>
      <c r="G659" s="93"/>
      <c r="H659" s="93"/>
      <c r="I659" s="93"/>
      <c r="J659" s="93"/>
      <c r="K659" s="93"/>
      <c r="L659" s="93"/>
      <c r="M659" s="93"/>
      <c r="N659" s="93"/>
      <c r="O659" s="93"/>
      <c r="P659" s="93"/>
      <c r="Q659" s="93"/>
      <c r="R659" s="93"/>
      <c r="S659" s="93"/>
      <c r="T659" s="93"/>
      <c r="U659" s="93"/>
      <c r="V659" s="93"/>
      <c r="W659" s="93"/>
      <c r="X659" s="93"/>
      <c r="Y659" s="93"/>
      <c r="Z659" s="93"/>
    </row>
    <row r="660" ht="14.25" customHeight="1">
      <c r="A660" s="93"/>
      <c r="B660" s="93"/>
      <c r="C660" s="93"/>
      <c r="D660" s="93"/>
      <c r="E660" s="110"/>
      <c r="F660" s="110"/>
      <c r="G660" s="93"/>
      <c r="H660" s="93"/>
      <c r="I660" s="93"/>
      <c r="J660" s="93"/>
      <c r="K660" s="93"/>
      <c r="L660" s="93"/>
      <c r="M660" s="93"/>
      <c r="N660" s="93"/>
      <c r="O660" s="93"/>
      <c r="P660" s="93"/>
      <c r="Q660" s="93"/>
      <c r="R660" s="93"/>
      <c r="S660" s="93"/>
      <c r="T660" s="93"/>
      <c r="U660" s="93"/>
      <c r="V660" s="93"/>
      <c r="W660" s="93"/>
      <c r="X660" s="93"/>
      <c r="Y660" s="93"/>
      <c r="Z660" s="93"/>
    </row>
    <row r="661" ht="14.25" customHeight="1">
      <c r="A661" s="93"/>
      <c r="B661" s="93"/>
      <c r="C661" s="93"/>
      <c r="D661" s="93"/>
      <c r="E661" s="110"/>
      <c r="F661" s="110"/>
      <c r="G661" s="93"/>
      <c r="H661" s="93"/>
      <c r="I661" s="93"/>
      <c r="J661" s="93"/>
      <c r="K661" s="93"/>
      <c r="L661" s="93"/>
      <c r="M661" s="93"/>
      <c r="N661" s="93"/>
      <c r="O661" s="93"/>
      <c r="P661" s="93"/>
      <c r="Q661" s="93"/>
      <c r="R661" s="93"/>
      <c r="S661" s="93"/>
      <c r="T661" s="93"/>
      <c r="U661" s="93"/>
      <c r="V661" s="93"/>
      <c r="W661" s="93"/>
      <c r="X661" s="93"/>
      <c r="Y661" s="93"/>
      <c r="Z661" s="93"/>
    </row>
    <row r="662" ht="14.25" customHeight="1">
      <c r="A662" s="93"/>
      <c r="B662" s="93"/>
      <c r="C662" s="93"/>
      <c r="D662" s="93"/>
      <c r="E662" s="110"/>
      <c r="F662" s="110"/>
      <c r="G662" s="93"/>
      <c r="H662" s="93"/>
      <c r="I662" s="93"/>
      <c r="J662" s="93"/>
      <c r="K662" s="93"/>
      <c r="L662" s="93"/>
      <c r="M662" s="93"/>
      <c r="N662" s="93"/>
      <c r="O662" s="93"/>
      <c r="P662" s="93"/>
      <c r="Q662" s="93"/>
      <c r="R662" s="93"/>
      <c r="S662" s="93"/>
      <c r="T662" s="93"/>
      <c r="U662" s="93"/>
      <c r="V662" s="93"/>
      <c r="W662" s="93"/>
      <c r="X662" s="93"/>
      <c r="Y662" s="93"/>
      <c r="Z662" s="93"/>
    </row>
    <row r="663" ht="14.25" customHeight="1">
      <c r="A663" s="93"/>
      <c r="B663" s="93"/>
      <c r="C663" s="93"/>
      <c r="D663" s="93"/>
      <c r="E663" s="110"/>
      <c r="F663" s="110"/>
      <c r="G663" s="93"/>
      <c r="H663" s="93"/>
      <c r="I663" s="93"/>
      <c r="J663" s="93"/>
      <c r="K663" s="93"/>
      <c r="L663" s="93"/>
      <c r="M663" s="93"/>
      <c r="N663" s="93"/>
      <c r="O663" s="93"/>
      <c r="P663" s="93"/>
      <c r="Q663" s="93"/>
      <c r="R663" s="93"/>
      <c r="S663" s="93"/>
      <c r="T663" s="93"/>
      <c r="U663" s="93"/>
      <c r="V663" s="93"/>
      <c r="W663" s="93"/>
      <c r="X663" s="93"/>
      <c r="Y663" s="93"/>
      <c r="Z663" s="93"/>
    </row>
    <row r="664" ht="14.25" customHeight="1">
      <c r="A664" s="93"/>
      <c r="B664" s="93"/>
      <c r="C664" s="93"/>
      <c r="D664" s="93"/>
      <c r="E664" s="110"/>
      <c r="F664" s="110"/>
      <c r="G664" s="93"/>
      <c r="H664" s="93"/>
      <c r="I664" s="93"/>
      <c r="J664" s="93"/>
      <c r="K664" s="93"/>
      <c r="L664" s="93"/>
      <c r="M664" s="93"/>
      <c r="N664" s="93"/>
      <c r="O664" s="93"/>
      <c r="P664" s="93"/>
      <c r="Q664" s="93"/>
      <c r="R664" s="93"/>
      <c r="S664" s="93"/>
      <c r="T664" s="93"/>
      <c r="U664" s="93"/>
      <c r="V664" s="93"/>
      <c r="W664" s="93"/>
      <c r="X664" s="93"/>
      <c r="Y664" s="93"/>
      <c r="Z664" s="93"/>
    </row>
    <row r="665" ht="14.25" customHeight="1">
      <c r="A665" s="93"/>
      <c r="B665" s="93"/>
      <c r="C665" s="93"/>
      <c r="D665" s="93"/>
      <c r="E665" s="110"/>
      <c r="F665" s="110"/>
      <c r="G665" s="93"/>
      <c r="H665" s="93"/>
      <c r="I665" s="93"/>
      <c r="J665" s="93"/>
      <c r="K665" s="93"/>
      <c r="L665" s="93"/>
      <c r="M665" s="93"/>
      <c r="N665" s="93"/>
      <c r="O665" s="93"/>
      <c r="P665" s="93"/>
      <c r="Q665" s="93"/>
      <c r="R665" s="93"/>
      <c r="S665" s="93"/>
      <c r="T665" s="93"/>
      <c r="U665" s="93"/>
      <c r="V665" s="93"/>
      <c r="W665" s="93"/>
      <c r="X665" s="93"/>
      <c r="Y665" s="93"/>
      <c r="Z665" s="93"/>
    </row>
    <row r="666" ht="14.25" customHeight="1">
      <c r="A666" s="93"/>
      <c r="B666" s="93"/>
      <c r="C666" s="93"/>
      <c r="D666" s="93"/>
      <c r="E666" s="110"/>
      <c r="F666" s="110"/>
      <c r="G666" s="93"/>
      <c r="H666" s="93"/>
      <c r="I666" s="93"/>
      <c r="J666" s="93"/>
      <c r="K666" s="93"/>
      <c r="L666" s="93"/>
      <c r="M666" s="93"/>
      <c r="N666" s="93"/>
      <c r="O666" s="93"/>
      <c r="P666" s="93"/>
      <c r="Q666" s="93"/>
      <c r="R666" s="93"/>
      <c r="S666" s="93"/>
      <c r="T666" s="93"/>
      <c r="U666" s="93"/>
      <c r="V666" s="93"/>
      <c r="W666" s="93"/>
      <c r="X666" s="93"/>
      <c r="Y666" s="93"/>
      <c r="Z666" s="93"/>
    </row>
    <row r="667" ht="14.25" customHeight="1">
      <c r="A667" s="93"/>
      <c r="B667" s="93"/>
      <c r="C667" s="93"/>
      <c r="D667" s="93"/>
      <c r="E667" s="110"/>
      <c r="F667" s="110"/>
      <c r="G667" s="93"/>
      <c r="H667" s="93"/>
      <c r="I667" s="93"/>
      <c r="J667" s="93"/>
      <c r="K667" s="93"/>
      <c r="L667" s="93"/>
      <c r="M667" s="93"/>
      <c r="N667" s="93"/>
      <c r="O667" s="93"/>
      <c r="P667" s="93"/>
      <c r="Q667" s="93"/>
      <c r="R667" s="93"/>
      <c r="S667" s="93"/>
      <c r="T667" s="93"/>
      <c r="U667" s="93"/>
      <c r="V667" s="93"/>
      <c r="W667" s="93"/>
      <c r="X667" s="93"/>
      <c r="Y667" s="93"/>
      <c r="Z667" s="93"/>
    </row>
    <row r="668" ht="14.25" customHeight="1">
      <c r="A668" s="93"/>
      <c r="B668" s="93"/>
      <c r="C668" s="93"/>
      <c r="D668" s="93"/>
      <c r="E668" s="110"/>
      <c r="F668" s="110"/>
      <c r="G668" s="93"/>
      <c r="H668" s="93"/>
      <c r="I668" s="93"/>
      <c r="J668" s="93"/>
      <c r="K668" s="93"/>
      <c r="L668" s="93"/>
      <c r="M668" s="93"/>
      <c r="N668" s="93"/>
      <c r="O668" s="93"/>
      <c r="P668" s="93"/>
      <c r="Q668" s="93"/>
      <c r="R668" s="93"/>
      <c r="S668" s="93"/>
      <c r="T668" s="93"/>
      <c r="U668" s="93"/>
      <c r="V668" s="93"/>
      <c r="W668" s="93"/>
      <c r="X668" s="93"/>
      <c r="Y668" s="93"/>
      <c r="Z668" s="93"/>
    </row>
    <row r="669" ht="14.25" customHeight="1">
      <c r="A669" s="93"/>
      <c r="B669" s="93"/>
      <c r="C669" s="93"/>
      <c r="D669" s="93"/>
      <c r="E669" s="110"/>
      <c r="F669" s="110"/>
      <c r="G669" s="93"/>
      <c r="H669" s="93"/>
      <c r="I669" s="93"/>
      <c r="J669" s="93"/>
      <c r="K669" s="93"/>
      <c r="L669" s="93"/>
      <c r="M669" s="93"/>
      <c r="N669" s="93"/>
      <c r="O669" s="93"/>
      <c r="P669" s="93"/>
      <c r="Q669" s="93"/>
      <c r="R669" s="93"/>
      <c r="S669" s="93"/>
      <c r="T669" s="93"/>
      <c r="U669" s="93"/>
      <c r="V669" s="93"/>
      <c r="W669" s="93"/>
      <c r="X669" s="93"/>
      <c r="Y669" s="93"/>
      <c r="Z669" s="93"/>
    </row>
    <row r="670" ht="14.25" customHeight="1">
      <c r="A670" s="93"/>
      <c r="B670" s="93"/>
      <c r="C670" s="93"/>
      <c r="D670" s="93"/>
      <c r="E670" s="110"/>
      <c r="F670" s="110"/>
      <c r="G670" s="93"/>
      <c r="H670" s="93"/>
      <c r="I670" s="93"/>
      <c r="J670" s="93"/>
      <c r="K670" s="93"/>
      <c r="L670" s="93"/>
      <c r="M670" s="93"/>
      <c r="N670" s="93"/>
      <c r="O670" s="93"/>
      <c r="P670" s="93"/>
      <c r="Q670" s="93"/>
      <c r="R670" s="93"/>
      <c r="S670" s="93"/>
      <c r="T670" s="93"/>
      <c r="U670" s="93"/>
      <c r="V670" s="93"/>
      <c r="W670" s="93"/>
      <c r="X670" s="93"/>
      <c r="Y670" s="93"/>
      <c r="Z670" s="93"/>
    </row>
    <row r="671" ht="14.25" customHeight="1">
      <c r="A671" s="93"/>
      <c r="B671" s="93"/>
      <c r="C671" s="93"/>
      <c r="D671" s="93"/>
      <c r="E671" s="110"/>
      <c r="F671" s="110"/>
      <c r="G671" s="93"/>
      <c r="H671" s="93"/>
      <c r="I671" s="93"/>
      <c r="J671" s="93"/>
      <c r="K671" s="93"/>
      <c r="L671" s="93"/>
      <c r="M671" s="93"/>
      <c r="N671" s="93"/>
      <c r="O671" s="93"/>
      <c r="P671" s="93"/>
      <c r="Q671" s="93"/>
      <c r="R671" s="93"/>
      <c r="S671" s="93"/>
      <c r="T671" s="93"/>
      <c r="U671" s="93"/>
      <c r="V671" s="93"/>
      <c r="W671" s="93"/>
      <c r="X671" s="93"/>
      <c r="Y671" s="93"/>
      <c r="Z671" s="93"/>
    </row>
    <row r="672" ht="14.25" customHeight="1">
      <c r="A672" s="93"/>
      <c r="B672" s="93"/>
      <c r="C672" s="93"/>
      <c r="D672" s="93"/>
      <c r="E672" s="110"/>
      <c r="F672" s="110"/>
      <c r="G672" s="93"/>
      <c r="H672" s="93"/>
      <c r="I672" s="93"/>
      <c r="J672" s="93"/>
      <c r="K672" s="93"/>
      <c r="L672" s="93"/>
      <c r="M672" s="93"/>
      <c r="N672" s="93"/>
      <c r="O672" s="93"/>
      <c r="P672" s="93"/>
      <c r="Q672" s="93"/>
      <c r="R672" s="93"/>
      <c r="S672" s="93"/>
      <c r="T672" s="93"/>
      <c r="U672" s="93"/>
      <c r="V672" s="93"/>
      <c r="W672" s="93"/>
      <c r="X672" s="93"/>
      <c r="Y672" s="93"/>
      <c r="Z672" s="93"/>
    </row>
    <row r="673" ht="14.25" customHeight="1">
      <c r="A673" s="93"/>
      <c r="B673" s="93"/>
      <c r="C673" s="93"/>
      <c r="D673" s="93"/>
      <c r="E673" s="110"/>
      <c r="F673" s="110"/>
      <c r="G673" s="93"/>
      <c r="H673" s="93"/>
      <c r="I673" s="93"/>
      <c r="J673" s="93"/>
      <c r="K673" s="93"/>
      <c r="L673" s="93"/>
      <c r="M673" s="93"/>
      <c r="N673" s="93"/>
      <c r="O673" s="93"/>
      <c r="P673" s="93"/>
      <c r="Q673" s="93"/>
      <c r="R673" s="93"/>
      <c r="S673" s="93"/>
      <c r="T673" s="93"/>
      <c r="U673" s="93"/>
      <c r="V673" s="93"/>
      <c r="W673" s="93"/>
      <c r="X673" s="93"/>
      <c r="Y673" s="93"/>
      <c r="Z673" s="93"/>
    </row>
    <row r="674" ht="14.25" customHeight="1">
      <c r="A674" s="93"/>
      <c r="B674" s="93"/>
      <c r="C674" s="93"/>
      <c r="D674" s="93"/>
      <c r="E674" s="110"/>
      <c r="F674" s="110"/>
      <c r="G674" s="93"/>
      <c r="H674" s="93"/>
      <c r="I674" s="93"/>
      <c r="J674" s="93"/>
      <c r="K674" s="93"/>
      <c r="L674" s="93"/>
      <c r="M674" s="93"/>
      <c r="N674" s="93"/>
      <c r="O674" s="93"/>
      <c r="P674" s="93"/>
      <c r="Q674" s="93"/>
      <c r="R674" s="93"/>
      <c r="S674" s="93"/>
      <c r="T674" s="93"/>
      <c r="U674" s="93"/>
      <c r="V674" s="93"/>
      <c r="W674" s="93"/>
      <c r="X674" s="93"/>
      <c r="Y674" s="93"/>
      <c r="Z674" s="93"/>
    </row>
    <row r="675" ht="14.25" customHeight="1">
      <c r="A675" s="93"/>
      <c r="B675" s="93"/>
      <c r="C675" s="93"/>
      <c r="D675" s="93"/>
      <c r="E675" s="110"/>
      <c r="F675" s="110"/>
      <c r="G675" s="93"/>
      <c r="H675" s="93"/>
      <c r="I675" s="93"/>
      <c r="J675" s="93"/>
      <c r="K675" s="93"/>
      <c r="L675" s="93"/>
      <c r="M675" s="93"/>
      <c r="N675" s="93"/>
      <c r="O675" s="93"/>
      <c r="P675" s="93"/>
      <c r="Q675" s="93"/>
      <c r="R675" s="93"/>
      <c r="S675" s="93"/>
      <c r="T675" s="93"/>
      <c r="U675" s="93"/>
      <c r="V675" s="93"/>
      <c r="W675" s="93"/>
      <c r="X675" s="93"/>
      <c r="Y675" s="93"/>
      <c r="Z675" s="93"/>
    </row>
    <row r="676" ht="14.25" customHeight="1">
      <c r="A676" s="93"/>
      <c r="B676" s="93"/>
      <c r="C676" s="93"/>
      <c r="D676" s="93"/>
      <c r="E676" s="110"/>
      <c r="F676" s="110"/>
      <c r="G676" s="93"/>
      <c r="H676" s="93"/>
      <c r="I676" s="93"/>
      <c r="J676" s="93"/>
      <c r="K676" s="93"/>
      <c r="L676" s="93"/>
      <c r="M676" s="93"/>
      <c r="N676" s="93"/>
      <c r="O676" s="93"/>
      <c r="P676" s="93"/>
      <c r="Q676" s="93"/>
      <c r="R676" s="93"/>
      <c r="S676" s="93"/>
      <c r="T676" s="93"/>
      <c r="U676" s="93"/>
      <c r="V676" s="93"/>
      <c r="W676" s="93"/>
      <c r="X676" s="93"/>
      <c r="Y676" s="93"/>
      <c r="Z676" s="93"/>
    </row>
    <row r="677" ht="14.25" customHeight="1">
      <c r="A677" s="93"/>
      <c r="B677" s="93"/>
      <c r="C677" s="93"/>
      <c r="D677" s="93"/>
      <c r="E677" s="110"/>
      <c r="F677" s="110"/>
      <c r="G677" s="93"/>
      <c r="H677" s="93"/>
      <c r="I677" s="93"/>
      <c r="J677" s="93"/>
      <c r="K677" s="93"/>
      <c r="L677" s="93"/>
      <c r="M677" s="93"/>
      <c r="N677" s="93"/>
      <c r="O677" s="93"/>
      <c r="P677" s="93"/>
      <c r="Q677" s="93"/>
      <c r="R677" s="93"/>
      <c r="S677" s="93"/>
      <c r="T677" s="93"/>
      <c r="U677" s="93"/>
      <c r="V677" s="93"/>
      <c r="W677" s="93"/>
      <c r="X677" s="93"/>
      <c r="Y677" s="93"/>
      <c r="Z677" s="93"/>
    </row>
    <row r="678" ht="14.25" customHeight="1">
      <c r="A678" s="93"/>
      <c r="B678" s="93"/>
      <c r="C678" s="93"/>
      <c r="D678" s="93"/>
      <c r="E678" s="110"/>
      <c r="F678" s="110"/>
      <c r="G678" s="93"/>
      <c r="H678" s="93"/>
      <c r="I678" s="93"/>
      <c r="J678" s="93"/>
      <c r="K678" s="93"/>
      <c r="L678" s="93"/>
      <c r="M678" s="93"/>
      <c r="N678" s="93"/>
      <c r="O678" s="93"/>
      <c r="P678" s="93"/>
      <c r="Q678" s="93"/>
      <c r="R678" s="93"/>
      <c r="S678" s="93"/>
      <c r="T678" s="93"/>
      <c r="U678" s="93"/>
      <c r="V678" s="93"/>
      <c r="W678" s="93"/>
      <c r="X678" s="93"/>
      <c r="Y678" s="93"/>
      <c r="Z678" s="93"/>
    </row>
    <row r="679" ht="14.25" customHeight="1">
      <c r="A679" s="93"/>
      <c r="B679" s="93"/>
      <c r="C679" s="93"/>
      <c r="D679" s="93"/>
      <c r="E679" s="110"/>
      <c r="F679" s="110"/>
      <c r="G679" s="93"/>
      <c r="H679" s="93"/>
      <c r="I679" s="93"/>
      <c r="J679" s="93"/>
      <c r="K679" s="93"/>
      <c r="L679" s="93"/>
      <c r="M679" s="93"/>
      <c r="N679" s="93"/>
      <c r="O679" s="93"/>
      <c r="P679" s="93"/>
      <c r="Q679" s="93"/>
      <c r="R679" s="93"/>
      <c r="S679" s="93"/>
      <c r="T679" s="93"/>
      <c r="U679" s="93"/>
      <c r="V679" s="93"/>
      <c r="W679" s="93"/>
      <c r="X679" s="93"/>
      <c r="Y679" s="93"/>
      <c r="Z679" s="93"/>
    </row>
    <row r="680" ht="14.25" customHeight="1">
      <c r="A680" s="93"/>
      <c r="B680" s="93"/>
      <c r="C680" s="93"/>
      <c r="D680" s="93"/>
      <c r="E680" s="110"/>
      <c r="F680" s="110"/>
      <c r="G680" s="93"/>
      <c r="H680" s="93"/>
      <c r="I680" s="93"/>
      <c r="J680" s="93"/>
      <c r="K680" s="93"/>
      <c r="L680" s="93"/>
      <c r="M680" s="93"/>
      <c r="N680" s="93"/>
      <c r="O680" s="93"/>
      <c r="P680" s="93"/>
      <c r="Q680" s="93"/>
      <c r="R680" s="93"/>
      <c r="S680" s="93"/>
      <c r="T680" s="93"/>
      <c r="U680" s="93"/>
      <c r="V680" s="93"/>
      <c r="W680" s="93"/>
      <c r="X680" s="93"/>
      <c r="Y680" s="93"/>
      <c r="Z680" s="93"/>
    </row>
    <row r="681" ht="14.25" customHeight="1">
      <c r="A681" s="93"/>
      <c r="B681" s="93"/>
      <c r="C681" s="93"/>
      <c r="D681" s="93"/>
      <c r="E681" s="110"/>
      <c r="F681" s="110"/>
      <c r="G681" s="93"/>
      <c r="H681" s="93"/>
      <c r="I681" s="93"/>
      <c r="J681" s="93"/>
      <c r="K681" s="93"/>
      <c r="L681" s="93"/>
      <c r="M681" s="93"/>
      <c r="N681" s="93"/>
      <c r="O681" s="93"/>
      <c r="P681" s="93"/>
      <c r="Q681" s="93"/>
      <c r="R681" s="93"/>
      <c r="S681" s="93"/>
      <c r="T681" s="93"/>
      <c r="U681" s="93"/>
      <c r="V681" s="93"/>
      <c r="W681" s="93"/>
      <c r="X681" s="93"/>
      <c r="Y681" s="93"/>
      <c r="Z681" s="93"/>
    </row>
    <row r="682" ht="14.25" customHeight="1">
      <c r="A682" s="93"/>
      <c r="B682" s="93"/>
      <c r="C682" s="93"/>
      <c r="D682" s="93"/>
      <c r="E682" s="110"/>
      <c r="F682" s="110"/>
      <c r="G682" s="93"/>
      <c r="H682" s="93"/>
      <c r="I682" s="93"/>
      <c r="J682" s="93"/>
      <c r="K682" s="93"/>
      <c r="L682" s="93"/>
      <c r="M682" s="93"/>
      <c r="N682" s="93"/>
      <c r="O682" s="93"/>
      <c r="P682" s="93"/>
      <c r="Q682" s="93"/>
      <c r="R682" s="93"/>
      <c r="S682" s="93"/>
      <c r="T682" s="93"/>
      <c r="U682" s="93"/>
      <c r="V682" s="93"/>
      <c r="W682" s="93"/>
      <c r="X682" s="93"/>
      <c r="Y682" s="93"/>
      <c r="Z682" s="93"/>
    </row>
    <row r="683" ht="14.25" customHeight="1">
      <c r="A683" s="93"/>
      <c r="B683" s="93"/>
      <c r="C683" s="93"/>
      <c r="D683" s="93"/>
      <c r="E683" s="110"/>
      <c r="F683" s="110"/>
      <c r="G683" s="93"/>
      <c r="H683" s="93"/>
      <c r="I683" s="93"/>
      <c r="J683" s="93"/>
      <c r="K683" s="93"/>
      <c r="L683" s="93"/>
      <c r="M683" s="93"/>
      <c r="N683" s="93"/>
      <c r="O683" s="93"/>
      <c r="P683" s="93"/>
      <c r="Q683" s="93"/>
      <c r="R683" s="93"/>
      <c r="S683" s="93"/>
      <c r="T683" s="93"/>
      <c r="U683" s="93"/>
      <c r="V683" s="93"/>
      <c r="W683" s="93"/>
      <c r="X683" s="93"/>
      <c r="Y683" s="93"/>
      <c r="Z683" s="93"/>
    </row>
    <row r="684" ht="14.25" customHeight="1">
      <c r="A684" s="93"/>
      <c r="B684" s="93"/>
      <c r="C684" s="93"/>
      <c r="D684" s="93"/>
      <c r="E684" s="110"/>
      <c r="F684" s="110"/>
      <c r="G684" s="93"/>
      <c r="H684" s="93"/>
      <c r="I684" s="93"/>
      <c r="J684" s="93"/>
      <c r="K684" s="93"/>
      <c r="L684" s="93"/>
      <c r="M684" s="93"/>
      <c r="N684" s="93"/>
      <c r="O684" s="93"/>
      <c r="P684" s="93"/>
      <c r="Q684" s="93"/>
      <c r="R684" s="93"/>
      <c r="S684" s="93"/>
      <c r="T684" s="93"/>
      <c r="U684" s="93"/>
      <c r="V684" s="93"/>
      <c r="W684" s="93"/>
      <c r="X684" s="93"/>
      <c r="Y684" s="93"/>
      <c r="Z684" s="93"/>
    </row>
    <row r="685" ht="14.25" customHeight="1">
      <c r="A685" s="93"/>
      <c r="B685" s="93"/>
      <c r="C685" s="93"/>
      <c r="D685" s="93"/>
      <c r="E685" s="110"/>
      <c r="F685" s="110"/>
      <c r="G685" s="93"/>
      <c r="H685" s="93"/>
      <c r="I685" s="93"/>
      <c r="J685" s="93"/>
      <c r="K685" s="93"/>
      <c r="L685" s="93"/>
      <c r="M685" s="93"/>
      <c r="N685" s="93"/>
      <c r="O685" s="93"/>
      <c r="P685" s="93"/>
      <c r="Q685" s="93"/>
      <c r="R685" s="93"/>
      <c r="S685" s="93"/>
      <c r="T685" s="93"/>
      <c r="U685" s="93"/>
      <c r="V685" s="93"/>
      <c r="W685" s="93"/>
      <c r="X685" s="93"/>
      <c r="Y685" s="93"/>
      <c r="Z685" s="93"/>
    </row>
    <row r="686" ht="14.25" customHeight="1">
      <c r="A686" s="93"/>
      <c r="B686" s="93"/>
      <c r="C686" s="93"/>
      <c r="D686" s="93"/>
      <c r="E686" s="110"/>
      <c r="F686" s="110"/>
      <c r="G686" s="93"/>
      <c r="H686" s="93"/>
      <c r="I686" s="93"/>
      <c r="J686" s="93"/>
      <c r="K686" s="93"/>
      <c r="L686" s="93"/>
      <c r="M686" s="93"/>
      <c r="N686" s="93"/>
      <c r="O686" s="93"/>
      <c r="P686" s="93"/>
      <c r="Q686" s="93"/>
      <c r="R686" s="93"/>
      <c r="S686" s="93"/>
      <c r="T686" s="93"/>
      <c r="U686" s="93"/>
      <c r="V686" s="93"/>
      <c r="W686" s="93"/>
      <c r="X686" s="93"/>
      <c r="Y686" s="93"/>
      <c r="Z686" s="93"/>
    </row>
    <row r="687" ht="14.25" customHeight="1">
      <c r="A687" s="93"/>
      <c r="B687" s="93"/>
      <c r="C687" s="93"/>
      <c r="D687" s="93"/>
      <c r="E687" s="110"/>
      <c r="F687" s="110"/>
      <c r="G687" s="93"/>
      <c r="H687" s="93"/>
      <c r="I687" s="93"/>
      <c r="J687" s="93"/>
      <c r="K687" s="93"/>
      <c r="L687" s="93"/>
      <c r="M687" s="93"/>
      <c r="N687" s="93"/>
      <c r="O687" s="93"/>
      <c r="P687" s="93"/>
      <c r="Q687" s="93"/>
      <c r="R687" s="93"/>
      <c r="S687" s="93"/>
      <c r="T687" s="93"/>
      <c r="U687" s="93"/>
      <c r="V687" s="93"/>
      <c r="W687" s="93"/>
      <c r="X687" s="93"/>
      <c r="Y687" s="93"/>
      <c r="Z687" s="93"/>
    </row>
    <row r="688" ht="14.25" customHeight="1">
      <c r="A688" s="93"/>
      <c r="B688" s="93"/>
      <c r="C688" s="93"/>
      <c r="D688" s="93"/>
      <c r="E688" s="110"/>
      <c r="F688" s="110"/>
      <c r="G688" s="93"/>
      <c r="H688" s="93"/>
      <c r="I688" s="93"/>
      <c r="J688" s="93"/>
      <c r="K688" s="93"/>
      <c r="L688" s="93"/>
      <c r="M688" s="93"/>
      <c r="N688" s="93"/>
      <c r="O688" s="93"/>
      <c r="P688" s="93"/>
      <c r="Q688" s="93"/>
      <c r="R688" s="93"/>
      <c r="S688" s="93"/>
      <c r="T688" s="93"/>
      <c r="U688" s="93"/>
      <c r="V688" s="93"/>
      <c r="W688" s="93"/>
      <c r="X688" s="93"/>
      <c r="Y688" s="93"/>
      <c r="Z688" s="93"/>
    </row>
    <row r="689" ht="14.25" customHeight="1">
      <c r="A689" s="93"/>
      <c r="B689" s="93"/>
      <c r="C689" s="93"/>
      <c r="D689" s="93"/>
      <c r="E689" s="110"/>
      <c r="F689" s="110"/>
      <c r="G689" s="93"/>
      <c r="H689" s="93"/>
      <c r="I689" s="93"/>
      <c r="J689" s="93"/>
      <c r="K689" s="93"/>
      <c r="L689" s="93"/>
      <c r="M689" s="93"/>
      <c r="N689" s="93"/>
      <c r="O689" s="93"/>
      <c r="P689" s="93"/>
      <c r="Q689" s="93"/>
      <c r="R689" s="93"/>
      <c r="S689" s="93"/>
      <c r="T689" s="93"/>
      <c r="U689" s="93"/>
      <c r="V689" s="93"/>
      <c r="W689" s="93"/>
      <c r="X689" s="93"/>
      <c r="Y689" s="93"/>
      <c r="Z689" s="93"/>
    </row>
    <row r="690" ht="14.25" customHeight="1">
      <c r="A690" s="93"/>
      <c r="B690" s="93"/>
      <c r="C690" s="93"/>
      <c r="D690" s="93"/>
      <c r="E690" s="110"/>
      <c r="F690" s="110"/>
      <c r="G690" s="93"/>
      <c r="H690" s="93"/>
      <c r="I690" s="93"/>
      <c r="J690" s="93"/>
      <c r="K690" s="93"/>
      <c r="L690" s="93"/>
      <c r="M690" s="93"/>
      <c r="N690" s="93"/>
      <c r="O690" s="93"/>
      <c r="P690" s="93"/>
      <c r="Q690" s="93"/>
      <c r="R690" s="93"/>
      <c r="S690" s="93"/>
      <c r="T690" s="93"/>
      <c r="U690" s="93"/>
      <c r="V690" s="93"/>
      <c r="W690" s="93"/>
      <c r="X690" s="93"/>
      <c r="Y690" s="93"/>
      <c r="Z690" s="93"/>
    </row>
    <row r="691" ht="14.25" customHeight="1">
      <c r="A691" s="93"/>
      <c r="B691" s="93"/>
      <c r="C691" s="93"/>
      <c r="D691" s="93"/>
      <c r="E691" s="110"/>
      <c r="F691" s="110"/>
      <c r="G691" s="93"/>
      <c r="H691" s="93"/>
      <c r="I691" s="93"/>
      <c r="J691" s="93"/>
      <c r="K691" s="93"/>
      <c r="L691" s="93"/>
      <c r="M691" s="93"/>
      <c r="N691" s="93"/>
      <c r="O691" s="93"/>
      <c r="P691" s="93"/>
      <c r="Q691" s="93"/>
      <c r="R691" s="93"/>
      <c r="S691" s="93"/>
      <c r="T691" s="93"/>
      <c r="U691" s="93"/>
      <c r="V691" s="93"/>
      <c r="W691" s="93"/>
      <c r="X691" s="93"/>
      <c r="Y691" s="93"/>
      <c r="Z691" s="93"/>
    </row>
    <row r="692" ht="14.25" customHeight="1">
      <c r="A692" s="93"/>
      <c r="B692" s="93"/>
      <c r="C692" s="93"/>
      <c r="D692" s="93"/>
      <c r="E692" s="110"/>
      <c r="F692" s="110"/>
      <c r="G692" s="93"/>
      <c r="H692" s="93"/>
      <c r="I692" s="93"/>
      <c r="J692" s="93"/>
      <c r="K692" s="93"/>
      <c r="L692" s="93"/>
      <c r="M692" s="93"/>
      <c r="N692" s="93"/>
      <c r="O692" s="93"/>
      <c r="P692" s="93"/>
      <c r="Q692" s="93"/>
      <c r="R692" s="93"/>
      <c r="S692" s="93"/>
      <c r="T692" s="93"/>
      <c r="U692" s="93"/>
      <c r="V692" s="93"/>
      <c r="W692" s="93"/>
      <c r="X692" s="93"/>
      <c r="Y692" s="93"/>
      <c r="Z692" s="93"/>
    </row>
    <row r="693" ht="14.25" customHeight="1">
      <c r="A693" s="93"/>
      <c r="B693" s="93"/>
      <c r="C693" s="93"/>
      <c r="D693" s="93"/>
      <c r="E693" s="110"/>
      <c r="F693" s="110"/>
      <c r="G693" s="93"/>
      <c r="H693" s="93"/>
      <c r="I693" s="93"/>
      <c r="J693" s="93"/>
      <c r="K693" s="93"/>
      <c r="L693" s="93"/>
      <c r="M693" s="93"/>
      <c r="N693" s="93"/>
      <c r="O693" s="93"/>
      <c r="P693" s="93"/>
      <c r="Q693" s="93"/>
      <c r="R693" s="93"/>
      <c r="S693" s="93"/>
      <c r="T693" s="93"/>
      <c r="U693" s="93"/>
      <c r="V693" s="93"/>
      <c r="W693" s="93"/>
      <c r="X693" s="93"/>
      <c r="Y693" s="93"/>
      <c r="Z693" s="93"/>
    </row>
    <row r="694" ht="14.25" customHeight="1">
      <c r="A694" s="93"/>
      <c r="B694" s="93"/>
      <c r="C694" s="93"/>
      <c r="D694" s="93"/>
      <c r="E694" s="110"/>
      <c r="F694" s="110"/>
      <c r="G694" s="93"/>
      <c r="H694" s="93"/>
      <c r="I694" s="93"/>
      <c r="J694" s="93"/>
      <c r="K694" s="93"/>
      <c r="L694" s="93"/>
      <c r="M694" s="93"/>
      <c r="N694" s="93"/>
      <c r="O694" s="93"/>
      <c r="P694" s="93"/>
      <c r="Q694" s="93"/>
      <c r="R694" s="93"/>
      <c r="S694" s="93"/>
      <c r="T694" s="93"/>
      <c r="U694" s="93"/>
      <c r="V694" s="93"/>
      <c r="W694" s="93"/>
      <c r="X694" s="93"/>
      <c r="Y694" s="93"/>
      <c r="Z694" s="93"/>
    </row>
    <row r="695" ht="14.25" customHeight="1">
      <c r="A695" s="93"/>
      <c r="B695" s="93"/>
      <c r="C695" s="93"/>
      <c r="D695" s="93"/>
      <c r="E695" s="110"/>
      <c r="F695" s="110"/>
      <c r="G695" s="93"/>
      <c r="H695" s="93"/>
      <c r="I695" s="93"/>
      <c r="J695" s="93"/>
      <c r="K695" s="93"/>
      <c r="L695" s="93"/>
      <c r="M695" s="93"/>
      <c r="N695" s="93"/>
      <c r="O695" s="93"/>
      <c r="P695" s="93"/>
      <c r="Q695" s="93"/>
      <c r="R695" s="93"/>
      <c r="S695" s="93"/>
      <c r="T695" s="93"/>
      <c r="U695" s="93"/>
      <c r="V695" s="93"/>
      <c r="W695" s="93"/>
      <c r="X695" s="93"/>
      <c r="Y695" s="93"/>
      <c r="Z695" s="93"/>
    </row>
    <row r="696" ht="14.25" customHeight="1">
      <c r="A696" s="93"/>
      <c r="B696" s="93"/>
      <c r="C696" s="93"/>
      <c r="D696" s="93"/>
      <c r="E696" s="110"/>
      <c r="F696" s="110"/>
      <c r="G696" s="93"/>
      <c r="H696" s="93"/>
      <c r="I696" s="93"/>
      <c r="J696" s="93"/>
      <c r="K696" s="93"/>
      <c r="L696" s="93"/>
      <c r="M696" s="93"/>
      <c r="N696" s="93"/>
      <c r="O696" s="93"/>
      <c r="P696" s="93"/>
      <c r="Q696" s="93"/>
      <c r="R696" s="93"/>
      <c r="S696" s="93"/>
      <c r="T696" s="93"/>
      <c r="U696" s="93"/>
      <c r="V696" s="93"/>
      <c r="W696" s="93"/>
      <c r="X696" s="93"/>
      <c r="Y696" s="93"/>
      <c r="Z696" s="93"/>
    </row>
    <row r="697" ht="14.25" customHeight="1">
      <c r="A697" s="93"/>
      <c r="B697" s="93"/>
      <c r="C697" s="93"/>
      <c r="D697" s="93"/>
      <c r="E697" s="110"/>
      <c r="F697" s="110"/>
      <c r="G697" s="93"/>
      <c r="H697" s="93"/>
      <c r="I697" s="93"/>
      <c r="J697" s="93"/>
      <c r="K697" s="93"/>
      <c r="L697" s="93"/>
      <c r="M697" s="93"/>
      <c r="N697" s="93"/>
      <c r="O697" s="93"/>
      <c r="P697" s="93"/>
      <c r="Q697" s="93"/>
      <c r="R697" s="93"/>
      <c r="S697" s="93"/>
      <c r="T697" s="93"/>
      <c r="U697" s="93"/>
      <c r="V697" s="93"/>
      <c r="W697" s="93"/>
      <c r="X697" s="93"/>
      <c r="Y697" s="93"/>
      <c r="Z697" s="93"/>
    </row>
    <row r="698" ht="14.25" customHeight="1">
      <c r="A698" s="93"/>
      <c r="B698" s="93"/>
      <c r="C698" s="93"/>
      <c r="D698" s="93"/>
      <c r="E698" s="110"/>
      <c r="F698" s="110"/>
      <c r="G698" s="93"/>
      <c r="H698" s="93"/>
      <c r="I698" s="93"/>
      <c r="J698" s="93"/>
      <c r="K698" s="93"/>
      <c r="L698" s="93"/>
      <c r="M698" s="93"/>
      <c r="N698" s="93"/>
      <c r="O698" s="93"/>
      <c r="P698" s="93"/>
      <c r="Q698" s="93"/>
      <c r="R698" s="93"/>
      <c r="S698" s="93"/>
      <c r="T698" s="93"/>
      <c r="U698" s="93"/>
      <c r="V698" s="93"/>
      <c r="W698" s="93"/>
      <c r="X698" s="93"/>
      <c r="Y698" s="93"/>
      <c r="Z698" s="93"/>
    </row>
    <row r="699" ht="14.25" customHeight="1">
      <c r="A699" s="93"/>
      <c r="B699" s="93"/>
      <c r="C699" s="93"/>
      <c r="D699" s="93"/>
      <c r="E699" s="110"/>
      <c r="F699" s="110"/>
      <c r="G699" s="93"/>
      <c r="H699" s="93"/>
      <c r="I699" s="93"/>
      <c r="J699" s="93"/>
      <c r="K699" s="93"/>
      <c r="L699" s="93"/>
      <c r="M699" s="93"/>
      <c r="N699" s="93"/>
      <c r="O699" s="93"/>
      <c r="P699" s="93"/>
      <c r="Q699" s="93"/>
      <c r="R699" s="93"/>
      <c r="S699" s="93"/>
      <c r="T699" s="93"/>
      <c r="U699" s="93"/>
      <c r="V699" s="93"/>
      <c r="W699" s="93"/>
      <c r="X699" s="93"/>
      <c r="Y699" s="93"/>
      <c r="Z699" s="93"/>
    </row>
    <row r="700" ht="14.25" customHeight="1">
      <c r="A700" s="93"/>
      <c r="B700" s="93"/>
      <c r="C700" s="93"/>
      <c r="D700" s="93"/>
      <c r="E700" s="110"/>
      <c r="F700" s="110"/>
      <c r="G700" s="93"/>
      <c r="H700" s="93"/>
      <c r="I700" s="93"/>
      <c r="J700" s="93"/>
      <c r="K700" s="93"/>
      <c r="L700" s="93"/>
      <c r="M700" s="93"/>
      <c r="N700" s="93"/>
      <c r="O700" s="93"/>
      <c r="P700" s="93"/>
      <c r="Q700" s="93"/>
      <c r="R700" s="93"/>
      <c r="S700" s="93"/>
      <c r="T700" s="93"/>
      <c r="U700" s="93"/>
      <c r="V700" s="93"/>
      <c r="W700" s="93"/>
      <c r="X700" s="93"/>
      <c r="Y700" s="93"/>
      <c r="Z700" s="93"/>
    </row>
    <row r="701" ht="14.25" customHeight="1">
      <c r="A701" s="93"/>
      <c r="B701" s="93"/>
      <c r="C701" s="93"/>
      <c r="D701" s="93"/>
      <c r="E701" s="110"/>
      <c r="F701" s="110"/>
      <c r="G701" s="93"/>
      <c r="H701" s="93"/>
      <c r="I701" s="93"/>
      <c r="J701" s="93"/>
      <c r="K701" s="93"/>
      <c r="L701" s="93"/>
      <c r="M701" s="93"/>
      <c r="N701" s="93"/>
      <c r="O701" s="93"/>
      <c r="P701" s="93"/>
      <c r="Q701" s="93"/>
      <c r="R701" s="93"/>
      <c r="S701" s="93"/>
      <c r="T701" s="93"/>
      <c r="U701" s="93"/>
      <c r="V701" s="93"/>
      <c r="W701" s="93"/>
      <c r="X701" s="93"/>
      <c r="Y701" s="93"/>
      <c r="Z701" s="93"/>
    </row>
    <row r="702" ht="14.25" customHeight="1">
      <c r="A702" s="93"/>
      <c r="B702" s="93"/>
      <c r="C702" s="93"/>
      <c r="D702" s="93"/>
      <c r="E702" s="110"/>
      <c r="F702" s="110"/>
      <c r="G702" s="93"/>
      <c r="H702" s="93"/>
      <c r="I702" s="93"/>
      <c r="J702" s="93"/>
      <c r="K702" s="93"/>
      <c r="L702" s="93"/>
      <c r="M702" s="93"/>
      <c r="N702" s="93"/>
      <c r="O702" s="93"/>
      <c r="P702" s="93"/>
      <c r="Q702" s="93"/>
      <c r="R702" s="93"/>
      <c r="S702" s="93"/>
      <c r="T702" s="93"/>
      <c r="U702" s="93"/>
      <c r="V702" s="93"/>
      <c r="W702" s="93"/>
      <c r="X702" s="93"/>
      <c r="Y702" s="93"/>
      <c r="Z702" s="93"/>
    </row>
    <row r="703" ht="14.25" customHeight="1">
      <c r="A703" s="93"/>
      <c r="B703" s="93"/>
      <c r="C703" s="93"/>
      <c r="D703" s="93"/>
      <c r="E703" s="110"/>
      <c r="F703" s="110"/>
      <c r="G703" s="93"/>
      <c r="H703" s="93"/>
      <c r="I703" s="93"/>
      <c r="J703" s="93"/>
      <c r="K703" s="93"/>
      <c r="L703" s="93"/>
      <c r="M703" s="93"/>
      <c r="N703" s="93"/>
      <c r="O703" s="93"/>
      <c r="P703" s="93"/>
      <c r="Q703" s="93"/>
      <c r="R703" s="93"/>
      <c r="S703" s="93"/>
      <c r="T703" s="93"/>
      <c r="U703" s="93"/>
      <c r="V703" s="93"/>
      <c r="W703" s="93"/>
      <c r="X703" s="93"/>
      <c r="Y703" s="93"/>
      <c r="Z703" s="93"/>
    </row>
    <row r="704" ht="14.25" customHeight="1">
      <c r="A704" s="93"/>
      <c r="B704" s="93"/>
      <c r="C704" s="93"/>
      <c r="D704" s="93"/>
      <c r="E704" s="110"/>
      <c r="F704" s="110"/>
      <c r="G704" s="93"/>
      <c r="H704" s="93"/>
      <c r="I704" s="93"/>
      <c r="J704" s="93"/>
      <c r="K704" s="93"/>
      <c r="L704" s="93"/>
      <c r="M704" s="93"/>
      <c r="N704" s="93"/>
      <c r="O704" s="93"/>
      <c r="P704" s="93"/>
      <c r="Q704" s="93"/>
      <c r="R704" s="93"/>
      <c r="S704" s="93"/>
      <c r="T704" s="93"/>
      <c r="U704" s="93"/>
      <c r="V704" s="93"/>
      <c r="W704" s="93"/>
      <c r="X704" s="93"/>
      <c r="Y704" s="93"/>
      <c r="Z704" s="93"/>
    </row>
    <row r="705" ht="14.25" customHeight="1">
      <c r="A705" s="93"/>
      <c r="B705" s="93"/>
      <c r="C705" s="93"/>
      <c r="D705" s="93"/>
      <c r="E705" s="110"/>
      <c r="F705" s="110"/>
      <c r="G705" s="93"/>
      <c r="H705" s="93"/>
      <c r="I705" s="93"/>
      <c r="J705" s="93"/>
      <c r="K705" s="93"/>
      <c r="L705" s="93"/>
      <c r="M705" s="93"/>
      <c r="N705" s="93"/>
      <c r="O705" s="93"/>
      <c r="P705" s="93"/>
      <c r="Q705" s="93"/>
      <c r="R705" s="93"/>
      <c r="S705" s="93"/>
      <c r="T705" s="93"/>
      <c r="U705" s="93"/>
      <c r="V705" s="93"/>
      <c r="W705" s="93"/>
      <c r="X705" s="93"/>
      <c r="Y705" s="93"/>
      <c r="Z705" s="93"/>
    </row>
    <row r="706" ht="14.25" customHeight="1">
      <c r="A706" s="93"/>
      <c r="B706" s="93"/>
      <c r="C706" s="93"/>
      <c r="D706" s="93"/>
      <c r="E706" s="110"/>
      <c r="F706" s="110"/>
      <c r="G706" s="93"/>
      <c r="H706" s="93"/>
      <c r="I706" s="93"/>
      <c r="J706" s="93"/>
      <c r="K706" s="93"/>
      <c r="L706" s="93"/>
      <c r="M706" s="93"/>
      <c r="N706" s="93"/>
      <c r="O706" s="93"/>
      <c r="P706" s="93"/>
      <c r="Q706" s="93"/>
      <c r="R706" s="93"/>
      <c r="S706" s="93"/>
      <c r="T706" s="93"/>
      <c r="U706" s="93"/>
      <c r="V706" s="93"/>
      <c r="W706" s="93"/>
      <c r="X706" s="93"/>
      <c r="Y706" s="93"/>
      <c r="Z706" s="93"/>
    </row>
    <row r="707" ht="14.25" customHeight="1">
      <c r="A707" s="93"/>
      <c r="B707" s="93"/>
      <c r="C707" s="93"/>
      <c r="D707" s="93"/>
      <c r="E707" s="110"/>
      <c r="F707" s="110"/>
      <c r="G707" s="93"/>
      <c r="H707" s="93"/>
      <c r="I707" s="93"/>
      <c r="J707" s="93"/>
      <c r="K707" s="93"/>
      <c r="L707" s="93"/>
      <c r="M707" s="93"/>
      <c r="N707" s="93"/>
      <c r="O707" s="93"/>
      <c r="P707" s="93"/>
      <c r="Q707" s="93"/>
      <c r="R707" s="93"/>
      <c r="S707" s="93"/>
      <c r="T707" s="93"/>
      <c r="U707" s="93"/>
      <c r="V707" s="93"/>
      <c r="W707" s="93"/>
      <c r="X707" s="93"/>
      <c r="Y707" s="93"/>
      <c r="Z707" s="93"/>
    </row>
    <row r="708" ht="14.25" customHeight="1">
      <c r="A708" s="93"/>
      <c r="B708" s="93"/>
      <c r="C708" s="93"/>
      <c r="D708" s="93"/>
      <c r="E708" s="110"/>
      <c r="F708" s="110"/>
      <c r="G708" s="93"/>
      <c r="H708" s="93"/>
      <c r="I708" s="93"/>
      <c r="J708" s="93"/>
      <c r="K708" s="93"/>
      <c r="L708" s="93"/>
      <c r="M708" s="93"/>
      <c r="N708" s="93"/>
      <c r="O708" s="93"/>
      <c r="P708" s="93"/>
      <c r="Q708" s="93"/>
      <c r="R708" s="93"/>
      <c r="S708" s="93"/>
      <c r="T708" s="93"/>
      <c r="U708" s="93"/>
      <c r="V708" s="93"/>
      <c r="W708" s="93"/>
      <c r="X708" s="93"/>
      <c r="Y708" s="93"/>
      <c r="Z708" s="93"/>
    </row>
    <row r="709" ht="14.25" customHeight="1">
      <c r="A709" s="93"/>
      <c r="B709" s="93"/>
      <c r="C709" s="93"/>
      <c r="D709" s="93"/>
      <c r="E709" s="110"/>
      <c r="F709" s="110"/>
      <c r="G709" s="93"/>
      <c r="H709" s="93"/>
      <c r="I709" s="93"/>
      <c r="J709" s="93"/>
      <c r="K709" s="93"/>
      <c r="L709" s="93"/>
      <c r="M709" s="93"/>
      <c r="N709" s="93"/>
      <c r="O709" s="93"/>
      <c r="P709" s="93"/>
      <c r="Q709" s="93"/>
      <c r="R709" s="93"/>
      <c r="S709" s="93"/>
      <c r="T709" s="93"/>
      <c r="U709" s="93"/>
      <c r="V709" s="93"/>
      <c r="W709" s="93"/>
      <c r="X709" s="93"/>
      <c r="Y709" s="93"/>
      <c r="Z709" s="93"/>
    </row>
    <row r="710" ht="14.25" customHeight="1">
      <c r="A710" s="93"/>
      <c r="B710" s="93"/>
      <c r="C710" s="93"/>
      <c r="D710" s="93"/>
      <c r="E710" s="110"/>
      <c r="F710" s="110"/>
      <c r="G710" s="93"/>
      <c r="H710" s="93"/>
      <c r="I710" s="93"/>
      <c r="J710" s="93"/>
      <c r="K710" s="93"/>
      <c r="L710" s="93"/>
      <c r="M710" s="93"/>
      <c r="N710" s="93"/>
      <c r="O710" s="93"/>
      <c r="P710" s="93"/>
      <c r="Q710" s="93"/>
      <c r="R710" s="93"/>
      <c r="S710" s="93"/>
      <c r="T710" s="93"/>
      <c r="U710" s="93"/>
      <c r="V710" s="93"/>
      <c r="W710" s="93"/>
      <c r="X710" s="93"/>
      <c r="Y710" s="93"/>
      <c r="Z710" s="93"/>
    </row>
    <row r="711" ht="14.25" customHeight="1">
      <c r="A711" s="93"/>
      <c r="B711" s="93"/>
      <c r="C711" s="93"/>
      <c r="D711" s="93"/>
      <c r="E711" s="110"/>
      <c r="F711" s="110"/>
      <c r="G711" s="93"/>
      <c r="H711" s="93"/>
      <c r="I711" s="93"/>
      <c r="J711" s="93"/>
      <c r="K711" s="93"/>
      <c r="L711" s="93"/>
      <c r="M711" s="93"/>
      <c r="N711" s="93"/>
      <c r="O711" s="93"/>
      <c r="P711" s="93"/>
      <c r="Q711" s="93"/>
      <c r="R711" s="93"/>
      <c r="S711" s="93"/>
      <c r="T711" s="93"/>
      <c r="U711" s="93"/>
      <c r="V711" s="93"/>
      <c r="W711" s="93"/>
      <c r="X711" s="93"/>
      <c r="Y711" s="93"/>
      <c r="Z711" s="93"/>
    </row>
    <row r="712" ht="14.25" customHeight="1">
      <c r="A712" s="93"/>
      <c r="B712" s="93"/>
      <c r="C712" s="93"/>
      <c r="D712" s="93"/>
      <c r="E712" s="110"/>
      <c r="F712" s="110"/>
      <c r="G712" s="93"/>
      <c r="H712" s="93"/>
      <c r="I712" s="93"/>
      <c r="J712" s="93"/>
      <c r="K712" s="93"/>
      <c r="L712" s="93"/>
      <c r="M712" s="93"/>
      <c r="N712" s="93"/>
      <c r="O712" s="93"/>
      <c r="P712" s="93"/>
      <c r="Q712" s="93"/>
      <c r="R712" s="93"/>
      <c r="S712" s="93"/>
      <c r="T712" s="93"/>
      <c r="U712" s="93"/>
      <c r="V712" s="93"/>
      <c r="W712" s="93"/>
      <c r="X712" s="93"/>
      <c r="Y712" s="93"/>
      <c r="Z712" s="93"/>
    </row>
    <row r="713" ht="14.25" customHeight="1">
      <c r="A713" s="93"/>
      <c r="B713" s="93"/>
      <c r="C713" s="93"/>
      <c r="D713" s="93"/>
      <c r="E713" s="110"/>
      <c r="F713" s="110"/>
      <c r="G713" s="93"/>
      <c r="H713" s="93"/>
      <c r="I713" s="93"/>
      <c r="J713" s="93"/>
      <c r="K713" s="93"/>
      <c r="L713" s="93"/>
      <c r="M713" s="93"/>
      <c r="N713" s="93"/>
      <c r="O713" s="93"/>
      <c r="P713" s="93"/>
      <c r="Q713" s="93"/>
      <c r="R713" s="93"/>
      <c r="S713" s="93"/>
      <c r="T713" s="93"/>
      <c r="U713" s="93"/>
      <c r="V713" s="93"/>
      <c r="W713" s="93"/>
      <c r="X713" s="93"/>
      <c r="Y713" s="93"/>
      <c r="Z713" s="93"/>
    </row>
    <row r="714" ht="14.25" customHeight="1">
      <c r="A714" s="93"/>
      <c r="B714" s="93"/>
      <c r="C714" s="93"/>
      <c r="D714" s="93"/>
      <c r="E714" s="110"/>
      <c r="F714" s="110"/>
      <c r="G714" s="93"/>
      <c r="H714" s="93"/>
      <c r="I714" s="93"/>
      <c r="J714" s="93"/>
      <c r="K714" s="93"/>
      <c r="L714" s="93"/>
      <c r="M714" s="93"/>
      <c r="N714" s="93"/>
      <c r="O714" s="93"/>
      <c r="P714" s="93"/>
      <c r="Q714" s="93"/>
      <c r="R714" s="93"/>
      <c r="S714" s="93"/>
      <c r="T714" s="93"/>
      <c r="U714" s="93"/>
      <c r="V714" s="93"/>
      <c r="W714" s="93"/>
      <c r="X714" s="93"/>
      <c r="Y714" s="93"/>
      <c r="Z714" s="93"/>
    </row>
    <row r="715" ht="14.25" customHeight="1">
      <c r="A715" s="93"/>
      <c r="B715" s="93"/>
      <c r="C715" s="93"/>
      <c r="D715" s="93"/>
      <c r="E715" s="110"/>
      <c r="F715" s="110"/>
      <c r="G715" s="93"/>
      <c r="H715" s="93"/>
      <c r="I715" s="93"/>
      <c r="J715" s="93"/>
      <c r="K715" s="93"/>
      <c r="L715" s="93"/>
      <c r="M715" s="93"/>
      <c r="N715" s="93"/>
      <c r="O715" s="93"/>
      <c r="P715" s="93"/>
      <c r="Q715" s="93"/>
      <c r="R715" s="93"/>
      <c r="S715" s="93"/>
      <c r="T715" s="93"/>
      <c r="U715" s="93"/>
      <c r="V715" s="93"/>
      <c r="W715" s="93"/>
      <c r="X715" s="93"/>
      <c r="Y715" s="93"/>
      <c r="Z715" s="93"/>
    </row>
    <row r="716" ht="14.25" customHeight="1">
      <c r="A716" s="93"/>
      <c r="B716" s="93"/>
      <c r="C716" s="93"/>
      <c r="D716" s="93"/>
      <c r="E716" s="110"/>
      <c r="F716" s="110"/>
      <c r="G716" s="93"/>
      <c r="H716" s="93"/>
      <c r="I716" s="93"/>
      <c r="J716" s="93"/>
      <c r="K716" s="93"/>
      <c r="L716" s="93"/>
      <c r="M716" s="93"/>
      <c r="N716" s="93"/>
      <c r="O716" s="93"/>
      <c r="P716" s="93"/>
      <c r="Q716" s="93"/>
      <c r="R716" s="93"/>
      <c r="S716" s="93"/>
      <c r="T716" s="93"/>
      <c r="U716" s="93"/>
      <c r="V716" s="93"/>
      <c r="W716" s="93"/>
      <c r="X716" s="93"/>
      <c r="Y716" s="93"/>
      <c r="Z716" s="93"/>
    </row>
    <row r="717" ht="14.25" customHeight="1">
      <c r="A717" s="93"/>
      <c r="B717" s="93"/>
      <c r="C717" s="93"/>
      <c r="D717" s="93"/>
      <c r="E717" s="110"/>
      <c r="F717" s="110"/>
      <c r="G717" s="93"/>
      <c r="H717" s="93"/>
      <c r="I717" s="93"/>
      <c r="J717" s="93"/>
      <c r="K717" s="93"/>
      <c r="L717" s="93"/>
      <c r="M717" s="93"/>
      <c r="N717" s="93"/>
      <c r="O717" s="93"/>
      <c r="P717" s="93"/>
      <c r="Q717" s="93"/>
      <c r="R717" s="93"/>
      <c r="S717" s="93"/>
      <c r="T717" s="93"/>
      <c r="U717" s="93"/>
      <c r="V717" s="93"/>
      <c r="W717" s="93"/>
      <c r="X717" s="93"/>
      <c r="Y717" s="93"/>
      <c r="Z717" s="93"/>
    </row>
    <row r="718" ht="14.25" customHeight="1">
      <c r="A718" s="93"/>
      <c r="B718" s="93"/>
      <c r="C718" s="93"/>
      <c r="D718" s="93"/>
      <c r="E718" s="110"/>
      <c r="F718" s="110"/>
      <c r="G718" s="93"/>
      <c r="H718" s="93"/>
      <c r="I718" s="93"/>
      <c r="J718" s="93"/>
      <c r="K718" s="93"/>
      <c r="L718" s="93"/>
      <c r="M718" s="93"/>
      <c r="N718" s="93"/>
      <c r="O718" s="93"/>
      <c r="P718" s="93"/>
      <c r="Q718" s="93"/>
      <c r="R718" s="93"/>
      <c r="S718" s="93"/>
      <c r="T718" s="93"/>
      <c r="U718" s="93"/>
      <c r="V718" s="93"/>
      <c r="W718" s="93"/>
      <c r="X718" s="93"/>
      <c r="Y718" s="93"/>
      <c r="Z718" s="93"/>
    </row>
    <row r="719" ht="14.25" customHeight="1">
      <c r="A719" s="93"/>
      <c r="B719" s="93"/>
      <c r="C719" s="93"/>
      <c r="D719" s="93"/>
      <c r="E719" s="110"/>
      <c r="F719" s="110"/>
      <c r="G719" s="93"/>
      <c r="H719" s="93"/>
      <c r="I719" s="93"/>
      <c r="J719" s="93"/>
      <c r="K719" s="93"/>
      <c r="L719" s="93"/>
      <c r="M719" s="93"/>
      <c r="N719" s="93"/>
      <c r="O719" s="93"/>
      <c r="P719" s="93"/>
      <c r="Q719" s="93"/>
      <c r="R719" s="93"/>
      <c r="S719" s="93"/>
      <c r="T719" s="93"/>
      <c r="U719" s="93"/>
      <c r="V719" s="93"/>
      <c r="W719" s="93"/>
      <c r="X719" s="93"/>
      <c r="Y719" s="93"/>
      <c r="Z719" s="93"/>
    </row>
    <row r="720" ht="14.25" customHeight="1">
      <c r="A720" s="93"/>
      <c r="B720" s="93"/>
      <c r="C720" s="93"/>
      <c r="D720" s="93"/>
      <c r="E720" s="110"/>
      <c r="F720" s="110"/>
      <c r="G720" s="93"/>
      <c r="H720" s="93"/>
      <c r="I720" s="93"/>
      <c r="J720" s="93"/>
      <c r="K720" s="93"/>
      <c r="L720" s="93"/>
      <c r="M720" s="93"/>
      <c r="N720" s="93"/>
      <c r="O720" s="93"/>
      <c r="P720" s="93"/>
      <c r="Q720" s="93"/>
      <c r="R720" s="93"/>
      <c r="S720" s="93"/>
      <c r="T720" s="93"/>
      <c r="U720" s="93"/>
      <c r="V720" s="93"/>
      <c r="W720" s="93"/>
      <c r="X720" s="93"/>
      <c r="Y720" s="93"/>
      <c r="Z720" s="93"/>
    </row>
    <row r="721" ht="14.25" customHeight="1">
      <c r="A721" s="93"/>
      <c r="B721" s="93"/>
      <c r="C721" s="93"/>
      <c r="D721" s="93"/>
      <c r="E721" s="110"/>
      <c r="F721" s="110"/>
      <c r="G721" s="93"/>
      <c r="H721" s="93"/>
      <c r="I721" s="93"/>
      <c r="J721" s="93"/>
      <c r="K721" s="93"/>
      <c r="L721" s="93"/>
      <c r="M721" s="93"/>
      <c r="N721" s="93"/>
      <c r="O721" s="93"/>
      <c r="P721" s="93"/>
      <c r="Q721" s="93"/>
      <c r="R721" s="93"/>
      <c r="S721" s="93"/>
      <c r="T721" s="93"/>
      <c r="U721" s="93"/>
      <c r="V721" s="93"/>
      <c r="W721" s="93"/>
      <c r="X721" s="93"/>
      <c r="Y721" s="93"/>
      <c r="Z721" s="93"/>
    </row>
    <row r="722" ht="14.25" customHeight="1">
      <c r="A722" s="93"/>
      <c r="B722" s="93"/>
      <c r="C722" s="93"/>
      <c r="D722" s="93"/>
      <c r="E722" s="110"/>
      <c r="F722" s="110"/>
      <c r="G722" s="93"/>
      <c r="H722" s="93"/>
      <c r="I722" s="93"/>
      <c r="J722" s="93"/>
      <c r="K722" s="93"/>
      <c r="L722" s="93"/>
      <c r="M722" s="93"/>
      <c r="N722" s="93"/>
      <c r="O722" s="93"/>
      <c r="P722" s="93"/>
      <c r="Q722" s="93"/>
      <c r="R722" s="93"/>
      <c r="S722" s="93"/>
      <c r="T722" s="93"/>
      <c r="U722" s="93"/>
      <c r="V722" s="93"/>
      <c r="W722" s="93"/>
      <c r="X722" s="93"/>
      <c r="Y722" s="93"/>
      <c r="Z722" s="93"/>
    </row>
    <row r="723" ht="14.25" customHeight="1">
      <c r="A723" s="93"/>
      <c r="B723" s="93"/>
      <c r="C723" s="93"/>
      <c r="D723" s="93"/>
      <c r="E723" s="110"/>
      <c r="F723" s="110"/>
      <c r="G723" s="93"/>
      <c r="H723" s="93"/>
      <c r="I723" s="93"/>
      <c r="J723" s="93"/>
      <c r="K723" s="93"/>
      <c r="L723" s="93"/>
      <c r="M723" s="93"/>
      <c r="N723" s="93"/>
      <c r="O723" s="93"/>
      <c r="P723" s="93"/>
      <c r="Q723" s="93"/>
      <c r="R723" s="93"/>
      <c r="S723" s="93"/>
      <c r="T723" s="93"/>
      <c r="U723" s="93"/>
      <c r="V723" s="93"/>
      <c r="W723" s="93"/>
      <c r="X723" s="93"/>
      <c r="Y723" s="93"/>
      <c r="Z723" s="93"/>
    </row>
    <row r="724" ht="14.25" customHeight="1">
      <c r="A724" s="93"/>
      <c r="B724" s="93"/>
      <c r="C724" s="93"/>
      <c r="D724" s="93"/>
      <c r="E724" s="110"/>
      <c r="F724" s="110"/>
      <c r="G724" s="93"/>
      <c r="H724" s="93"/>
      <c r="I724" s="93"/>
      <c r="J724" s="93"/>
      <c r="K724" s="93"/>
      <c r="L724" s="93"/>
      <c r="M724" s="93"/>
      <c r="N724" s="93"/>
      <c r="O724" s="93"/>
      <c r="P724" s="93"/>
      <c r="Q724" s="93"/>
      <c r="R724" s="93"/>
      <c r="S724" s="93"/>
      <c r="T724" s="93"/>
      <c r="U724" s="93"/>
      <c r="V724" s="93"/>
      <c r="W724" s="93"/>
      <c r="X724" s="93"/>
      <c r="Y724" s="93"/>
      <c r="Z724" s="93"/>
    </row>
    <row r="725" ht="14.25" customHeight="1">
      <c r="A725" s="93"/>
      <c r="B725" s="93"/>
      <c r="C725" s="93"/>
      <c r="D725" s="93"/>
      <c r="E725" s="110"/>
      <c r="F725" s="110"/>
      <c r="G725" s="93"/>
      <c r="H725" s="93"/>
      <c r="I725" s="93"/>
      <c r="J725" s="93"/>
      <c r="K725" s="93"/>
      <c r="L725" s="93"/>
      <c r="M725" s="93"/>
      <c r="N725" s="93"/>
      <c r="O725" s="93"/>
      <c r="P725" s="93"/>
      <c r="Q725" s="93"/>
      <c r="R725" s="93"/>
      <c r="S725" s="93"/>
      <c r="T725" s="93"/>
      <c r="U725" s="93"/>
      <c r="V725" s="93"/>
      <c r="W725" s="93"/>
      <c r="X725" s="93"/>
      <c r="Y725" s="93"/>
      <c r="Z725" s="93"/>
    </row>
    <row r="726" ht="14.25" customHeight="1">
      <c r="A726" s="93"/>
      <c r="B726" s="93"/>
      <c r="C726" s="93"/>
      <c r="D726" s="93"/>
      <c r="E726" s="110"/>
      <c r="F726" s="110"/>
      <c r="G726" s="93"/>
      <c r="H726" s="93"/>
      <c r="I726" s="93"/>
      <c r="J726" s="93"/>
      <c r="K726" s="93"/>
      <c r="L726" s="93"/>
      <c r="M726" s="93"/>
      <c r="N726" s="93"/>
      <c r="O726" s="93"/>
      <c r="P726" s="93"/>
      <c r="Q726" s="93"/>
      <c r="R726" s="93"/>
      <c r="S726" s="93"/>
      <c r="T726" s="93"/>
      <c r="U726" s="93"/>
      <c r="V726" s="93"/>
      <c r="W726" s="93"/>
      <c r="X726" s="93"/>
      <c r="Y726" s="93"/>
      <c r="Z726" s="93"/>
    </row>
    <row r="727" ht="14.25" customHeight="1">
      <c r="A727" s="93"/>
      <c r="B727" s="93"/>
      <c r="C727" s="93"/>
      <c r="D727" s="93"/>
      <c r="E727" s="110"/>
      <c r="F727" s="110"/>
      <c r="G727" s="93"/>
      <c r="H727" s="93"/>
      <c r="I727" s="93"/>
      <c r="J727" s="93"/>
      <c r="K727" s="93"/>
      <c r="L727" s="93"/>
      <c r="M727" s="93"/>
      <c r="N727" s="93"/>
      <c r="O727" s="93"/>
      <c r="P727" s="93"/>
      <c r="Q727" s="93"/>
      <c r="R727" s="93"/>
      <c r="S727" s="93"/>
      <c r="T727" s="93"/>
      <c r="U727" s="93"/>
      <c r="V727" s="93"/>
      <c r="W727" s="93"/>
      <c r="X727" s="93"/>
      <c r="Y727" s="93"/>
      <c r="Z727" s="93"/>
    </row>
    <row r="728" ht="14.25" customHeight="1">
      <c r="A728" s="93"/>
      <c r="B728" s="93"/>
      <c r="C728" s="93"/>
      <c r="D728" s="93"/>
      <c r="E728" s="110"/>
      <c r="F728" s="110"/>
      <c r="G728" s="93"/>
      <c r="H728" s="93"/>
      <c r="I728" s="93"/>
      <c r="J728" s="93"/>
      <c r="K728" s="93"/>
      <c r="L728" s="93"/>
      <c r="M728" s="93"/>
      <c r="N728" s="93"/>
      <c r="O728" s="93"/>
      <c r="P728" s="93"/>
      <c r="Q728" s="93"/>
      <c r="R728" s="93"/>
      <c r="S728" s="93"/>
      <c r="T728" s="93"/>
      <c r="U728" s="93"/>
      <c r="V728" s="93"/>
      <c r="W728" s="93"/>
      <c r="X728" s="93"/>
      <c r="Y728" s="93"/>
      <c r="Z728" s="93"/>
    </row>
    <row r="729" ht="14.25" customHeight="1">
      <c r="A729" s="93"/>
      <c r="B729" s="93"/>
      <c r="C729" s="93"/>
      <c r="D729" s="93"/>
      <c r="E729" s="110"/>
      <c r="F729" s="110"/>
      <c r="G729" s="93"/>
      <c r="H729" s="93"/>
      <c r="I729" s="93"/>
      <c r="J729" s="93"/>
      <c r="K729" s="93"/>
      <c r="L729" s="93"/>
      <c r="M729" s="93"/>
      <c r="N729" s="93"/>
      <c r="O729" s="93"/>
      <c r="P729" s="93"/>
      <c r="Q729" s="93"/>
      <c r="R729" s="93"/>
      <c r="S729" s="93"/>
      <c r="T729" s="93"/>
      <c r="U729" s="93"/>
      <c r="V729" s="93"/>
      <c r="W729" s="93"/>
      <c r="X729" s="93"/>
      <c r="Y729" s="93"/>
      <c r="Z729" s="93"/>
    </row>
    <row r="730" ht="14.25" customHeight="1">
      <c r="A730" s="93"/>
      <c r="B730" s="93"/>
      <c r="C730" s="93"/>
      <c r="D730" s="93"/>
      <c r="E730" s="110"/>
      <c r="F730" s="110"/>
      <c r="G730" s="93"/>
      <c r="H730" s="93"/>
      <c r="I730" s="93"/>
      <c r="J730" s="93"/>
      <c r="K730" s="93"/>
      <c r="L730" s="93"/>
      <c r="M730" s="93"/>
      <c r="N730" s="93"/>
      <c r="O730" s="93"/>
      <c r="P730" s="93"/>
      <c r="Q730" s="93"/>
      <c r="R730" s="93"/>
      <c r="S730" s="93"/>
      <c r="T730" s="93"/>
      <c r="U730" s="93"/>
      <c r="V730" s="93"/>
      <c r="W730" s="93"/>
      <c r="X730" s="93"/>
      <c r="Y730" s="93"/>
      <c r="Z730" s="93"/>
    </row>
    <row r="731" ht="14.25" customHeight="1">
      <c r="A731" s="93"/>
      <c r="B731" s="93"/>
      <c r="C731" s="93"/>
      <c r="D731" s="93"/>
      <c r="E731" s="110"/>
      <c r="F731" s="110"/>
      <c r="G731" s="93"/>
      <c r="H731" s="93"/>
      <c r="I731" s="93"/>
      <c r="J731" s="93"/>
      <c r="K731" s="93"/>
      <c r="L731" s="93"/>
      <c r="M731" s="93"/>
      <c r="N731" s="93"/>
      <c r="O731" s="93"/>
      <c r="P731" s="93"/>
      <c r="Q731" s="93"/>
      <c r="R731" s="93"/>
      <c r="S731" s="93"/>
      <c r="T731" s="93"/>
      <c r="U731" s="93"/>
      <c r="V731" s="93"/>
      <c r="W731" s="93"/>
      <c r="X731" s="93"/>
      <c r="Y731" s="93"/>
      <c r="Z731" s="93"/>
    </row>
    <row r="732" ht="14.25" customHeight="1">
      <c r="A732" s="93"/>
      <c r="B732" s="93"/>
      <c r="C732" s="93"/>
      <c r="D732" s="93"/>
      <c r="E732" s="110"/>
      <c r="F732" s="110"/>
      <c r="G732" s="93"/>
      <c r="H732" s="93"/>
      <c r="I732" s="93"/>
      <c r="J732" s="93"/>
      <c r="K732" s="93"/>
      <c r="L732" s="93"/>
      <c r="M732" s="93"/>
      <c r="N732" s="93"/>
      <c r="O732" s="93"/>
      <c r="P732" s="93"/>
      <c r="Q732" s="93"/>
      <c r="R732" s="93"/>
      <c r="S732" s="93"/>
      <c r="T732" s="93"/>
      <c r="U732" s="93"/>
      <c r="V732" s="93"/>
      <c r="W732" s="93"/>
      <c r="X732" s="93"/>
      <c r="Y732" s="93"/>
      <c r="Z732" s="93"/>
    </row>
    <row r="733" ht="14.25" customHeight="1">
      <c r="A733" s="93"/>
      <c r="B733" s="93"/>
      <c r="C733" s="93"/>
      <c r="D733" s="93"/>
      <c r="E733" s="110"/>
      <c r="F733" s="110"/>
      <c r="G733" s="93"/>
      <c r="H733" s="93"/>
      <c r="I733" s="93"/>
      <c r="J733" s="93"/>
      <c r="K733" s="93"/>
      <c r="L733" s="93"/>
      <c r="M733" s="93"/>
      <c r="N733" s="93"/>
      <c r="O733" s="93"/>
      <c r="P733" s="93"/>
      <c r="Q733" s="93"/>
      <c r="R733" s="93"/>
      <c r="S733" s="93"/>
      <c r="T733" s="93"/>
      <c r="U733" s="93"/>
      <c r="V733" s="93"/>
      <c r="W733" s="93"/>
      <c r="X733" s="93"/>
      <c r="Y733" s="93"/>
      <c r="Z733" s="93"/>
    </row>
    <row r="734" ht="14.25" customHeight="1">
      <c r="A734" s="93"/>
      <c r="B734" s="93"/>
      <c r="C734" s="93"/>
      <c r="D734" s="93"/>
      <c r="E734" s="110"/>
      <c r="F734" s="110"/>
      <c r="G734" s="93"/>
      <c r="H734" s="93"/>
      <c r="I734" s="93"/>
      <c r="J734" s="93"/>
      <c r="K734" s="93"/>
      <c r="L734" s="93"/>
      <c r="M734" s="93"/>
      <c r="N734" s="93"/>
      <c r="O734" s="93"/>
      <c r="P734" s="93"/>
      <c r="Q734" s="93"/>
      <c r="R734" s="93"/>
      <c r="S734" s="93"/>
      <c r="T734" s="93"/>
      <c r="U734" s="93"/>
      <c r="V734" s="93"/>
      <c r="W734" s="93"/>
      <c r="X734" s="93"/>
      <c r="Y734" s="93"/>
      <c r="Z734" s="93"/>
    </row>
    <row r="735" ht="14.25" customHeight="1">
      <c r="A735" s="93"/>
      <c r="B735" s="93"/>
      <c r="C735" s="93"/>
      <c r="D735" s="93"/>
      <c r="E735" s="110"/>
      <c r="F735" s="110"/>
      <c r="G735" s="93"/>
      <c r="H735" s="93"/>
      <c r="I735" s="93"/>
      <c r="J735" s="93"/>
      <c r="K735" s="93"/>
      <c r="L735" s="93"/>
      <c r="M735" s="93"/>
      <c r="N735" s="93"/>
      <c r="O735" s="93"/>
      <c r="P735" s="93"/>
      <c r="Q735" s="93"/>
      <c r="R735" s="93"/>
      <c r="S735" s="93"/>
      <c r="T735" s="93"/>
      <c r="U735" s="93"/>
      <c r="V735" s="93"/>
      <c r="W735" s="93"/>
      <c r="X735" s="93"/>
      <c r="Y735" s="93"/>
      <c r="Z735" s="93"/>
    </row>
    <row r="736" ht="14.25" customHeight="1">
      <c r="A736" s="93"/>
      <c r="B736" s="93"/>
      <c r="C736" s="93"/>
      <c r="D736" s="93"/>
      <c r="E736" s="110"/>
      <c r="F736" s="110"/>
      <c r="G736" s="93"/>
      <c r="H736" s="93"/>
      <c r="I736" s="93"/>
      <c r="J736" s="93"/>
      <c r="K736" s="93"/>
      <c r="L736" s="93"/>
      <c r="M736" s="93"/>
      <c r="N736" s="93"/>
      <c r="O736" s="93"/>
      <c r="P736" s="93"/>
      <c r="Q736" s="93"/>
      <c r="R736" s="93"/>
      <c r="S736" s="93"/>
      <c r="T736" s="93"/>
      <c r="U736" s="93"/>
      <c r="V736" s="93"/>
      <c r="W736" s="93"/>
      <c r="X736" s="93"/>
      <c r="Y736" s="93"/>
      <c r="Z736" s="93"/>
    </row>
    <row r="737" ht="14.25" customHeight="1">
      <c r="A737" s="93"/>
      <c r="B737" s="93"/>
      <c r="C737" s="93"/>
      <c r="D737" s="93"/>
      <c r="E737" s="110"/>
      <c r="F737" s="110"/>
      <c r="G737" s="93"/>
      <c r="H737" s="93"/>
      <c r="I737" s="93"/>
      <c r="J737" s="93"/>
      <c r="K737" s="93"/>
      <c r="L737" s="93"/>
      <c r="M737" s="93"/>
      <c r="N737" s="93"/>
      <c r="O737" s="93"/>
      <c r="P737" s="93"/>
      <c r="Q737" s="93"/>
      <c r="R737" s="93"/>
      <c r="S737" s="93"/>
      <c r="T737" s="93"/>
      <c r="U737" s="93"/>
      <c r="V737" s="93"/>
      <c r="W737" s="93"/>
      <c r="X737" s="93"/>
      <c r="Y737" s="93"/>
      <c r="Z737" s="93"/>
    </row>
    <row r="738" ht="14.25" customHeight="1">
      <c r="A738" s="93"/>
      <c r="B738" s="93"/>
      <c r="C738" s="93"/>
      <c r="D738" s="93"/>
      <c r="E738" s="110"/>
      <c r="F738" s="110"/>
      <c r="G738" s="93"/>
      <c r="H738" s="93"/>
      <c r="I738" s="93"/>
      <c r="J738" s="93"/>
      <c r="K738" s="93"/>
      <c r="L738" s="93"/>
      <c r="M738" s="93"/>
      <c r="N738" s="93"/>
      <c r="O738" s="93"/>
      <c r="P738" s="93"/>
      <c r="Q738" s="93"/>
      <c r="R738" s="93"/>
      <c r="S738" s="93"/>
      <c r="T738" s="93"/>
      <c r="U738" s="93"/>
      <c r="V738" s="93"/>
      <c r="W738" s="93"/>
      <c r="X738" s="93"/>
      <c r="Y738" s="93"/>
      <c r="Z738" s="93"/>
    </row>
    <row r="739" ht="14.25" customHeight="1">
      <c r="A739" s="93"/>
      <c r="B739" s="93"/>
      <c r="C739" s="93"/>
      <c r="D739" s="93"/>
      <c r="E739" s="110"/>
      <c r="F739" s="110"/>
      <c r="G739" s="93"/>
      <c r="H739" s="93"/>
      <c r="I739" s="93"/>
      <c r="J739" s="93"/>
      <c r="K739" s="93"/>
      <c r="L739" s="93"/>
      <c r="M739" s="93"/>
      <c r="N739" s="93"/>
      <c r="O739" s="93"/>
      <c r="P739" s="93"/>
      <c r="Q739" s="93"/>
      <c r="R739" s="93"/>
      <c r="S739" s="93"/>
      <c r="T739" s="93"/>
      <c r="U739" s="93"/>
      <c r="V739" s="93"/>
      <c r="W739" s="93"/>
      <c r="X739" s="93"/>
      <c r="Y739" s="93"/>
      <c r="Z739" s="93"/>
    </row>
    <row r="740" ht="14.25" customHeight="1">
      <c r="A740" s="93"/>
      <c r="B740" s="93"/>
      <c r="C740" s="93"/>
      <c r="D740" s="93"/>
      <c r="E740" s="110"/>
      <c r="F740" s="110"/>
      <c r="G740" s="93"/>
      <c r="H740" s="93"/>
      <c r="I740" s="93"/>
      <c r="J740" s="93"/>
      <c r="K740" s="93"/>
      <c r="L740" s="93"/>
      <c r="M740" s="93"/>
      <c r="N740" s="93"/>
      <c r="O740" s="93"/>
      <c r="P740" s="93"/>
      <c r="Q740" s="93"/>
      <c r="R740" s="93"/>
      <c r="S740" s="93"/>
      <c r="T740" s="93"/>
      <c r="U740" s="93"/>
      <c r="V740" s="93"/>
      <c r="W740" s="93"/>
      <c r="X740" s="93"/>
      <c r="Y740" s="93"/>
      <c r="Z740" s="93"/>
    </row>
    <row r="741" ht="14.25" customHeight="1">
      <c r="A741" s="93"/>
      <c r="B741" s="93"/>
      <c r="C741" s="93"/>
      <c r="D741" s="93"/>
      <c r="E741" s="110"/>
      <c r="F741" s="110"/>
      <c r="G741" s="93"/>
      <c r="H741" s="93"/>
      <c r="I741" s="93"/>
      <c r="J741" s="93"/>
      <c r="K741" s="93"/>
      <c r="L741" s="93"/>
      <c r="M741" s="93"/>
      <c r="N741" s="93"/>
      <c r="O741" s="93"/>
      <c r="P741" s="93"/>
      <c r="Q741" s="93"/>
      <c r="R741" s="93"/>
      <c r="S741" s="93"/>
      <c r="T741" s="93"/>
      <c r="U741" s="93"/>
      <c r="V741" s="93"/>
      <c r="W741" s="93"/>
      <c r="X741" s="93"/>
      <c r="Y741" s="93"/>
      <c r="Z741" s="93"/>
    </row>
    <row r="742" ht="14.25" customHeight="1">
      <c r="A742" s="93"/>
      <c r="B742" s="93"/>
      <c r="C742" s="93"/>
      <c r="D742" s="93"/>
      <c r="E742" s="110"/>
      <c r="F742" s="110"/>
      <c r="G742" s="93"/>
      <c r="H742" s="93"/>
      <c r="I742" s="93"/>
      <c r="J742" s="93"/>
      <c r="K742" s="93"/>
      <c r="L742" s="93"/>
      <c r="M742" s="93"/>
      <c r="N742" s="93"/>
      <c r="O742" s="93"/>
      <c r="P742" s="93"/>
      <c r="Q742" s="93"/>
      <c r="R742" s="93"/>
      <c r="S742" s="93"/>
      <c r="T742" s="93"/>
      <c r="U742" s="93"/>
      <c r="V742" s="93"/>
      <c r="W742" s="93"/>
      <c r="X742" s="93"/>
      <c r="Y742" s="93"/>
      <c r="Z742" s="93"/>
    </row>
    <row r="743" ht="14.25" customHeight="1">
      <c r="A743" s="93"/>
      <c r="B743" s="93"/>
      <c r="C743" s="93"/>
      <c r="D743" s="93"/>
      <c r="E743" s="110"/>
      <c r="F743" s="110"/>
      <c r="G743" s="93"/>
      <c r="H743" s="93"/>
      <c r="I743" s="93"/>
      <c r="J743" s="93"/>
      <c r="K743" s="93"/>
      <c r="L743" s="93"/>
      <c r="M743" s="93"/>
      <c r="N743" s="93"/>
      <c r="O743" s="93"/>
      <c r="P743" s="93"/>
      <c r="Q743" s="93"/>
      <c r="R743" s="93"/>
      <c r="S743" s="93"/>
      <c r="T743" s="93"/>
      <c r="U743" s="93"/>
      <c r="V743" s="93"/>
      <c r="W743" s="93"/>
      <c r="X743" s="93"/>
      <c r="Y743" s="93"/>
      <c r="Z743" s="93"/>
    </row>
    <row r="744" ht="14.25" customHeight="1">
      <c r="A744" s="93"/>
      <c r="B744" s="93"/>
      <c r="C744" s="93"/>
      <c r="D744" s="93"/>
      <c r="E744" s="110"/>
      <c r="F744" s="110"/>
      <c r="G744" s="93"/>
      <c r="H744" s="93"/>
      <c r="I744" s="93"/>
      <c r="J744" s="93"/>
      <c r="K744" s="93"/>
      <c r="L744" s="93"/>
      <c r="M744" s="93"/>
      <c r="N744" s="93"/>
      <c r="O744" s="93"/>
      <c r="P744" s="93"/>
      <c r="Q744" s="93"/>
      <c r="R744" s="93"/>
      <c r="S744" s="93"/>
      <c r="T744" s="93"/>
      <c r="U744" s="93"/>
      <c r="V744" s="93"/>
      <c r="W744" s="93"/>
      <c r="X744" s="93"/>
      <c r="Y744" s="93"/>
      <c r="Z744" s="93"/>
    </row>
    <row r="745" ht="14.25" customHeight="1">
      <c r="A745" s="93"/>
      <c r="B745" s="93"/>
      <c r="C745" s="93"/>
      <c r="D745" s="93"/>
      <c r="E745" s="110"/>
      <c r="F745" s="110"/>
      <c r="G745" s="93"/>
      <c r="H745" s="93"/>
      <c r="I745" s="93"/>
      <c r="J745" s="93"/>
      <c r="K745" s="93"/>
      <c r="L745" s="93"/>
      <c r="M745" s="93"/>
      <c r="N745" s="93"/>
      <c r="O745" s="93"/>
      <c r="P745" s="93"/>
      <c r="Q745" s="93"/>
      <c r="R745" s="93"/>
      <c r="S745" s="93"/>
      <c r="T745" s="93"/>
      <c r="U745" s="93"/>
      <c r="V745" s="93"/>
      <c r="W745" s="93"/>
      <c r="X745" s="93"/>
      <c r="Y745" s="93"/>
      <c r="Z745" s="93"/>
    </row>
    <row r="746" ht="14.25" customHeight="1">
      <c r="A746" s="93"/>
      <c r="B746" s="93"/>
      <c r="C746" s="93"/>
      <c r="D746" s="93"/>
      <c r="E746" s="110"/>
      <c r="F746" s="110"/>
      <c r="G746" s="93"/>
      <c r="H746" s="93"/>
      <c r="I746" s="93"/>
      <c r="J746" s="93"/>
      <c r="K746" s="93"/>
      <c r="L746" s="93"/>
      <c r="M746" s="93"/>
      <c r="N746" s="93"/>
      <c r="O746" s="93"/>
      <c r="P746" s="93"/>
      <c r="Q746" s="93"/>
      <c r="R746" s="93"/>
      <c r="S746" s="93"/>
      <c r="T746" s="93"/>
      <c r="U746" s="93"/>
      <c r="V746" s="93"/>
      <c r="W746" s="93"/>
      <c r="X746" s="93"/>
      <c r="Y746" s="93"/>
      <c r="Z746" s="93"/>
    </row>
    <row r="747" ht="14.25" customHeight="1">
      <c r="A747" s="93"/>
      <c r="B747" s="93"/>
      <c r="C747" s="93"/>
      <c r="D747" s="93"/>
      <c r="E747" s="110"/>
      <c r="F747" s="110"/>
      <c r="G747" s="93"/>
      <c r="H747" s="93"/>
      <c r="I747" s="93"/>
      <c r="J747" s="93"/>
      <c r="K747" s="93"/>
      <c r="L747" s="93"/>
      <c r="M747" s="93"/>
      <c r="N747" s="93"/>
      <c r="O747" s="93"/>
      <c r="P747" s="93"/>
      <c r="Q747" s="93"/>
      <c r="R747" s="93"/>
      <c r="S747" s="93"/>
      <c r="T747" s="93"/>
      <c r="U747" s="93"/>
      <c r="V747" s="93"/>
      <c r="W747" s="93"/>
      <c r="X747" s="93"/>
      <c r="Y747" s="93"/>
      <c r="Z747" s="93"/>
    </row>
    <row r="748" ht="14.25" customHeight="1">
      <c r="A748" s="93"/>
      <c r="B748" s="93"/>
      <c r="C748" s="93"/>
      <c r="D748" s="93"/>
      <c r="E748" s="110"/>
      <c r="F748" s="110"/>
      <c r="G748" s="93"/>
      <c r="H748" s="93"/>
      <c r="I748" s="93"/>
      <c r="J748" s="93"/>
      <c r="K748" s="93"/>
      <c r="L748" s="93"/>
      <c r="M748" s="93"/>
      <c r="N748" s="93"/>
      <c r="O748" s="93"/>
      <c r="P748" s="93"/>
      <c r="Q748" s="93"/>
      <c r="R748" s="93"/>
      <c r="S748" s="93"/>
      <c r="T748" s="93"/>
      <c r="U748" s="93"/>
      <c r="V748" s="93"/>
      <c r="W748" s="93"/>
      <c r="X748" s="93"/>
      <c r="Y748" s="93"/>
      <c r="Z748" s="93"/>
    </row>
    <row r="749" ht="14.25" customHeight="1">
      <c r="A749" s="93"/>
      <c r="B749" s="93"/>
      <c r="C749" s="93"/>
      <c r="D749" s="93"/>
      <c r="E749" s="110"/>
      <c r="F749" s="110"/>
      <c r="G749" s="93"/>
      <c r="H749" s="93"/>
      <c r="I749" s="93"/>
      <c r="J749" s="93"/>
      <c r="K749" s="93"/>
      <c r="L749" s="93"/>
      <c r="M749" s="93"/>
      <c r="N749" s="93"/>
      <c r="O749" s="93"/>
      <c r="P749" s="93"/>
      <c r="Q749" s="93"/>
      <c r="R749" s="93"/>
      <c r="S749" s="93"/>
      <c r="T749" s="93"/>
      <c r="U749" s="93"/>
      <c r="V749" s="93"/>
      <c r="W749" s="93"/>
      <c r="X749" s="93"/>
      <c r="Y749" s="93"/>
      <c r="Z749" s="93"/>
    </row>
    <row r="750" ht="14.25" customHeight="1">
      <c r="A750" s="93"/>
      <c r="B750" s="93"/>
      <c r="C750" s="93"/>
      <c r="D750" s="93"/>
      <c r="E750" s="110"/>
      <c r="F750" s="110"/>
      <c r="G750" s="93"/>
      <c r="H750" s="93"/>
      <c r="I750" s="93"/>
      <c r="J750" s="93"/>
      <c r="K750" s="93"/>
      <c r="L750" s="93"/>
      <c r="M750" s="93"/>
      <c r="N750" s="93"/>
      <c r="O750" s="93"/>
      <c r="P750" s="93"/>
      <c r="Q750" s="93"/>
      <c r="R750" s="93"/>
      <c r="S750" s="93"/>
      <c r="T750" s="93"/>
      <c r="U750" s="93"/>
      <c r="V750" s="93"/>
      <c r="W750" s="93"/>
      <c r="X750" s="93"/>
      <c r="Y750" s="93"/>
      <c r="Z750" s="93"/>
    </row>
    <row r="751" ht="14.25" customHeight="1">
      <c r="A751" s="93"/>
      <c r="B751" s="93"/>
      <c r="C751" s="93"/>
      <c r="D751" s="93"/>
      <c r="E751" s="110"/>
      <c r="F751" s="110"/>
      <c r="G751" s="93"/>
      <c r="H751" s="93"/>
      <c r="I751" s="93"/>
      <c r="J751" s="93"/>
      <c r="K751" s="93"/>
      <c r="L751" s="93"/>
      <c r="M751" s="93"/>
      <c r="N751" s="93"/>
      <c r="O751" s="93"/>
      <c r="P751" s="93"/>
      <c r="Q751" s="93"/>
      <c r="R751" s="93"/>
      <c r="S751" s="93"/>
      <c r="T751" s="93"/>
      <c r="U751" s="93"/>
      <c r="V751" s="93"/>
      <c r="W751" s="93"/>
      <c r="X751" s="93"/>
      <c r="Y751" s="93"/>
      <c r="Z751" s="93"/>
    </row>
    <row r="752" ht="14.25" customHeight="1">
      <c r="A752" s="93"/>
      <c r="B752" s="93"/>
      <c r="C752" s="93"/>
      <c r="D752" s="93"/>
      <c r="E752" s="110"/>
      <c r="F752" s="110"/>
      <c r="G752" s="93"/>
      <c r="H752" s="93"/>
      <c r="I752" s="93"/>
      <c r="J752" s="93"/>
      <c r="K752" s="93"/>
      <c r="L752" s="93"/>
      <c r="M752" s="93"/>
      <c r="N752" s="93"/>
      <c r="O752" s="93"/>
      <c r="P752" s="93"/>
      <c r="Q752" s="93"/>
      <c r="R752" s="93"/>
      <c r="S752" s="93"/>
      <c r="T752" s="93"/>
      <c r="U752" s="93"/>
      <c r="V752" s="93"/>
      <c r="W752" s="93"/>
      <c r="X752" s="93"/>
      <c r="Y752" s="93"/>
      <c r="Z752" s="93"/>
    </row>
    <row r="753" ht="14.25" customHeight="1">
      <c r="A753" s="93"/>
      <c r="B753" s="93"/>
      <c r="C753" s="93"/>
      <c r="D753" s="93"/>
      <c r="E753" s="110"/>
      <c r="F753" s="110"/>
      <c r="G753" s="93"/>
      <c r="H753" s="93"/>
      <c r="I753" s="93"/>
      <c r="J753" s="93"/>
      <c r="K753" s="93"/>
      <c r="L753" s="93"/>
      <c r="M753" s="93"/>
      <c r="N753" s="93"/>
      <c r="O753" s="93"/>
      <c r="P753" s="93"/>
      <c r="Q753" s="93"/>
      <c r="R753" s="93"/>
      <c r="S753" s="93"/>
      <c r="T753" s="93"/>
      <c r="U753" s="93"/>
      <c r="V753" s="93"/>
      <c r="W753" s="93"/>
      <c r="X753" s="93"/>
      <c r="Y753" s="93"/>
      <c r="Z753" s="93"/>
    </row>
    <row r="754" ht="14.25" customHeight="1">
      <c r="A754" s="93"/>
      <c r="B754" s="93"/>
      <c r="C754" s="93"/>
      <c r="D754" s="93"/>
      <c r="E754" s="110"/>
      <c r="F754" s="110"/>
      <c r="G754" s="93"/>
      <c r="H754" s="93"/>
      <c r="I754" s="93"/>
      <c r="J754" s="93"/>
      <c r="K754" s="93"/>
      <c r="L754" s="93"/>
      <c r="M754" s="93"/>
      <c r="N754" s="93"/>
      <c r="O754" s="93"/>
      <c r="P754" s="93"/>
      <c r="Q754" s="93"/>
      <c r="R754" s="93"/>
      <c r="S754" s="93"/>
      <c r="T754" s="93"/>
      <c r="U754" s="93"/>
      <c r="V754" s="93"/>
      <c r="W754" s="93"/>
      <c r="X754" s="93"/>
      <c r="Y754" s="93"/>
      <c r="Z754" s="93"/>
    </row>
    <row r="755" ht="14.25" customHeight="1">
      <c r="A755" s="93"/>
      <c r="B755" s="93"/>
      <c r="C755" s="93"/>
      <c r="D755" s="93"/>
      <c r="E755" s="110"/>
      <c r="F755" s="110"/>
      <c r="G755" s="93"/>
      <c r="H755" s="93"/>
      <c r="I755" s="93"/>
      <c r="J755" s="93"/>
      <c r="K755" s="93"/>
      <c r="L755" s="93"/>
      <c r="M755" s="93"/>
      <c r="N755" s="93"/>
      <c r="O755" s="93"/>
      <c r="P755" s="93"/>
      <c r="Q755" s="93"/>
      <c r="R755" s="93"/>
      <c r="S755" s="93"/>
      <c r="T755" s="93"/>
      <c r="U755" s="93"/>
      <c r="V755" s="93"/>
      <c r="W755" s="93"/>
      <c r="X755" s="93"/>
      <c r="Y755" s="93"/>
      <c r="Z755" s="93"/>
    </row>
    <row r="756" ht="14.25" customHeight="1">
      <c r="A756" s="93"/>
      <c r="B756" s="93"/>
      <c r="C756" s="93"/>
      <c r="D756" s="93"/>
      <c r="E756" s="110"/>
      <c r="F756" s="110"/>
      <c r="G756" s="93"/>
      <c r="H756" s="93"/>
      <c r="I756" s="93"/>
      <c r="J756" s="93"/>
      <c r="K756" s="93"/>
      <c r="L756" s="93"/>
      <c r="M756" s="93"/>
      <c r="N756" s="93"/>
      <c r="O756" s="93"/>
      <c r="P756" s="93"/>
      <c r="Q756" s="93"/>
      <c r="R756" s="93"/>
      <c r="S756" s="93"/>
      <c r="T756" s="93"/>
      <c r="U756" s="93"/>
      <c r="V756" s="93"/>
      <c r="W756" s="93"/>
      <c r="X756" s="93"/>
      <c r="Y756" s="93"/>
      <c r="Z756" s="93"/>
    </row>
    <row r="757" ht="14.25" customHeight="1">
      <c r="A757" s="93"/>
      <c r="B757" s="93"/>
      <c r="C757" s="93"/>
      <c r="D757" s="93"/>
      <c r="E757" s="110"/>
      <c r="F757" s="110"/>
      <c r="G757" s="93"/>
      <c r="H757" s="93"/>
      <c r="I757" s="93"/>
      <c r="J757" s="93"/>
      <c r="K757" s="93"/>
      <c r="L757" s="93"/>
      <c r="M757" s="93"/>
      <c r="N757" s="93"/>
      <c r="O757" s="93"/>
      <c r="P757" s="93"/>
      <c r="Q757" s="93"/>
      <c r="R757" s="93"/>
      <c r="S757" s="93"/>
      <c r="T757" s="93"/>
      <c r="U757" s="93"/>
      <c r="V757" s="93"/>
      <c r="W757" s="93"/>
      <c r="X757" s="93"/>
      <c r="Y757" s="93"/>
      <c r="Z757" s="93"/>
    </row>
    <row r="758" ht="14.25" customHeight="1">
      <c r="A758" s="93"/>
      <c r="B758" s="93"/>
      <c r="C758" s="93"/>
      <c r="D758" s="93"/>
      <c r="E758" s="110"/>
      <c r="F758" s="110"/>
      <c r="G758" s="93"/>
      <c r="H758" s="93"/>
      <c r="I758" s="93"/>
      <c r="J758" s="93"/>
      <c r="K758" s="93"/>
      <c r="L758" s="93"/>
      <c r="M758" s="93"/>
      <c r="N758" s="93"/>
      <c r="O758" s="93"/>
      <c r="P758" s="93"/>
      <c r="Q758" s="93"/>
      <c r="R758" s="93"/>
      <c r="S758" s="93"/>
      <c r="T758" s="93"/>
      <c r="U758" s="93"/>
      <c r="V758" s="93"/>
      <c r="W758" s="93"/>
      <c r="X758" s="93"/>
      <c r="Y758" s="93"/>
      <c r="Z758" s="93"/>
    </row>
    <row r="759" ht="14.25" customHeight="1">
      <c r="A759" s="93"/>
      <c r="B759" s="93"/>
      <c r="C759" s="93"/>
      <c r="D759" s="93"/>
      <c r="E759" s="110"/>
      <c r="F759" s="110"/>
      <c r="G759" s="93"/>
      <c r="H759" s="93"/>
      <c r="I759" s="93"/>
      <c r="J759" s="93"/>
      <c r="K759" s="93"/>
      <c r="L759" s="93"/>
      <c r="M759" s="93"/>
      <c r="N759" s="93"/>
      <c r="O759" s="93"/>
      <c r="P759" s="93"/>
      <c r="Q759" s="93"/>
      <c r="R759" s="93"/>
      <c r="S759" s="93"/>
      <c r="T759" s="93"/>
      <c r="U759" s="93"/>
      <c r="V759" s="93"/>
      <c r="W759" s="93"/>
      <c r="X759" s="93"/>
      <c r="Y759" s="93"/>
      <c r="Z759" s="93"/>
    </row>
    <row r="760" ht="14.25" customHeight="1">
      <c r="A760" s="93"/>
      <c r="B760" s="93"/>
      <c r="C760" s="93"/>
      <c r="D760" s="93"/>
      <c r="E760" s="110"/>
      <c r="F760" s="110"/>
      <c r="G760" s="93"/>
      <c r="H760" s="93"/>
      <c r="I760" s="93"/>
      <c r="J760" s="93"/>
      <c r="K760" s="93"/>
      <c r="L760" s="93"/>
      <c r="M760" s="93"/>
      <c r="N760" s="93"/>
      <c r="O760" s="93"/>
      <c r="P760" s="93"/>
      <c r="Q760" s="93"/>
      <c r="R760" s="93"/>
      <c r="S760" s="93"/>
      <c r="T760" s="93"/>
      <c r="U760" s="93"/>
      <c r="V760" s="93"/>
      <c r="W760" s="93"/>
      <c r="X760" s="93"/>
      <c r="Y760" s="93"/>
      <c r="Z760" s="93"/>
    </row>
    <row r="761" ht="14.25" customHeight="1">
      <c r="A761" s="93"/>
      <c r="B761" s="93"/>
      <c r="C761" s="93"/>
      <c r="D761" s="93"/>
      <c r="E761" s="110"/>
      <c r="F761" s="110"/>
      <c r="G761" s="93"/>
      <c r="H761" s="93"/>
      <c r="I761" s="93"/>
      <c r="J761" s="93"/>
      <c r="K761" s="93"/>
      <c r="L761" s="93"/>
      <c r="M761" s="93"/>
      <c r="N761" s="93"/>
      <c r="O761" s="93"/>
      <c r="P761" s="93"/>
      <c r="Q761" s="93"/>
      <c r="R761" s="93"/>
      <c r="S761" s="93"/>
      <c r="T761" s="93"/>
      <c r="U761" s="93"/>
      <c r="V761" s="93"/>
      <c r="W761" s="93"/>
      <c r="X761" s="93"/>
      <c r="Y761" s="93"/>
      <c r="Z761" s="93"/>
    </row>
    <row r="762" ht="14.25" customHeight="1">
      <c r="A762" s="93"/>
      <c r="B762" s="93"/>
      <c r="C762" s="93"/>
      <c r="D762" s="93"/>
      <c r="E762" s="110"/>
      <c r="F762" s="110"/>
      <c r="G762" s="93"/>
      <c r="H762" s="93"/>
      <c r="I762" s="93"/>
      <c r="J762" s="93"/>
      <c r="K762" s="93"/>
      <c r="L762" s="93"/>
      <c r="M762" s="93"/>
      <c r="N762" s="93"/>
      <c r="O762" s="93"/>
      <c r="P762" s="93"/>
      <c r="Q762" s="93"/>
      <c r="R762" s="93"/>
      <c r="S762" s="93"/>
      <c r="T762" s="93"/>
      <c r="U762" s="93"/>
      <c r="V762" s="93"/>
      <c r="W762" s="93"/>
      <c r="X762" s="93"/>
      <c r="Y762" s="93"/>
      <c r="Z762" s="93"/>
    </row>
    <row r="763" ht="14.25" customHeight="1">
      <c r="A763" s="93"/>
      <c r="B763" s="93"/>
      <c r="C763" s="93"/>
      <c r="D763" s="93"/>
      <c r="E763" s="110"/>
      <c r="F763" s="110"/>
      <c r="G763" s="93"/>
      <c r="H763" s="93"/>
      <c r="I763" s="93"/>
      <c r="J763" s="93"/>
      <c r="K763" s="93"/>
      <c r="L763" s="93"/>
      <c r="M763" s="93"/>
      <c r="N763" s="93"/>
      <c r="O763" s="93"/>
      <c r="P763" s="93"/>
      <c r="Q763" s="93"/>
      <c r="R763" s="93"/>
      <c r="S763" s="93"/>
      <c r="T763" s="93"/>
      <c r="U763" s="93"/>
      <c r="V763" s="93"/>
      <c r="W763" s="93"/>
      <c r="X763" s="93"/>
      <c r="Y763" s="93"/>
      <c r="Z763" s="93"/>
    </row>
    <row r="764" ht="14.25" customHeight="1">
      <c r="A764" s="93"/>
      <c r="B764" s="93"/>
      <c r="C764" s="93"/>
      <c r="D764" s="93"/>
      <c r="E764" s="110"/>
      <c r="F764" s="110"/>
      <c r="G764" s="93"/>
      <c r="H764" s="93"/>
      <c r="I764" s="93"/>
      <c r="J764" s="93"/>
      <c r="K764" s="93"/>
      <c r="L764" s="93"/>
      <c r="M764" s="93"/>
      <c r="N764" s="93"/>
      <c r="O764" s="93"/>
      <c r="P764" s="93"/>
      <c r="Q764" s="93"/>
      <c r="R764" s="93"/>
      <c r="S764" s="93"/>
      <c r="T764" s="93"/>
      <c r="U764" s="93"/>
      <c r="V764" s="93"/>
      <c r="W764" s="93"/>
      <c r="X764" s="93"/>
      <c r="Y764" s="93"/>
      <c r="Z764" s="93"/>
    </row>
    <row r="765" ht="14.25" customHeight="1">
      <c r="A765" s="93"/>
      <c r="B765" s="93"/>
      <c r="C765" s="93"/>
      <c r="D765" s="93"/>
      <c r="E765" s="110"/>
      <c r="F765" s="110"/>
      <c r="G765" s="93"/>
      <c r="H765" s="93"/>
      <c r="I765" s="93"/>
      <c r="J765" s="93"/>
      <c r="K765" s="93"/>
      <c r="L765" s="93"/>
      <c r="M765" s="93"/>
      <c r="N765" s="93"/>
      <c r="O765" s="93"/>
      <c r="P765" s="93"/>
      <c r="Q765" s="93"/>
      <c r="R765" s="93"/>
      <c r="S765" s="93"/>
      <c r="T765" s="93"/>
      <c r="U765" s="93"/>
      <c r="V765" s="93"/>
      <c r="W765" s="93"/>
      <c r="X765" s="93"/>
      <c r="Y765" s="93"/>
      <c r="Z765" s="93"/>
    </row>
    <row r="766" ht="14.25" customHeight="1">
      <c r="A766" s="93"/>
      <c r="B766" s="93"/>
      <c r="C766" s="93"/>
      <c r="D766" s="93"/>
      <c r="E766" s="110"/>
      <c r="F766" s="110"/>
      <c r="G766" s="93"/>
      <c r="H766" s="93"/>
      <c r="I766" s="93"/>
      <c r="J766" s="93"/>
      <c r="K766" s="93"/>
      <c r="L766" s="93"/>
      <c r="M766" s="93"/>
      <c r="N766" s="93"/>
      <c r="O766" s="93"/>
      <c r="P766" s="93"/>
      <c r="Q766" s="93"/>
      <c r="R766" s="93"/>
      <c r="S766" s="93"/>
      <c r="T766" s="93"/>
      <c r="U766" s="93"/>
      <c r="V766" s="93"/>
      <c r="W766" s="93"/>
      <c r="X766" s="93"/>
      <c r="Y766" s="93"/>
      <c r="Z766" s="93"/>
    </row>
    <row r="767" ht="14.25" customHeight="1">
      <c r="A767" s="93"/>
      <c r="B767" s="93"/>
      <c r="C767" s="93"/>
      <c r="D767" s="93"/>
      <c r="E767" s="110"/>
      <c r="F767" s="110"/>
      <c r="G767" s="93"/>
      <c r="H767" s="93"/>
      <c r="I767" s="93"/>
      <c r="J767" s="93"/>
      <c r="K767" s="93"/>
      <c r="L767" s="93"/>
      <c r="M767" s="93"/>
      <c r="N767" s="93"/>
      <c r="O767" s="93"/>
      <c r="P767" s="93"/>
      <c r="Q767" s="93"/>
      <c r="R767" s="93"/>
      <c r="S767" s="93"/>
      <c r="T767" s="93"/>
      <c r="U767" s="93"/>
      <c r="V767" s="93"/>
      <c r="W767" s="93"/>
      <c r="X767" s="93"/>
      <c r="Y767" s="93"/>
      <c r="Z767" s="93"/>
    </row>
    <row r="768" ht="14.25" customHeight="1">
      <c r="A768" s="93"/>
      <c r="B768" s="93"/>
      <c r="C768" s="93"/>
      <c r="D768" s="93"/>
      <c r="E768" s="110"/>
      <c r="F768" s="110"/>
      <c r="G768" s="93"/>
      <c r="H768" s="93"/>
      <c r="I768" s="93"/>
      <c r="J768" s="93"/>
      <c r="K768" s="93"/>
      <c r="L768" s="93"/>
      <c r="M768" s="93"/>
      <c r="N768" s="93"/>
      <c r="O768" s="93"/>
      <c r="P768" s="93"/>
      <c r="Q768" s="93"/>
      <c r="R768" s="93"/>
      <c r="S768" s="93"/>
      <c r="T768" s="93"/>
      <c r="U768" s="93"/>
      <c r="V768" s="93"/>
      <c r="W768" s="93"/>
      <c r="X768" s="93"/>
      <c r="Y768" s="93"/>
      <c r="Z768" s="93"/>
    </row>
    <row r="769" ht="14.25" customHeight="1">
      <c r="A769" s="93"/>
      <c r="B769" s="93"/>
      <c r="C769" s="93"/>
      <c r="D769" s="93"/>
      <c r="E769" s="110"/>
      <c r="F769" s="110"/>
      <c r="G769" s="93"/>
      <c r="H769" s="93"/>
      <c r="I769" s="93"/>
      <c r="J769" s="93"/>
      <c r="K769" s="93"/>
      <c r="L769" s="93"/>
      <c r="M769" s="93"/>
      <c r="N769" s="93"/>
      <c r="O769" s="93"/>
      <c r="P769" s="93"/>
      <c r="Q769" s="93"/>
      <c r="R769" s="93"/>
      <c r="S769" s="93"/>
      <c r="T769" s="93"/>
      <c r="U769" s="93"/>
      <c r="V769" s="93"/>
      <c r="W769" s="93"/>
      <c r="X769" s="93"/>
      <c r="Y769" s="93"/>
      <c r="Z769" s="93"/>
    </row>
    <row r="770" ht="14.25" customHeight="1">
      <c r="A770" s="93"/>
      <c r="B770" s="93"/>
      <c r="C770" s="93"/>
      <c r="D770" s="93"/>
      <c r="E770" s="110"/>
      <c r="F770" s="110"/>
      <c r="G770" s="93"/>
      <c r="H770" s="93"/>
      <c r="I770" s="93"/>
      <c r="J770" s="93"/>
      <c r="K770" s="93"/>
      <c r="L770" s="93"/>
      <c r="M770" s="93"/>
      <c r="N770" s="93"/>
      <c r="O770" s="93"/>
      <c r="P770" s="93"/>
      <c r="Q770" s="93"/>
      <c r="R770" s="93"/>
      <c r="S770" s="93"/>
      <c r="T770" s="93"/>
      <c r="U770" s="93"/>
      <c r="V770" s="93"/>
      <c r="W770" s="93"/>
      <c r="X770" s="93"/>
      <c r="Y770" s="93"/>
      <c r="Z770" s="93"/>
    </row>
    <row r="771" ht="14.25" customHeight="1">
      <c r="A771" s="93"/>
      <c r="B771" s="93"/>
      <c r="C771" s="93"/>
      <c r="D771" s="93"/>
      <c r="E771" s="110"/>
      <c r="F771" s="110"/>
      <c r="G771" s="93"/>
      <c r="H771" s="93"/>
      <c r="I771" s="93"/>
      <c r="J771" s="93"/>
      <c r="K771" s="93"/>
      <c r="L771" s="93"/>
      <c r="M771" s="93"/>
      <c r="N771" s="93"/>
      <c r="O771" s="93"/>
      <c r="P771" s="93"/>
      <c r="Q771" s="93"/>
      <c r="R771" s="93"/>
      <c r="S771" s="93"/>
      <c r="T771" s="93"/>
      <c r="U771" s="93"/>
      <c r="V771" s="93"/>
      <c r="W771" s="93"/>
      <c r="X771" s="93"/>
      <c r="Y771" s="93"/>
      <c r="Z771" s="93"/>
    </row>
    <row r="772" ht="14.25" customHeight="1">
      <c r="A772" s="93"/>
      <c r="B772" s="93"/>
      <c r="C772" s="93"/>
      <c r="D772" s="93"/>
      <c r="E772" s="110"/>
      <c r="F772" s="110"/>
      <c r="G772" s="93"/>
      <c r="H772" s="93"/>
      <c r="I772" s="93"/>
      <c r="J772" s="93"/>
      <c r="K772" s="93"/>
      <c r="L772" s="93"/>
      <c r="M772" s="93"/>
      <c r="N772" s="93"/>
      <c r="O772" s="93"/>
      <c r="P772" s="93"/>
      <c r="Q772" s="93"/>
      <c r="R772" s="93"/>
      <c r="S772" s="93"/>
      <c r="T772" s="93"/>
      <c r="U772" s="93"/>
      <c r="V772" s="93"/>
      <c r="W772" s="93"/>
      <c r="X772" s="93"/>
      <c r="Y772" s="93"/>
      <c r="Z772" s="93"/>
    </row>
    <row r="773" ht="14.25" customHeight="1">
      <c r="A773" s="93"/>
      <c r="B773" s="93"/>
      <c r="C773" s="93"/>
      <c r="D773" s="93"/>
      <c r="E773" s="110"/>
      <c r="F773" s="110"/>
      <c r="G773" s="93"/>
      <c r="H773" s="93"/>
      <c r="I773" s="93"/>
      <c r="J773" s="93"/>
      <c r="K773" s="93"/>
      <c r="L773" s="93"/>
      <c r="M773" s="93"/>
      <c r="N773" s="93"/>
      <c r="O773" s="93"/>
      <c r="P773" s="93"/>
      <c r="Q773" s="93"/>
      <c r="R773" s="93"/>
      <c r="S773" s="93"/>
      <c r="T773" s="93"/>
      <c r="U773" s="93"/>
      <c r="V773" s="93"/>
      <c r="W773" s="93"/>
      <c r="X773" s="93"/>
      <c r="Y773" s="93"/>
      <c r="Z773" s="93"/>
    </row>
    <row r="774" ht="14.25" customHeight="1">
      <c r="A774" s="93"/>
      <c r="B774" s="93"/>
      <c r="C774" s="93"/>
      <c r="D774" s="93"/>
      <c r="E774" s="110"/>
      <c r="F774" s="110"/>
      <c r="G774" s="93"/>
      <c r="H774" s="93"/>
      <c r="I774" s="93"/>
      <c r="J774" s="93"/>
      <c r="K774" s="93"/>
      <c r="L774" s="93"/>
      <c r="M774" s="93"/>
      <c r="N774" s="93"/>
      <c r="O774" s="93"/>
      <c r="P774" s="93"/>
      <c r="Q774" s="93"/>
      <c r="R774" s="93"/>
      <c r="S774" s="93"/>
      <c r="T774" s="93"/>
      <c r="U774" s="93"/>
      <c r="V774" s="93"/>
      <c r="W774" s="93"/>
      <c r="X774" s="93"/>
      <c r="Y774" s="93"/>
      <c r="Z774" s="93"/>
    </row>
    <row r="775" ht="14.25" customHeight="1">
      <c r="A775" s="93"/>
      <c r="B775" s="93"/>
      <c r="C775" s="93"/>
      <c r="D775" s="93"/>
      <c r="E775" s="110"/>
      <c r="F775" s="110"/>
      <c r="G775" s="93"/>
      <c r="H775" s="93"/>
      <c r="I775" s="93"/>
      <c r="J775" s="93"/>
      <c r="K775" s="93"/>
      <c r="L775" s="93"/>
      <c r="M775" s="93"/>
      <c r="N775" s="93"/>
      <c r="O775" s="93"/>
      <c r="P775" s="93"/>
      <c r="Q775" s="93"/>
      <c r="R775" s="93"/>
      <c r="S775" s="93"/>
      <c r="T775" s="93"/>
      <c r="U775" s="93"/>
      <c r="V775" s="93"/>
      <c r="W775" s="93"/>
      <c r="X775" s="93"/>
      <c r="Y775" s="93"/>
      <c r="Z775" s="93"/>
    </row>
    <row r="776" ht="14.25" customHeight="1">
      <c r="A776" s="93"/>
      <c r="B776" s="93"/>
      <c r="C776" s="93"/>
      <c r="D776" s="93"/>
      <c r="E776" s="110"/>
      <c r="F776" s="110"/>
      <c r="G776" s="93"/>
      <c r="H776" s="93"/>
      <c r="I776" s="93"/>
      <c r="J776" s="93"/>
      <c r="K776" s="93"/>
      <c r="L776" s="93"/>
      <c r="M776" s="93"/>
      <c r="N776" s="93"/>
      <c r="O776" s="93"/>
      <c r="P776" s="93"/>
      <c r="Q776" s="93"/>
      <c r="R776" s="93"/>
      <c r="S776" s="93"/>
      <c r="T776" s="93"/>
      <c r="U776" s="93"/>
      <c r="V776" s="93"/>
      <c r="W776" s="93"/>
      <c r="X776" s="93"/>
      <c r="Y776" s="93"/>
      <c r="Z776" s="93"/>
    </row>
    <row r="777" ht="14.25" customHeight="1">
      <c r="A777" s="93"/>
      <c r="B777" s="93"/>
      <c r="C777" s="93"/>
      <c r="D777" s="93"/>
      <c r="E777" s="110"/>
      <c r="F777" s="110"/>
      <c r="G777" s="93"/>
      <c r="H777" s="93"/>
      <c r="I777" s="93"/>
      <c r="J777" s="93"/>
      <c r="K777" s="93"/>
      <c r="L777" s="93"/>
      <c r="M777" s="93"/>
      <c r="N777" s="93"/>
      <c r="O777" s="93"/>
      <c r="P777" s="93"/>
      <c r="Q777" s="93"/>
      <c r="R777" s="93"/>
      <c r="S777" s="93"/>
      <c r="T777" s="93"/>
      <c r="U777" s="93"/>
      <c r="V777" s="93"/>
      <c r="W777" s="93"/>
      <c r="X777" s="93"/>
      <c r="Y777" s="93"/>
      <c r="Z777" s="93"/>
    </row>
    <row r="778" ht="14.25" customHeight="1">
      <c r="A778" s="93"/>
      <c r="B778" s="93"/>
      <c r="C778" s="93"/>
      <c r="D778" s="93"/>
      <c r="E778" s="110"/>
      <c r="F778" s="110"/>
      <c r="G778" s="93"/>
      <c r="H778" s="93"/>
      <c r="I778" s="93"/>
      <c r="J778" s="93"/>
      <c r="K778" s="93"/>
      <c r="L778" s="93"/>
      <c r="M778" s="93"/>
      <c r="N778" s="93"/>
      <c r="O778" s="93"/>
      <c r="P778" s="93"/>
      <c r="Q778" s="93"/>
      <c r="R778" s="93"/>
      <c r="S778" s="93"/>
      <c r="T778" s="93"/>
      <c r="U778" s="93"/>
      <c r="V778" s="93"/>
      <c r="W778" s="93"/>
      <c r="X778" s="93"/>
      <c r="Y778" s="93"/>
      <c r="Z778" s="93"/>
    </row>
    <row r="779" ht="14.25" customHeight="1">
      <c r="A779" s="93"/>
      <c r="B779" s="93"/>
      <c r="C779" s="93"/>
      <c r="D779" s="93"/>
      <c r="E779" s="110"/>
      <c r="F779" s="110"/>
      <c r="G779" s="93"/>
      <c r="H779" s="93"/>
      <c r="I779" s="93"/>
      <c r="J779" s="93"/>
      <c r="K779" s="93"/>
      <c r="L779" s="93"/>
      <c r="M779" s="93"/>
      <c r="N779" s="93"/>
      <c r="O779" s="93"/>
      <c r="P779" s="93"/>
      <c r="Q779" s="93"/>
      <c r="R779" s="93"/>
      <c r="S779" s="93"/>
      <c r="T779" s="93"/>
      <c r="U779" s="93"/>
      <c r="V779" s="93"/>
      <c r="W779" s="93"/>
      <c r="X779" s="93"/>
      <c r="Y779" s="93"/>
      <c r="Z779" s="93"/>
    </row>
    <row r="780" ht="14.25" customHeight="1">
      <c r="A780" s="93"/>
      <c r="B780" s="93"/>
      <c r="C780" s="93"/>
      <c r="D780" s="93"/>
      <c r="E780" s="110"/>
      <c r="F780" s="110"/>
      <c r="G780" s="93"/>
      <c r="H780" s="93"/>
      <c r="I780" s="93"/>
      <c r="J780" s="93"/>
      <c r="K780" s="93"/>
      <c r="L780" s="93"/>
      <c r="M780" s="93"/>
      <c r="N780" s="93"/>
      <c r="O780" s="93"/>
      <c r="P780" s="93"/>
      <c r="Q780" s="93"/>
      <c r="R780" s="93"/>
      <c r="S780" s="93"/>
      <c r="T780" s="93"/>
      <c r="U780" s="93"/>
      <c r="V780" s="93"/>
      <c r="W780" s="93"/>
      <c r="X780" s="93"/>
      <c r="Y780" s="93"/>
      <c r="Z780" s="93"/>
    </row>
    <row r="781" ht="14.25" customHeight="1">
      <c r="A781" s="93"/>
      <c r="B781" s="93"/>
      <c r="C781" s="93"/>
      <c r="D781" s="93"/>
      <c r="E781" s="110"/>
      <c r="F781" s="110"/>
      <c r="G781" s="93"/>
      <c r="H781" s="93"/>
      <c r="I781" s="93"/>
      <c r="J781" s="93"/>
      <c r="K781" s="93"/>
      <c r="L781" s="93"/>
      <c r="M781" s="93"/>
      <c r="N781" s="93"/>
      <c r="O781" s="93"/>
      <c r="P781" s="93"/>
      <c r="Q781" s="93"/>
      <c r="R781" s="93"/>
      <c r="S781" s="93"/>
      <c r="T781" s="93"/>
      <c r="U781" s="93"/>
      <c r="V781" s="93"/>
      <c r="W781" s="93"/>
      <c r="X781" s="93"/>
      <c r="Y781" s="93"/>
      <c r="Z781" s="93"/>
    </row>
    <row r="782" ht="14.25" customHeight="1">
      <c r="A782" s="93"/>
      <c r="B782" s="93"/>
      <c r="C782" s="93"/>
      <c r="D782" s="93"/>
      <c r="E782" s="110"/>
      <c r="F782" s="110"/>
      <c r="G782" s="93"/>
      <c r="H782" s="93"/>
      <c r="I782" s="93"/>
      <c r="J782" s="93"/>
      <c r="K782" s="93"/>
      <c r="L782" s="93"/>
      <c r="M782" s="93"/>
      <c r="N782" s="93"/>
      <c r="O782" s="93"/>
      <c r="P782" s="93"/>
      <c r="Q782" s="93"/>
      <c r="R782" s="93"/>
      <c r="S782" s="93"/>
      <c r="T782" s="93"/>
      <c r="U782" s="93"/>
      <c r="V782" s="93"/>
      <c r="W782" s="93"/>
      <c r="X782" s="93"/>
      <c r="Y782" s="93"/>
      <c r="Z782" s="93"/>
    </row>
    <row r="783" ht="14.25" customHeight="1">
      <c r="A783" s="93"/>
      <c r="B783" s="93"/>
      <c r="C783" s="93"/>
      <c r="D783" s="93"/>
      <c r="E783" s="110"/>
      <c r="F783" s="110"/>
      <c r="G783" s="93"/>
      <c r="H783" s="93"/>
      <c r="I783" s="93"/>
      <c r="J783" s="93"/>
      <c r="K783" s="93"/>
      <c r="L783" s="93"/>
      <c r="M783" s="93"/>
      <c r="N783" s="93"/>
      <c r="O783" s="93"/>
      <c r="P783" s="93"/>
      <c r="Q783" s="93"/>
      <c r="R783" s="93"/>
      <c r="S783" s="93"/>
      <c r="T783" s="93"/>
      <c r="U783" s="93"/>
      <c r="V783" s="93"/>
      <c r="W783" s="93"/>
      <c r="X783" s="93"/>
      <c r="Y783" s="93"/>
      <c r="Z783" s="93"/>
    </row>
    <row r="784" ht="14.25" customHeight="1">
      <c r="A784" s="93"/>
      <c r="B784" s="93"/>
      <c r="C784" s="93"/>
      <c r="D784" s="93"/>
      <c r="E784" s="110"/>
      <c r="F784" s="110"/>
      <c r="G784" s="93"/>
      <c r="H784" s="93"/>
      <c r="I784" s="93"/>
      <c r="J784" s="93"/>
      <c r="K784" s="93"/>
      <c r="L784" s="93"/>
      <c r="M784" s="93"/>
      <c r="N784" s="93"/>
      <c r="O784" s="93"/>
      <c r="P784" s="93"/>
      <c r="Q784" s="93"/>
      <c r="R784" s="93"/>
      <c r="S784" s="93"/>
      <c r="T784" s="93"/>
      <c r="U784" s="93"/>
      <c r="V784" s="93"/>
      <c r="W784" s="93"/>
      <c r="X784" s="93"/>
      <c r="Y784" s="93"/>
      <c r="Z784" s="93"/>
    </row>
    <row r="785" ht="14.25" customHeight="1">
      <c r="A785" s="93"/>
      <c r="B785" s="93"/>
      <c r="C785" s="93"/>
      <c r="D785" s="93"/>
      <c r="E785" s="110"/>
      <c r="F785" s="110"/>
      <c r="G785" s="93"/>
      <c r="H785" s="93"/>
      <c r="I785" s="93"/>
      <c r="J785" s="93"/>
      <c r="K785" s="93"/>
      <c r="L785" s="93"/>
      <c r="M785" s="93"/>
      <c r="N785" s="93"/>
      <c r="O785" s="93"/>
      <c r="P785" s="93"/>
      <c r="Q785" s="93"/>
      <c r="R785" s="93"/>
      <c r="S785" s="93"/>
      <c r="T785" s="93"/>
      <c r="U785" s="93"/>
      <c r="V785" s="93"/>
      <c r="W785" s="93"/>
      <c r="X785" s="93"/>
      <c r="Y785" s="93"/>
      <c r="Z785" s="93"/>
    </row>
    <row r="786" ht="14.25" customHeight="1">
      <c r="A786" s="93"/>
      <c r="B786" s="93"/>
      <c r="C786" s="93"/>
      <c r="D786" s="93"/>
      <c r="E786" s="110"/>
      <c r="F786" s="110"/>
      <c r="G786" s="93"/>
      <c r="H786" s="93"/>
      <c r="I786" s="93"/>
      <c r="J786" s="93"/>
      <c r="K786" s="93"/>
      <c r="L786" s="93"/>
      <c r="M786" s="93"/>
      <c r="N786" s="93"/>
      <c r="O786" s="93"/>
      <c r="P786" s="93"/>
      <c r="Q786" s="93"/>
      <c r="R786" s="93"/>
      <c r="S786" s="93"/>
      <c r="T786" s="93"/>
      <c r="U786" s="93"/>
      <c r="V786" s="93"/>
      <c r="W786" s="93"/>
      <c r="X786" s="93"/>
      <c r="Y786" s="93"/>
      <c r="Z786" s="93"/>
    </row>
    <row r="787" ht="14.25" customHeight="1">
      <c r="A787" s="93"/>
      <c r="B787" s="93"/>
      <c r="C787" s="93"/>
      <c r="D787" s="93"/>
      <c r="E787" s="110"/>
      <c r="F787" s="110"/>
      <c r="G787" s="93"/>
      <c r="H787" s="93"/>
      <c r="I787" s="93"/>
      <c r="J787" s="93"/>
      <c r="K787" s="93"/>
      <c r="L787" s="93"/>
      <c r="M787" s="93"/>
      <c r="N787" s="93"/>
      <c r="O787" s="93"/>
      <c r="P787" s="93"/>
      <c r="Q787" s="93"/>
      <c r="R787" s="93"/>
      <c r="S787" s="93"/>
      <c r="T787" s="93"/>
      <c r="U787" s="93"/>
      <c r="V787" s="93"/>
      <c r="W787" s="93"/>
      <c r="X787" s="93"/>
      <c r="Y787" s="93"/>
      <c r="Z787" s="93"/>
    </row>
    <row r="788" ht="14.25" customHeight="1">
      <c r="A788" s="93"/>
      <c r="B788" s="93"/>
      <c r="C788" s="93"/>
      <c r="D788" s="93"/>
      <c r="E788" s="110"/>
      <c r="F788" s="110"/>
      <c r="G788" s="93"/>
      <c r="H788" s="93"/>
      <c r="I788" s="93"/>
      <c r="J788" s="93"/>
      <c r="K788" s="93"/>
      <c r="L788" s="93"/>
      <c r="M788" s="93"/>
      <c r="N788" s="93"/>
      <c r="O788" s="93"/>
      <c r="P788" s="93"/>
      <c r="Q788" s="93"/>
      <c r="R788" s="93"/>
      <c r="S788" s="93"/>
      <c r="T788" s="93"/>
      <c r="U788" s="93"/>
      <c r="V788" s="93"/>
      <c r="W788" s="93"/>
      <c r="X788" s="93"/>
      <c r="Y788" s="93"/>
      <c r="Z788" s="93"/>
    </row>
    <row r="789" ht="14.25" customHeight="1">
      <c r="A789" s="93"/>
      <c r="B789" s="93"/>
      <c r="C789" s="93"/>
      <c r="D789" s="93"/>
      <c r="E789" s="110"/>
      <c r="F789" s="110"/>
      <c r="G789" s="93"/>
      <c r="H789" s="93"/>
      <c r="I789" s="93"/>
      <c r="J789" s="93"/>
      <c r="K789" s="93"/>
      <c r="L789" s="93"/>
      <c r="M789" s="93"/>
      <c r="N789" s="93"/>
      <c r="O789" s="93"/>
      <c r="P789" s="93"/>
      <c r="Q789" s="93"/>
      <c r="R789" s="93"/>
      <c r="S789" s="93"/>
      <c r="T789" s="93"/>
      <c r="U789" s="93"/>
      <c r="V789" s="93"/>
      <c r="W789" s="93"/>
      <c r="X789" s="93"/>
      <c r="Y789" s="93"/>
      <c r="Z789" s="93"/>
    </row>
    <row r="790" ht="14.25" customHeight="1">
      <c r="A790" s="93"/>
      <c r="B790" s="93"/>
      <c r="C790" s="93"/>
      <c r="D790" s="93"/>
      <c r="E790" s="110"/>
      <c r="F790" s="110"/>
      <c r="G790" s="93"/>
      <c r="H790" s="93"/>
      <c r="I790" s="93"/>
      <c r="J790" s="93"/>
      <c r="K790" s="93"/>
      <c r="L790" s="93"/>
      <c r="M790" s="93"/>
      <c r="N790" s="93"/>
      <c r="O790" s="93"/>
      <c r="P790" s="93"/>
      <c r="Q790" s="93"/>
      <c r="R790" s="93"/>
      <c r="S790" s="93"/>
      <c r="T790" s="93"/>
      <c r="U790" s="93"/>
      <c r="V790" s="93"/>
      <c r="W790" s="93"/>
      <c r="X790" s="93"/>
      <c r="Y790" s="93"/>
      <c r="Z790" s="93"/>
    </row>
    <row r="791" ht="14.25" customHeight="1">
      <c r="A791" s="93"/>
      <c r="B791" s="93"/>
      <c r="C791" s="93"/>
      <c r="D791" s="93"/>
      <c r="E791" s="110"/>
      <c r="F791" s="110"/>
      <c r="G791" s="93"/>
      <c r="H791" s="93"/>
      <c r="I791" s="93"/>
      <c r="J791" s="93"/>
      <c r="K791" s="93"/>
      <c r="L791" s="93"/>
      <c r="M791" s="93"/>
      <c r="N791" s="93"/>
      <c r="O791" s="93"/>
      <c r="P791" s="93"/>
      <c r="Q791" s="93"/>
      <c r="R791" s="93"/>
      <c r="S791" s="93"/>
      <c r="T791" s="93"/>
      <c r="U791" s="93"/>
      <c r="V791" s="93"/>
      <c r="W791" s="93"/>
      <c r="X791" s="93"/>
      <c r="Y791" s="93"/>
      <c r="Z791" s="93"/>
    </row>
    <row r="792" ht="14.25" customHeight="1">
      <c r="A792" s="93"/>
      <c r="B792" s="93"/>
      <c r="C792" s="93"/>
      <c r="D792" s="93"/>
      <c r="E792" s="110"/>
      <c r="F792" s="110"/>
      <c r="G792" s="93"/>
      <c r="H792" s="93"/>
      <c r="I792" s="93"/>
      <c r="J792" s="93"/>
      <c r="K792" s="93"/>
      <c r="L792" s="93"/>
      <c r="M792" s="93"/>
      <c r="N792" s="93"/>
      <c r="O792" s="93"/>
      <c r="P792" s="93"/>
      <c r="Q792" s="93"/>
      <c r="R792" s="93"/>
      <c r="S792" s="93"/>
      <c r="T792" s="93"/>
      <c r="U792" s="93"/>
      <c r="V792" s="93"/>
      <c r="W792" s="93"/>
      <c r="X792" s="93"/>
      <c r="Y792" s="93"/>
      <c r="Z792" s="93"/>
    </row>
    <row r="793" ht="14.25" customHeight="1">
      <c r="A793" s="93"/>
      <c r="B793" s="93"/>
      <c r="C793" s="93"/>
      <c r="D793" s="93"/>
      <c r="E793" s="110"/>
      <c r="F793" s="110"/>
      <c r="G793" s="93"/>
      <c r="H793" s="93"/>
      <c r="I793" s="93"/>
      <c r="J793" s="93"/>
      <c r="K793" s="93"/>
      <c r="L793" s="93"/>
      <c r="M793" s="93"/>
      <c r="N793" s="93"/>
      <c r="O793" s="93"/>
      <c r="P793" s="93"/>
      <c r="Q793" s="93"/>
      <c r="R793" s="93"/>
      <c r="S793" s="93"/>
      <c r="T793" s="93"/>
      <c r="U793" s="93"/>
      <c r="V793" s="93"/>
      <c r="W793" s="93"/>
      <c r="X793" s="93"/>
      <c r="Y793" s="93"/>
      <c r="Z793" s="93"/>
    </row>
    <row r="794" ht="14.25" customHeight="1">
      <c r="A794" s="93"/>
      <c r="B794" s="93"/>
      <c r="C794" s="93"/>
      <c r="D794" s="93"/>
      <c r="E794" s="110"/>
      <c r="F794" s="110"/>
      <c r="G794" s="93"/>
      <c r="H794" s="93"/>
      <c r="I794" s="93"/>
      <c r="J794" s="93"/>
      <c r="K794" s="93"/>
      <c r="L794" s="93"/>
      <c r="M794" s="93"/>
      <c r="N794" s="93"/>
      <c r="O794" s="93"/>
      <c r="P794" s="93"/>
      <c r="Q794" s="93"/>
      <c r="R794" s="93"/>
      <c r="S794" s="93"/>
      <c r="T794" s="93"/>
      <c r="U794" s="93"/>
      <c r="V794" s="93"/>
      <c r="W794" s="93"/>
      <c r="X794" s="93"/>
      <c r="Y794" s="93"/>
      <c r="Z794" s="93"/>
    </row>
    <row r="795" ht="14.25" customHeight="1">
      <c r="A795" s="93"/>
      <c r="B795" s="93"/>
      <c r="C795" s="93"/>
      <c r="D795" s="93"/>
      <c r="E795" s="110"/>
      <c r="F795" s="110"/>
      <c r="G795" s="93"/>
      <c r="H795" s="93"/>
      <c r="I795" s="93"/>
      <c r="J795" s="93"/>
      <c r="K795" s="93"/>
      <c r="L795" s="93"/>
      <c r="M795" s="93"/>
      <c r="N795" s="93"/>
      <c r="O795" s="93"/>
      <c r="P795" s="93"/>
      <c r="Q795" s="93"/>
      <c r="R795" s="93"/>
      <c r="S795" s="93"/>
      <c r="T795" s="93"/>
      <c r="U795" s="93"/>
      <c r="V795" s="93"/>
      <c r="W795" s="93"/>
      <c r="X795" s="93"/>
      <c r="Y795" s="93"/>
      <c r="Z795" s="93"/>
    </row>
    <row r="796" ht="14.25" customHeight="1">
      <c r="A796" s="93"/>
      <c r="B796" s="93"/>
      <c r="C796" s="93"/>
      <c r="D796" s="93"/>
      <c r="E796" s="110"/>
      <c r="F796" s="110"/>
      <c r="G796" s="93"/>
      <c r="H796" s="93"/>
      <c r="I796" s="93"/>
      <c r="J796" s="93"/>
      <c r="K796" s="93"/>
      <c r="L796" s="93"/>
      <c r="M796" s="93"/>
      <c r="N796" s="93"/>
      <c r="O796" s="93"/>
      <c r="P796" s="93"/>
      <c r="Q796" s="93"/>
      <c r="R796" s="93"/>
      <c r="S796" s="93"/>
      <c r="T796" s="93"/>
      <c r="U796" s="93"/>
      <c r="V796" s="93"/>
      <c r="W796" s="93"/>
      <c r="X796" s="93"/>
      <c r="Y796" s="93"/>
      <c r="Z796" s="93"/>
    </row>
    <row r="797" ht="14.25" customHeight="1">
      <c r="A797" s="93"/>
      <c r="B797" s="93"/>
      <c r="C797" s="93"/>
      <c r="D797" s="93"/>
      <c r="E797" s="110"/>
      <c r="F797" s="110"/>
      <c r="G797" s="93"/>
      <c r="H797" s="93"/>
      <c r="I797" s="93"/>
      <c r="J797" s="93"/>
      <c r="K797" s="93"/>
      <c r="L797" s="93"/>
      <c r="M797" s="93"/>
      <c r="N797" s="93"/>
      <c r="O797" s="93"/>
      <c r="P797" s="93"/>
      <c r="Q797" s="93"/>
      <c r="R797" s="93"/>
      <c r="S797" s="93"/>
      <c r="T797" s="93"/>
      <c r="U797" s="93"/>
      <c r="V797" s="93"/>
      <c r="W797" s="93"/>
      <c r="X797" s="93"/>
      <c r="Y797" s="93"/>
      <c r="Z797" s="93"/>
    </row>
    <row r="798" ht="14.25" customHeight="1">
      <c r="A798" s="93"/>
      <c r="B798" s="93"/>
      <c r="C798" s="93"/>
      <c r="D798" s="93"/>
      <c r="E798" s="110"/>
      <c r="F798" s="110"/>
      <c r="G798" s="93"/>
      <c r="H798" s="93"/>
      <c r="I798" s="93"/>
      <c r="J798" s="93"/>
      <c r="K798" s="93"/>
      <c r="L798" s="93"/>
      <c r="M798" s="93"/>
      <c r="N798" s="93"/>
      <c r="O798" s="93"/>
      <c r="P798" s="93"/>
      <c r="Q798" s="93"/>
      <c r="R798" s="93"/>
      <c r="S798" s="93"/>
      <c r="T798" s="93"/>
      <c r="U798" s="93"/>
      <c r="V798" s="93"/>
      <c r="W798" s="93"/>
      <c r="X798" s="93"/>
      <c r="Y798" s="93"/>
      <c r="Z798" s="93"/>
    </row>
    <row r="799" ht="14.25" customHeight="1">
      <c r="A799" s="93"/>
      <c r="B799" s="93"/>
      <c r="C799" s="93"/>
      <c r="D799" s="93"/>
      <c r="E799" s="110"/>
      <c r="F799" s="110"/>
      <c r="G799" s="93"/>
      <c r="H799" s="93"/>
      <c r="I799" s="93"/>
      <c r="J799" s="93"/>
      <c r="K799" s="93"/>
      <c r="L799" s="93"/>
      <c r="M799" s="93"/>
      <c r="N799" s="93"/>
      <c r="O799" s="93"/>
      <c r="P799" s="93"/>
      <c r="Q799" s="93"/>
      <c r="R799" s="93"/>
      <c r="S799" s="93"/>
      <c r="T799" s="93"/>
      <c r="U799" s="93"/>
      <c r="V799" s="93"/>
      <c r="W799" s="93"/>
      <c r="X799" s="93"/>
      <c r="Y799" s="93"/>
      <c r="Z799" s="93"/>
    </row>
    <row r="800" ht="14.25" customHeight="1">
      <c r="A800" s="93"/>
      <c r="B800" s="93"/>
      <c r="C800" s="93"/>
      <c r="D800" s="93"/>
      <c r="E800" s="110"/>
      <c r="F800" s="110"/>
      <c r="G800" s="93"/>
      <c r="H800" s="93"/>
      <c r="I800" s="93"/>
      <c r="J800" s="93"/>
      <c r="K800" s="93"/>
      <c r="L800" s="93"/>
      <c r="M800" s="93"/>
      <c r="N800" s="93"/>
      <c r="O800" s="93"/>
      <c r="P800" s="93"/>
      <c r="Q800" s="93"/>
      <c r="R800" s="93"/>
      <c r="S800" s="93"/>
      <c r="T800" s="93"/>
      <c r="U800" s="93"/>
      <c r="V800" s="93"/>
      <c r="W800" s="93"/>
      <c r="X800" s="93"/>
      <c r="Y800" s="93"/>
      <c r="Z800" s="93"/>
    </row>
    <row r="801" ht="14.25" customHeight="1">
      <c r="A801" s="93"/>
      <c r="B801" s="93"/>
      <c r="C801" s="93"/>
      <c r="D801" s="93"/>
      <c r="E801" s="110"/>
      <c r="F801" s="110"/>
      <c r="G801" s="93"/>
      <c r="H801" s="93"/>
      <c r="I801" s="93"/>
      <c r="J801" s="93"/>
      <c r="K801" s="93"/>
      <c r="L801" s="93"/>
      <c r="M801" s="93"/>
      <c r="N801" s="93"/>
      <c r="O801" s="93"/>
      <c r="P801" s="93"/>
      <c r="Q801" s="93"/>
      <c r="R801" s="93"/>
      <c r="S801" s="93"/>
      <c r="T801" s="93"/>
      <c r="U801" s="93"/>
      <c r="V801" s="93"/>
      <c r="W801" s="93"/>
      <c r="X801" s="93"/>
      <c r="Y801" s="93"/>
      <c r="Z801" s="93"/>
    </row>
    <row r="802" ht="14.25" customHeight="1">
      <c r="A802" s="93"/>
      <c r="B802" s="93"/>
      <c r="C802" s="93"/>
      <c r="D802" s="93"/>
      <c r="E802" s="110"/>
      <c r="F802" s="110"/>
      <c r="G802" s="93"/>
      <c r="H802" s="93"/>
      <c r="I802" s="93"/>
      <c r="J802" s="93"/>
      <c r="K802" s="93"/>
      <c r="L802" s="93"/>
      <c r="M802" s="93"/>
      <c r="N802" s="93"/>
      <c r="O802" s="93"/>
      <c r="P802" s="93"/>
      <c r="Q802" s="93"/>
      <c r="R802" s="93"/>
      <c r="S802" s="93"/>
      <c r="T802" s="93"/>
      <c r="U802" s="93"/>
      <c r="V802" s="93"/>
      <c r="W802" s="93"/>
      <c r="X802" s="93"/>
      <c r="Y802" s="93"/>
      <c r="Z802" s="93"/>
    </row>
    <row r="803" ht="14.25" customHeight="1">
      <c r="A803" s="93"/>
      <c r="B803" s="93"/>
      <c r="C803" s="93"/>
      <c r="D803" s="93"/>
      <c r="E803" s="110"/>
      <c r="F803" s="110"/>
      <c r="G803" s="93"/>
      <c r="H803" s="93"/>
      <c r="I803" s="93"/>
      <c r="J803" s="93"/>
      <c r="K803" s="93"/>
      <c r="L803" s="93"/>
      <c r="M803" s="93"/>
      <c r="N803" s="93"/>
      <c r="O803" s="93"/>
      <c r="P803" s="93"/>
      <c r="Q803" s="93"/>
      <c r="R803" s="93"/>
      <c r="S803" s="93"/>
      <c r="T803" s="93"/>
      <c r="U803" s="93"/>
      <c r="V803" s="93"/>
      <c r="W803" s="93"/>
      <c r="X803" s="93"/>
      <c r="Y803" s="93"/>
      <c r="Z803" s="93"/>
    </row>
    <row r="804" ht="14.25" customHeight="1">
      <c r="A804" s="93"/>
      <c r="B804" s="93"/>
      <c r="C804" s="93"/>
      <c r="D804" s="93"/>
      <c r="E804" s="110"/>
      <c r="F804" s="110"/>
      <c r="G804" s="93"/>
      <c r="H804" s="93"/>
      <c r="I804" s="93"/>
      <c r="J804" s="93"/>
      <c r="K804" s="93"/>
      <c r="L804" s="93"/>
      <c r="M804" s="93"/>
      <c r="N804" s="93"/>
      <c r="O804" s="93"/>
      <c r="P804" s="93"/>
      <c r="Q804" s="93"/>
      <c r="R804" s="93"/>
      <c r="S804" s="93"/>
      <c r="T804" s="93"/>
      <c r="U804" s="93"/>
      <c r="V804" s="93"/>
      <c r="W804" s="93"/>
      <c r="X804" s="93"/>
      <c r="Y804" s="93"/>
      <c r="Z804" s="93"/>
    </row>
    <row r="805" ht="14.25" customHeight="1">
      <c r="A805" s="93"/>
      <c r="B805" s="93"/>
      <c r="C805" s="93"/>
      <c r="D805" s="93"/>
      <c r="E805" s="110"/>
      <c r="F805" s="110"/>
      <c r="G805" s="93"/>
      <c r="H805" s="93"/>
      <c r="I805" s="93"/>
      <c r="J805" s="93"/>
      <c r="K805" s="93"/>
      <c r="L805" s="93"/>
      <c r="M805" s="93"/>
      <c r="N805" s="93"/>
      <c r="O805" s="93"/>
      <c r="P805" s="93"/>
      <c r="Q805" s="93"/>
      <c r="R805" s="93"/>
      <c r="S805" s="93"/>
      <c r="T805" s="93"/>
      <c r="U805" s="93"/>
      <c r="V805" s="93"/>
      <c r="W805" s="93"/>
      <c r="X805" s="93"/>
      <c r="Y805" s="93"/>
      <c r="Z805" s="93"/>
    </row>
    <row r="806" ht="14.25" customHeight="1">
      <c r="A806" s="93"/>
      <c r="B806" s="93"/>
      <c r="C806" s="93"/>
      <c r="D806" s="93"/>
      <c r="E806" s="110"/>
      <c r="F806" s="110"/>
      <c r="G806" s="93"/>
      <c r="H806" s="93"/>
      <c r="I806" s="93"/>
      <c r="J806" s="93"/>
      <c r="K806" s="93"/>
      <c r="L806" s="93"/>
      <c r="M806" s="93"/>
      <c r="N806" s="93"/>
      <c r="O806" s="93"/>
      <c r="P806" s="93"/>
      <c r="Q806" s="93"/>
      <c r="R806" s="93"/>
      <c r="S806" s="93"/>
      <c r="T806" s="93"/>
      <c r="U806" s="93"/>
      <c r="V806" s="93"/>
      <c r="W806" s="93"/>
      <c r="X806" s="93"/>
      <c r="Y806" s="93"/>
      <c r="Z806" s="93"/>
    </row>
    <row r="807" ht="14.25" customHeight="1">
      <c r="A807" s="93"/>
      <c r="B807" s="93"/>
      <c r="C807" s="93"/>
      <c r="D807" s="93"/>
      <c r="E807" s="110"/>
      <c r="F807" s="110"/>
      <c r="G807" s="93"/>
      <c r="H807" s="93"/>
      <c r="I807" s="93"/>
      <c r="J807" s="93"/>
      <c r="K807" s="93"/>
      <c r="L807" s="93"/>
      <c r="M807" s="93"/>
      <c r="N807" s="93"/>
      <c r="O807" s="93"/>
      <c r="P807" s="93"/>
      <c r="Q807" s="93"/>
      <c r="R807" s="93"/>
      <c r="S807" s="93"/>
      <c r="T807" s="93"/>
      <c r="U807" s="93"/>
      <c r="V807" s="93"/>
      <c r="W807" s="93"/>
      <c r="X807" s="93"/>
      <c r="Y807" s="93"/>
      <c r="Z807" s="93"/>
    </row>
    <row r="808" ht="14.25" customHeight="1">
      <c r="A808" s="93"/>
      <c r="B808" s="93"/>
      <c r="C808" s="93"/>
      <c r="D808" s="93"/>
      <c r="E808" s="110"/>
      <c r="F808" s="110"/>
      <c r="G808" s="93"/>
      <c r="H808" s="93"/>
      <c r="I808" s="93"/>
      <c r="J808" s="93"/>
      <c r="K808" s="93"/>
      <c r="L808" s="93"/>
      <c r="M808" s="93"/>
      <c r="N808" s="93"/>
      <c r="O808" s="93"/>
      <c r="P808" s="93"/>
      <c r="Q808" s="93"/>
      <c r="R808" s="93"/>
      <c r="S808" s="93"/>
      <c r="T808" s="93"/>
      <c r="U808" s="93"/>
      <c r="V808" s="93"/>
      <c r="W808" s="93"/>
      <c r="X808" s="93"/>
      <c r="Y808" s="93"/>
      <c r="Z808" s="93"/>
    </row>
    <row r="809" ht="14.25" customHeight="1">
      <c r="A809" s="93"/>
      <c r="B809" s="93"/>
      <c r="C809" s="93"/>
      <c r="D809" s="93"/>
      <c r="E809" s="110"/>
      <c r="F809" s="110"/>
      <c r="G809" s="93"/>
      <c r="H809" s="93"/>
      <c r="I809" s="93"/>
      <c r="J809" s="93"/>
      <c r="K809" s="93"/>
      <c r="L809" s="93"/>
      <c r="M809" s="93"/>
      <c r="N809" s="93"/>
      <c r="O809" s="93"/>
      <c r="P809" s="93"/>
      <c r="Q809" s="93"/>
      <c r="R809" s="93"/>
      <c r="S809" s="93"/>
      <c r="T809" s="93"/>
      <c r="U809" s="93"/>
      <c r="V809" s="93"/>
      <c r="W809" s="93"/>
      <c r="X809" s="93"/>
      <c r="Y809" s="93"/>
      <c r="Z809" s="93"/>
    </row>
    <row r="810" ht="14.25" customHeight="1">
      <c r="A810" s="93"/>
      <c r="B810" s="93"/>
      <c r="C810" s="93"/>
      <c r="D810" s="93"/>
      <c r="E810" s="110"/>
      <c r="F810" s="110"/>
      <c r="G810" s="93"/>
      <c r="H810" s="93"/>
      <c r="I810" s="93"/>
      <c r="J810" s="93"/>
      <c r="K810" s="93"/>
      <c r="L810" s="93"/>
      <c r="M810" s="93"/>
      <c r="N810" s="93"/>
      <c r="O810" s="93"/>
      <c r="P810" s="93"/>
      <c r="Q810" s="93"/>
      <c r="R810" s="93"/>
      <c r="S810" s="93"/>
      <c r="T810" s="93"/>
      <c r="U810" s="93"/>
      <c r="V810" s="93"/>
      <c r="W810" s="93"/>
      <c r="X810" s="93"/>
      <c r="Y810" s="93"/>
      <c r="Z810" s="93"/>
    </row>
    <row r="811" ht="14.25" customHeight="1">
      <c r="A811" s="93"/>
      <c r="B811" s="93"/>
      <c r="C811" s="93"/>
      <c r="D811" s="93"/>
      <c r="E811" s="110"/>
      <c r="F811" s="110"/>
      <c r="G811" s="93"/>
      <c r="H811" s="93"/>
      <c r="I811" s="93"/>
      <c r="J811" s="93"/>
      <c r="K811" s="93"/>
      <c r="L811" s="93"/>
      <c r="M811" s="93"/>
      <c r="N811" s="93"/>
      <c r="O811" s="93"/>
      <c r="P811" s="93"/>
      <c r="Q811" s="93"/>
      <c r="R811" s="93"/>
      <c r="S811" s="93"/>
      <c r="T811" s="93"/>
      <c r="U811" s="93"/>
      <c r="V811" s="93"/>
      <c r="W811" s="93"/>
      <c r="X811" s="93"/>
      <c r="Y811" s="93"/>
      <c r="Z811" s="93"/>
    </row>
    <row r="812" ht="14.25" customHeight="1">
      <c r="A812" s="93"/>
      <c r="B812" s="93"/>
      <c r="C812" s="93"/>
      <c r="D812" s="93"/>
      <c r="E812" s="110"/>
      <c r="F812" s="110"/>
      <c r="G812" s="93"/>
      <c r="H812" s="93"/>
      <c r="I812" s="93"/>
      <c r="J812" s="93"/>
      <c r="K812" s="93"/>
      <c r="L812" s="93"/>
      <c r="M812" s="93"/>
      <c r="N812" s="93"/>
      <c r="O812" s="93"/>
      <c r="P812" s="93"/>
      <c r="Q812" s="93"/>
      <c r="R812" s="93"/>
      <c r="S812" s="93"/>
      <c r="T812" s="93"/>
      <c r="U812" s="93"/>
      <c r="V812" s="93"/>
      <c r="W812" s="93"/>
      <c r="X812" s="93"/>
      <c r="Y812" s="93"/>
      <c r="Z812" s="93"/>
    </row>
    <row r="813" ht="14.25" customHeight="1">
      <c r="A813" s="93"/>
      <c r="B813" s="93"/>
      <c r="C813" s="93"/>
      <c r="D813" s="93"/>
      <c r="E813" s="110"/>
      <c r="F813" s="110"/>
      <c r="G813" s="93"/>
      <c r="H813" s="93"/>
      <c r="I813" s="93"/>
      <c r="J813" s="93"/>
      <c r="K813" s="93"/>
      <c r="L813" s="93"/>
      <c r="M813" s="93"/>
      <c r="N813" s="93"/>
      <c r="O813" s="93"/>
      <c r="P813" s="93"/>
      <c r="Q813" s="93"/>
      <c r="R813" s="93"/>
      <c r="S813" s="93"/>
      <c r="T813" s="93"/>
      <c r="U813" s="93"/>
      <c r="V813" s="93"/>
      <c r="W813" s="93"/>
      <c r="X813" s="93"/>
      <c r="Y813" s="93"/>
      <c r="Z813" s="93"/>
    </row>
    <row r="814" ht="14.25" customHeight="1">
      <c r="A814" s="93"/>
      <c r="B814" s="93"/>
      <c r="C814" s="93"/>
      <c r="D814" s="93"/>
      <c r="E814" s="110"/>
      <c r="F814" s="110"/>
      <c r="G814" s="93"/>
      <c r="H814" s="93"/>
      <c r="I814" s="93"/>
      <c r="J814" s="93"/>
      <c r="K814" s="93"/>
      <c r="L814" s="93"/>
      <c r="M814" s="93"/>
      <c r="N814" s="93"/>
      <c r="O814" s="93"/>
      <c r="P814" s="93"/>
      <c r="Q814" s="93"/>
      <c r="R814" s="93"/>
      <c r="S814" s="93"/>
      <c r="T814" s="93"/>
      <c r="U814" s="93"/>
      <c r="V814" s="93"/>
      <c r="W814" s="93"/>
      <c r="X814" s="93"/>
      <c r="Y814" s="93"/>
      <c r="Z814" s="93"/>
    </row>
    <row r="815" ht="14.25" customHeight="1">
      <c r="A815" s="93"/>
      <c r="B815" s="93"/>
      <c r="C815" s="93"/>
      <c r="D815" s="93"/>
      <c r="E815" s="110"/>
      <c r="F815" s="110"/>
      <c r="G815" s="93"/>
      <c r="H815" s="93"/>
      <c r="I815" s="93"/>
      <c r="J815" s="93"/>
      <c r="K815" s="93"/>
      <c r="L815" s="93"/>
      <c r="M815" s="93"/>
      <c r="N815" s="93"/>
      <c r="O815" s="93"/>
      <c r="P815" s="93"/>
      <c r="Q815" s="93"/>
      <c r="R815" s="93"/>
      <c r="S815" s="93"/>
      <c r="T815" s="93"/>
      <c r="U815" s="93"/>
      <c r="V815" s="93"/>
      <c r="W815" s="93"/>
      <c r="X815" s="93"/>
      <c r="Y815" s="93"/>
      <c r="Z815" s="93"/>
    </row>
    <row r="816" ht="14.25" customHeight="1">
      <c r="A816" s="93"/>
      <c r="B816" s="93"/>
      <c r="C816" s="93"/>
      <c r="D816" s="93"/>
      <c r="E816" s="110"/>
      <c r="F816" s="110"/>
      <c r="G816" s="93"/>
      <c r="H816" s="93"/>
      <c r="I816" s="93"/>
      <c r="J816" s="93"/>
      <c r="K816" s="93"/>
      <c r="L816" s="93"/>
      <c r="M816" s="93"/>
      <c r="N816" s="93"/>
      <c r="O816" s="93"/>
      <c r="P816" s="93"/>
      <c r="Q816" s="93"/>
      <c r="R816" s="93"/>
      <c r="S816" s="93"/>
      <c r="T816" s="93"/>
      <c r="U816" s="93"/>
      <c r="V816" s="93"/>
      <c r="W816" s="93"/>
      <c r="X816" s="93"/>
      <c r="Y816" s="93"/>
      <c r="Z816" s="93"/>
    </row>
    <row r="817" ht="14.25" customHeight="1">
      <c r="A817" s="93"/>
      <c r="B817" s="93"/>
      <c r="C817" s="93"/>
      <c r="D817" s="93"/>
      <c r="E817" s="110"/>
      <c r="F817" s="110"/>
      <c r="G817" s="93"/>
      <c r="H817" s="93"/>
      <c r="I817" s="93"/>
      <c r="J817" s="93"/>
      <c r="K817" s="93"/>
      <c r="L817" s="93"/>
      <c r="M817" s="93"/>
      <c r="N817" s="93"/>
      <c r="O817" s="93"/>
      <c r="P817" s="93"/>
      <c r="Q817" s="93"/>
      <c r="R817" s="93"/>
      <c r="S817" s="93"/>
      <c r="T817" s="93"/>
      <c r="U817" s="93"/>
      <c r="V817" s="93"/>
      <c r="W817" s="93"/>
      <c r="X817" s="93"/>
      <c r="Y817" s="93"/>
      <c r="Z817" s="93"/>
    </row>
    <row r="818" ht="14.25" customHeight="1">
      <c r="A818" s="93"/>
      <c r="B818" s="93"/>
      <c r="C818" s="93"/>
      <c r="D818" s="93"/>
      <c r="E818" s="110"/>
      <c r="F818" s="110"/>
      <c r="G818" s="93"/>
      <c r="H818" s="93"/>
      <c r="I818" s="93"/>
      <c r="J818" s="93"/>
      <c r="K818" s="93"/>
      <c r="L818" s="93"/>
      <c r="M818" s="93"/>
      <c r="N818" s="93"/>
      <c r="O818" s="93"/>
      <c r="P818" s="93"/>
      <c r="Q818" s="93"/>
      <c r="R818" s="93"/>
      <c r="S818" s="93"/>
      <c r="T818" s="93"/>
      <c r="U818" s="93"/>
      <c r="V818" s="93"/>
      <c r="W818" s="93"/>
      <c r="X818" s="93"/>
      <c r="Y818" s="93"/>
      <c r="Z818" s="93"/>
    </row>
    <row r="819" ht="14.25" customHeight="1">
      <c r="A819" s="93"/>
      <c r="B819" s="93"/>
      <c r="C819" s="93"/>
      <c r="D819" s="93"/>
      <c r="E819" s="110"/>
      <c r="F819" s="110"/>
      <c r="G819" s="93"/>
      <c r="H819" s="93"/>
      <c r="I819" s="93"/>
      <c r="J819" s="93"/>
      <c r="K819" s="93"/>
      <c r="L819" s="93"/>
      <c r="M819" s="93"/>
      <c r="N819" s="93"/>
      <c r="O819" s="93"/>
      <c r="P819" s="93"/>
      <c r="Q819" s="93"/>
      <c r="R819" s="93"/>
      <c r="S819" s="93"/>
      <c r="T819" s="93"/>
      <c r="U819" s="93"/>
      <c r="V819" s="93"/>
      <c r="W819" s="93"/>
      <c r="X819" s="93"/>
      <c r="Y819" s="93"/>
      <c r="Z819" s="93"/>
    </row>
    <row r="820" ht="14.25" customHeight="1">
      <c r="A820" s="93"/>
      <c r="B820" s="93"/>
      <c r="C820" s="93"/>
      <c r="D820" s="93"/>
      <c r="E820" s="110"/>
      <c r="F820" s="110"/>
      <c r="G820" s="93"/>
      <c r="H820" s="93"/>
      <c r="I820" s="93"/>
      <c r="J820" s="93"/>
      <c r="K820" s="93"/>
      <c r="L820" s="93"/>
      <c r="M820" s="93"/>
      <c r="N820" s="93"/>
      <c r="O820" s="93"/>
      <c r="P820" s="93"/>
      <c r="Q820" s="93"/>
      <c r="R820" s="93"/>
      <c r="S820" s="93"/>
      <c r="T820" s="93"/>
      <c r="U820" s="93"/>
      <c r="V820" s="93"/>
      <c r="W820" s="93"/>
      <c r="X820" s="93"/>
      <c r="Y820" s="93"/>
      <c r="Z820" s="93"/>
    </row>
    <row r="821" ht="14.25" customHeight="1">
      <c r="A821" s="93"/>
      <c r="B821" s="93"/>
      <c r="C821" s="93"/>
      <c r="D821" s="93"/>
      <c r="E821" s="110"/>
      <c r="F821" s="110"/>
      <c r="G821" s="93"/>
      <c r="H821" s="93"/>
      <c r="I821" s="93"/>
      <c r="J821" s="93"/>
      <c r="K821" s="93"/>
      <c r="L821" s="93"/>
      <c r="M821" s="93"/>
      <c r="N821" s="93"/>
      <c r="O821" s="93"/>
      <c r="P821" s="93"/>
      <c r="Q821" s="93"/>
      <c r="R821" s="93"/>
      <c r="S821" s="93"/>
      <c r="T821" s="93"/>
      <c r="U821" s="93"/>
      <c r="V821" s="93"/>
      <c r="W821" s="93"/>
      <c r="X821" s="93"/>
      <c r="Y821" s="93"/>
      <c r="Z821" s="93"/>
    </row>
    <row r="822" ht="14.25" customHeight="1">
      <c r="A822" s="93"/>
      <c r="B822" s="93"/>
      <c r="C822" s="93"/>
      <c r="D822" s="93"/>
      <c r="E822" s="110"/>
      <c r="F822" s="110"/>
      <c r="G822" s="93"/>
      <c r="H822" s="93"/>
      <c r="I822" s="93"/>
      <c r="J822" s="93"/>
      <c r="K822" s="93"/>
      <c r="L822" s="93"/>
      <c r="M822" s="93"/>
      <c r="N822" s="93"/>
      <c r="O822" s="93"/>
      <c r="P822" s="93"/>
      <c r="Q822" s="93"/>
      <c r="R822" s="93"/>
      <c r="S822" s="93"/>
      <c r="T822" s="93"/>
      <c r="U822" s="93"/>
      <c r="V822" s="93"/>
      <c r="W822" s="93"/>
      <c r="X822" s="93"/>
      <c r="Y822" s="93"/>
      <c r="Z822" s="93"/>
    </row>
    <row r="823" ht="14.25" customHeight="1">
      <c r="A823" s="93"/>
      <c r="B823" s="93"/>
      <c r="C823" s="93"/>
      <c r="D823" s="93"/>
      <c r="E823" s="110"/>
      <c r="F823" s="110"/>
      <c r="G823" s="93"/>
      <c r="H823" s="93"/>
      <c r="I823" s="93"/>
      <c r="J823" s="93"/>
      <c r="K823" s="93"/>
      <c r="L823" s="93"/>
      <c r="M823" s="93"/>
      <c r="N823" s="93"/>
      <c r="O823" s="93"/>
      <c r="P823" s="93"/>
      <c r="Q823" s="93"/>
      <c r="R823" s="93"/>
      <c r="S823" s="93"/>
      <c r="T823" s="93"/>
      <c r="U823" s="93"/>
      <c r="V823" s="93"/>
      <c r="W823" s="93"/>
      <c r="X823" s="93"/>
      <c r="Y823" s="93"/>
      <c r="Z823" s="93"/>
    </row>
    <row r="824" ht="14.25" customHeight="1">
      <c r="A824" s="93"/>
      <c r="B824" s="93"/>
      <c r="C824" s="93"/>
      <c r="D824" s="93"/>
      <c r="E824" s="110"/>
      <c r="F824" s="110"/>
      <c r="G824" s="93"/>
      <c r="H824" s="93"/>
      <c r="I824" s="93"/>
      <c r="J824" s="93"/>
      <c r="K824" s="93"/>
      <c r="L824" s="93"/>
      <c r="M824" s="93"/>
      <c r="N824" s="93"/>
      <c r="O824" s="93"/>
      <c r="P824" s="93"/>
      <c r="Q824" s="93"/>
      <c r="R824" s="93"/>
      <c r="S824" s="93"/>
      <c r="T824" s="93"/>
      <c r="U824" s="93"/>
      <c r="V824" s="93"/>
      <c r="W824" s="93"/>
      <c r="X824" s="93"/>
      <c r="Y824" s="93"/>
      <c r="Z824" s="93"/>
    </row>
    <row r="825" ht="14.25" customHeight="1">
      <c r="A825" s="93"/>
      <c r="B825" s="93"/>
      <c r="C825" s="93"/>
      <c r="D825" s="93"/>
      <c r="E825" s="110"/>
      <c r="F825" s="110"/>
      <c r="G825" s="93"/>
      <c r="H825" s="93"/>
      <c r="I825" s="93"/>
      <c r="J825" s="93"/>
      <c r="K825" s="93"/>
      <c r="L825" s="93"/>
      <c r="M825" s="93"/>
      <c r="N825" s="93"/>
      <c r="O825" s="93"/>
      <c r="P825" s="93"/>
      <c r="Q825" s="93"/>
      <c r="R825" s="93"/>
      <c r="S825" s="93"/>
      <c r="T825" s="93"/>
      <c r="U825" s="93"/>
      <c r="V825" s="93"/>
      <c r="W825" s="93"/>
      <c r="X825" s="93"/>
      <c r="Y825" s="93"/>
      <c r="Z825" s="93"/>
    </row>
    <row r="826" ht="14.25" customHeight="1">
      <c r="A826" s="93"/>
      <c r="B826" s="93"/>
      <c r="C826" s="93"/>
      <c r="D826" s="93"/>
      <c r="E826" s="110"/>
      <c r="F826" s="110"/>
      <c r="G826" s="93"/>
      <c r="H826" s="93"/>
      <c r="I826" s="93"/>
      <c r="J826" s="93"/>
      <c r="K826" s="93"/>
      <c r="L826" s="93"/>
      <c r="M826" s="93"/>
      <c r="N826" s="93"/>
      <c r="O826" s="93"/>
      <c r="P826" s="93"/>
      <c r="Q826" s="93"/>
      <c r="R826" s="93"/>
      <c r="S826" s="93"/>
      <c r="T826" s="93"/>
      <c r="U826" s="93"/>
      <c r="V826" s="93"/>
      <c r="W826" s="93"/>
      <c r="X826" s="93"/>
      <c r="Y826" s="93"/>
      <c r="Z826" s="93"/>
    </row>
    <row r="827" ht="14.25" customHeight="1">
      <c r="A827" s="93"/>
      <c r="B827" s="93"/>
      <c r="C827" s="93"/>
      <c r="D827" s="93"/>
      <c r="E827" s="110"/>
      <c r="F827" s="110"/>
      <c r="G827" s="93"/>
      <c r="H827" s="93"/>
      <c r="I827" s="93"/>
      <c r="J827" s="93"/>
      <c r="K827" s="93"/>
      <c r="L827" s="93"/>
      <c r="M827" s="93"/>
      <c r="N827" s="93"/>
      <c r="O827" s="93"/>
      <c r="P827" s="93"/>
      <c r="Q827" s="93"/>
      <c r="R827" s="93"/>
      <c r="S827" s="93"/>
      <c r="T827" s="93"/>
      <c r="U827" s="93"/>
      <c r="V827" s="93"/>
      <c r="W827" s="93"/>
      <c r="X827" s="93"/>
      <c r="Y827" s="93"/>
      <c r="Z827" s="93"/>
    </row>
    <row r="828" ht="14.25" customHeight="1">
      <c r="A828" s="93"/>
      <c r="B828" s="93"/>
      <c r="C828" s="93"/>
      <c r="D828" s="93"/>
      <c r="E828" s="110"/>
      <c r="F828" s="110"/>
      <c r="G828" s="93"/>
      <c r="H828" s="93"/>
      <c r="I828" s="93"/>
      <c r="J828" s="93"/>
      <c r="K828" s="93"/>
      <c r="L828" s="93"/>
      <c r="M828" s="93"/>
      <c r="N828" s="93"/>
      <c r="O828" s="93"/>
      <c r="P828" s="93"/>
      <c r="Q828" s="93"/>
      <c r="R828" s="93"/>
      <c r="S828" s="93"/>
      <c r="T828" s="93"/>
      <c r="U828" s="93"/>
      <c r="V828" s="93"/>
      <c r="W828" s="93"/>
      <c r="X828" s="93"/>
      <c r="Y828" s="93"/>
      <c r="Z828" s="93"/>
    </row>
    <row r="829" ht="14.25" customHeight="1">
      <c r="A829" s="93"/>
      <c r="B829" s="93"/>
      <c r="C829" s="93"/>
      <c r="D829" s="93"/>
      <c r="E829" s="110"/>
      <c r="F829" s="110"/>
      <c r="G829" s="93"/>
      <c r="H829" s="93"/>
      <c r="I829" s="93"/>
      <c r="J829" s="93"/>
      <c r="K829" s="93"/>
      <c r="L829" s="93"/>
      <c r="M829" s="93"/>
      <c r="N829" s="93"/>
      <c r="O829" s="93"/>
      <c r="P829" s="93"/>
      <c r="Q829" s="93"/>
      <c r="R829" s="93"/>
      <c r="S829" s="93"/>
      <c r="T829" s="93"/>
      <c r="U829" s="93"/>
      <c r="V829" s="93"/>
      <c r="W829" s="93"/>
      <c r="X829" s="93"/>
      <c r="Y829" s="93"/>
      <c r="Z829" s="93"/>
    </row>
    <row r="830" ht="14.25" customHeight="1">
      <c r="A830" s="93"/>
      <c r="B830" s="93"/>
      <c r="C830" s="93"/>
      <c r="D830" s="93"/>
      <c r="E830" s="110"/>
      <c r="F830" s="110"/>
      <c r="G830" s="93"/>
      <c r="H830" s="93"/>
      <c r="I830" s="93"/>
      <c r="J830" s="93"/>
      <c r="K830" s="93"/>
      <c r="L830" s="93"/>
      <c r="M830" s="93"/>
      <c r="N830" s="93"/>
      <c r="O830" s="93"/>
      <c r="P830" s="93"/>
      <c r="Q830" s="93"/>
      <c r="R830" s="93"/>
      <c r="S830" s="93"/>
      <c r="T830" s="93"/>
      <c r="U830" s="93"/>
      <c r="V830" s="93"/>
      <c r="W830" s="93"/>
      <c r="X830" s="93"/>
      <c r="Y830" s="93"/>
      <c r="Z830" s="93"/>
    </row>
    <row r="831" ht="14.25" customHeight="1">
      <c r="A831" s="93"/>
      <c r="B831" s="93"/>
      <c r="C831" s="93"/>
      <c r="D831" s="93"/>
      <c r="E831" s="110"/>
      <c r="F831" s="110"/>
      <c r="G831" s="93"/>
      <c r="H831" s="93"/>
      <c r="I831" s="93"/>
      <c r="J831" s="93"/>
      <c r="K831" s="93"/>
      <c r="L831" s="93"/>
      <c r="M831" s="93"/>
      <c r="N831" s="93"/>
      <c r="O831" s="93"/>
      <c r="P831" s="93"/>
      <c r="Q831" s="93"/>
      <c r="R831" s="93"/>
      <c r="S831" s="93"/>
      <c r="T831" s="93"/>
      <c r="U831" s="93"/>
      <c r="V831" s="93"/>
      <c r="W831" s="93"/>
      <c r="X831" s="93"/>
      <c r="Y831" s="93"/>
      <c r="Z831" s="93"/>
    </row>
    <row r="832" ht="14.25" customHeight="1">
      <c r="A832" s="93"/>
      <c r="B832" s="93"/>
      <c r="C832" s="93"/>
      <c r="D832" s="93"/>
      <c r="E832" s="110"/>
      <c r="F832" s="110"/>
      <c r="G832" s="93"/>
      <c r="H832" s="93"/>
      <c r="I832" s="93"/>
      <c r="J832" s="93"/>
      <c r="K832" s="93"/>
      <c r="L832" s="93"/>
      <c r="M832" s="93"/>
      <c r="N832" s="93"/>
      <c r="O832" s="93"/>
      <c r="P832" s="93"/>
      <c r="Q832" s="93"/>
      <c r="R832" s="93"/>
      <c r="S832" s="93"/>
      <c r="T832" s="93"/>
      <c r="U832" s="93"/>
      <c r="V832" s="93"/>
      <c r="W832" s="93"/>
      <c r="X832" s="93"/>
      <c r="Y832" s="93"/>
      <c r="Z832" s="93"/>
    </row>
    <row r="833" ht="14.25" customHeight="1">
      <c r="A833" s="93"/>
      <c r="B833" s="93"/>
      <c r="C833" s="93"/>
      <c r="D833" s="93"/>
      <c r="E833" s="110"/>
      <c r="F833" s="110"/>
      <c r="G833" s="93"/>
      <c r="H833" s="93"/>
      <c r="I833" s="93"/>
      <c r="J833" s="93"/>
      <c r="K833" s="93"/>
      <c r="L833" s="93"/>
      <c r="M833" s="93"/>
      <c r="N833" s="93"/>
      <c r="O833" s="93"/>
      <c r="P833" s="93"/>
      <c r="Q833" s="93"/>
      <c r="R833" s="93"/>
      <c r="S833" s="93"/>
      <c r="T833" s="93"/>
      <c r="U833" s="93"/>
      <c r="V833" s="93"/>
      <c r="W833" s="93"/>
      <c r="X833" s="93"/>
      <c r="Y833" s="93"/>
      <c r="Z833" s="93"/>
    </row>
    <row r="834" ht="14.25" customHeight="1">
      <c r="A834" s="93"/>
      <c r="B834" s="93"/>
      <c r="C834" s="93"/>
      <c r="D834" s="93"/>
      <c r="E834" s="110"/>
      <c r="F834" s="110"/>
      <c r="G834" s="93"/>
      <c r="H834" s="93"/>
      <c r="I834" s="93"/>
      <c r="J834" s="93"/>
      <c r="K834" s="93"/>
      <c r="L834" s="93"/>
      <c r="M834" s="93"/>
      <c r="N834" s="93"/>
      <c r="O834" s="93"/>
      <c r="P834" s="93"/>
      <c r="Q834" s="93"/>
      <c r="R834" s="93"/>
      <c r="S834" s="93"/>
      <c r="T834" s="93"/>
      <c r="U834" s="93"/>
      <c r="V834" s="93"/>
      <c r="W834" s="93"/>
      <c r="X834" s="93"/>
      <c r="Y834" s="93"/>
      <c r="Z834" s="93"/>
    </row>
    <row r="835" ht="14.25" customHeight="1">
      <c r="A835" s="93"/>
      <c r="B835" s="93"/>
      <c r="C835" s="93"/>
      <c r="D835" s="93"/>
      <c r="E835" s="110"/>
      <c r="F835" s="110"/>
      <c r="G835" s="93"/>
      <c r="H835" s="93"/>
      <c r="I835" s="93"/>
      <c r="J835" s="93"/>
      <c r="K835" s="93"/>
      <c r="L835" s="93"/>
      <c r="M835" s="93"/>
      <c r="N835" s="93"/>
      <c r="O835" s="93"/>
      <c r="P835" s="93"/>
      <c r="Q835" s="93"/>
      <c r="R835" s="93"/>
      <c r="S835" s="93"/>
      <c r="T835" s="93"/>
      <c r="U835" s="93"/>
      <c r="V835" s="93"/>
      <c r="W835" s="93"/>
      <c r="X835" s="93"/>
      <c r="Y835" s="93"/>
      <c r="Z835" s="93"/>
    </row>
    <row r="836" ht="14.25" customHeight="1">
      <c r="A836" s="93"/>
      <c r="B836" s="93"/>
      <c r="C836" s="93"/>
      <c r="D836" s="93"/>
      <c r="E836" s="110"/>
      <c r="F836" s="110"/>
      <c r="G836" s="93"/>
      <c r="H836" s="93"/>
      <c r="I836" s="93"/>
      <c r="J836" s="93"/>
      <c r="K836" s="93"/>
      <c r="L836" s="93"/>
      <c r="M836" s="93"/>
      <c r="N836" s="93"/>
      <c r="O836" s="93"/>
      <c r="P836" s="93"/>
      <c r="Q836" s="93"/>
      <c r="R836" s="93"/>
      <c r="S836" s="93"/>
      <c r="T836" s="93"/>
      <c r="U836" s="93"/>
      <c r="V836" s="93"/>
      <c r="W836" s="93"/>
      <c r="X836" s="93"/>
      <c r="Y836" s="93"/>
      <c r="Z836" s="93"/>
    </row>
    <row r="837" ht="14.25" customHeight="1">
      <c r="A837" s="93"/>
      <c r="B837" s="93"/>
      <c r="C837" s="93"/>
      <c r="D837" s="93"/>
      <c r="E837" s="110"/>
      <c r="F837" s="110"/>
      <c r="G837" s="93"/>
      <c r="H837" s="93"/>
      <c r="I837" s="93"/>
      <c r="J837" s="93"/>
      <c r="K837" s="93"/>
      <c r="L837" s="93"/>
      <c r="M837" s="93"/>
      <c r="N837" s="93"/>
      <c r="O837" s="93"/>
      <c r="P837" s="93"/>
      <c r="Q837" s="93"/>
      <c r="R837" s="93"/>
      <c r="S837" s="93"/>
      <c r="T837" s="93"/>
      <c r="U837" s="93"/>
      <c r="V837" s="93"/>
      <c r="W837" s="93"/>
      <c r="X837" s="93"/>
      <c r="Y837" s="93"/>
      <c r="Z837" s="93"/>
    </row>
    <row r="838" ht="14.25" customHeight="1">
      <c r="A838" s="93"/>
      <c r="B838" s="93"/>
      <c r="C838" s="93"/>
      <c r="D838" s="93"/>
      <c r="E838" s="110"/>
      <c r="F838" s="110"/>
      <c r="G838" s="93"/>
      <c r="H838" s="93"/>
      <c r="I838" s="93"/>
      <c r="J838" s="93"/>
      <c r="K838" s="93"/>
      <c r="L838" s="93"/>
      <c r="M838" s="93"/>
      <c r="N838" s="93"/>
      <c r="O838" s="93"/>
      <c r="P838" s="93"/>
      <c r="Q838" s="93"/>
      <c r="R838" s="93"/>
      <c r="S838" s="93"/>
      <c r="T838" s="93"/>
      <c r="U838" s="93"/>
      <c r="V838" s="93"/>
      <c r="W838" s="93"/>
      <c r="X838" s="93"/>
      <c r="Y838" s="93"/>
      <c r="Z838" s="93"/>
    </row>
    <row r="839" ht="14.25" customHeight="1">
      <c r="A839" s="93"/>
      <c r="B839" s="93"/>
      <c r="C839" s="93"/>
      <c r="D839" s="93"/>
      <c r="E839" s="110"/>
      <c r="F839" s="110"/>
      <c r="G839" s="93"/>
      <c r="H839" s="93"/>
      <c r="I839" s="93"/>
      <c r="J839" s="93"/>
      <c r="K839" s="93"/>
      <c r="L839" s="93"/>
      <c r="M839" s="93"/>
      <c r="N839" s="93"/>
      <c r="O839" s="93"/>
      <c r="P839" s="93"/>
      <c r="Q839" s="93"/>
      <c r="R839" s="93"/>
      <c r="S839" s="93"/>
      <c r="T839" s="93"/>
      <c r="U839" s="93"/>
      <c r="V839" s="93"/>
      <c r="W839" s="93"/>
      <c r="X839" s="93"/>
      <c r="Y839" s="93"/>
      <c r="Z839" s="93"/>
    </row>
    <row r="840" ht="14.25" customHeight="1">
      <c r="A840" s="93"/>
      <c r="B840" s="93"/>
      <c r="C840" s="93"/>
      <c r="D840" s="93"/>
      <c r="E840" s="110"/>
      <c r="F840" s="110"/>
      <c r="G840" s="93"/>
      <c r="H840" s="93"/>
      <c r="I840" s="93"/>
      <c r="J840" s="93"/>
      <c r="K840" s="93"/>
      <c r="L840" s="93"/>
      <c r="M840" s="93"/>
      <c r="N840" s="93"/>
      <c r="O840" s="93"/>
      <c r="P840" s="93"/>
      <c r="Q840" s="93"/>
      <c r="R840" s="93"/>
      <c r="S840" s="93"/>
      <c r="T840" s="93"/>
      <c r="U840" s="93"/>
      <c r="V840" s="93"/>
      <c r="W840" s="93"/>
      <c r="X840" s="93"/>
      <c r="Y840" s="93"/>
      <c r="Z840" s="93"/>
    </row>
    <row r="841" ht="14.25" customHeight="1">
      <c r="A841" s="93"/>
      <c r="B841" s="93"/>
      <c r="C841" s="93"/>
      <c r="D841" s="93"/>
      <c r="E841" s="110"/>
      <c r="F841" s="110"/>
      <c r="G841" s="93"/>
      <c r="H841" s="93"/>
      <c r="I841" s="93"/>
      <c r="J841" s="93"/>
      <c r="K841" s="93"/>
      <c r="L841" s="93"/>
      <c r="M841" s="93"/>
      <c r="N841" s="93"/>
      <c r="O841" s="93"/>
      <c r="P841" s="93"/>
      <c r="Q841" s="93"/>
      <c r="R841" s="93"/>
      <c r="S841" s="93"/>
      <c r="T841" s="93"/>
      <c r="U841" s="93"/>
      <c r="V841" s="93"/>
      <c r="W841" s="93"/>
      <c r="X841" s="93"/>
      <c r="Y841" s="93"/>
      <c r="Z841" s="93"/>
    </row>
    <row r="842" ht="14.25" customHeight="1">
      <c r="A842" s="93"/>
      <c r="B842" s="93"/>
      <c r="C842" s="93"/>
      <c r="D842" s="93"/>
      <c r="E842" s="110"/>
      <c r="F842" s="110"/>
      <c r="G842" s="93"/>
      <c r="H842" s="93"/>
      <c r="I842" s="93"/>
      <c r="J842" s="93"/>
      <c r="K842" s="93"/>
      <c r="L842" s="93"/>
      <c r="M842" s="93"/>
      <c r="N842" s="93"/>
      <c r="O842" s="93"/>
      <c r="P842" s="93"/>
      <c r="Q842" s="93"/>
      <c r="R842" s="93"/>
      <c r="S842" s="93"/>
      <c r="T842" s="93"/>
      <c r="U842" s="93"/>
      <c r="V842" s="93"/>
      <c r="W842" s="93"/>
      <c r="X842" s="93"/>
      <c r="Y842" s="93"/>
      <c r="Z842" s="93"/>
    </row>
    <row r="843" ht="14.25" customHeight="1">
      <c r="A843" s="93"/>
      <c r="B843" s="93"/>
      <c r="C843" s="93"/>
      <c r="D843" s="93"/>
      <c r="E843" s="110"/>
      <c r="F843" s="110"/>
      <c r="G843" s="93"/>
      <c r="H843" s="93"/>
      <c r="I843" s="93"/>
      <c r="J843" s="93"/>
      <c r="K843" s="93"/>
      <c r="L843" s="93"/>
      <c r="M843" s="93"/>
      <c r="N843" s="93"/>
      <c r="O843" s="93"/>
      <c r="P843" s="93"/>
      <c r="Q843" s="93"/>
      <c r="R843" s="93"/>
      <c r="S843" s="93"/>
      <c r="T843" s="93"/>
      <c r="U843" s="93"/>
      <c r="V843" s="93"/>
      <c r="W843" s="93"/>
      <c r="X843" s="93"/>
      <c r="Y843" s="93"/>
      <c r="Z843" s="93"/>
    </row>
    <row r="844" ht="14.25" customHeight="1">
      <c r="A844" s="93"/>
      <c r="B844" s="93"/>
      <c r="C844" s="93"/>
      <c r="D844" s="93"/>
      <c r="E844" s="110"/>
      <c r="F844" s="110"/>
      <c r="G844" s="93"/>
      <c r="H844" s="93"/>
      <c r="I844" s="93"/>
      <c r="J844" s="93"/>
      <c r="K844" s="93"/>
      <c r="L844" s="93"/>
      <c r="M844" s="93"/>
      <c r="N844" s="93"/>
      <c r="O844" s="93"/>
      <c r="P844" s="93"/>
      <c r="Q844" s="93"/>
      <c r="R844" s="93"/>
      <c r="S844" s="93"/>
      <c r="T844" s="93"/>
      <c r="U844" s="93"/>
      <c r="V844" s="93"/>
      <c r="W844" s="93"/>
      <c r="X844" s="93"/>
      <c r="Y844" s="93"/>
      <c r="Z844" s="93"/>
    </row>
    <row r="845" ht="14.25" customHeight="1">
      <c r="A845" s="93"/>
      <c r="B845" s="93"/>
      <c r="C845" s="93"/>
      <c r="D845" s="93"/>
      <c r="E845" s="110"/>
      <c r="F845" s="110"/>
      <c r="G845" s="93"/>
      <c r="H845" s="93"/>
      <c r="I845" s="93"/>
      <c r="J845" s="93"/>
      <c r="K845" s="93"/>
      <c r="L845" s="93"/>
      <c r="M845" s="93"/>
      <c r="N845" s="93"/>
      <c r="O845" s="93"/>
      <c r="P845" s="93"/>
      <c r="Q845" s="93"/>
      <c r="R845" s="93"/>
      <c r="S845" s="93"/>
      <c r="T845" s="93"/>
      <c r="U845" s="93"/>
      <c r="V845" s="93"/>
      <c r="W845" s="93"/>
      <c r="X845" s="93"/>
      <c r="Y845" s="93"/>
      <c r="Z845" s="93"/>
    </row>
    <row r="846" ht="14.25" customHeight="1">
      <c r="A846" s="93"/>
      <c r="B846" s="93"/>
      <c r="C846" s="93"/>
      <c r="D846" s="93"/>
      <c r="E846" s="110"/>
      <c r="F846" s="110"/>
      <c r="G846" s="93"/>
      <c r="H846" s="93"/>
      <c r="I846" s="93"/>
      <c r="J846" s="93"/>
      <c r="K846" s="93"/>
      <c r="L846" s="93"/>
      <c r="M846" s="93"/>
      <c r="N846" s="93"/>
      <c r="O846" s="93"/>
      <c r="P846" s="93"/>
      <c r="Q846" s="93"/>
      <c r="R846" s="93"/>
      <c r="S846" s="93"/>
      <c r="T846" s="93"/>
      <c r="U846" s="93"/>
      <c r="V846" s="93"/>
      <c r="W846" s="93"/>
      <c r="X846" s="93"/>
      <c r="Y846" s="93"/>
      <c r="Z846" s="93"/>
    </row>
    <row r="847" ht="14.25" customHeight="1">
      <c r="A847" s="93"/>
      <c r="B847" s="93"/>
      <c r="C847" s="93"/>
      <c r="D847" s="93"/>
      <c r="E847" s="110"/>
      <c r="F847" s="110"/>
      <c r="G847" s="93"/>
      <c r="H847" s="93"/>
      <c r="I847" s="93"/>
      <c r="J847" s="93"/>
      <c r="K847" s="93"/>
      <c r="L847" s="93"/>
      <c r="M847" s="93"/>
      <c r="N847" s="93"/>
      <c r="O847" s="93"/>
      <c r="P847" s="93"/>
      <c r="Q847" s="93"/>
      <c r="R847" s="93"/>
      <c r="S847" s="93"/>
      <c r="T847" s="93"/>
      <c r="U847" s="93"/>
      <c r="V847" s="93"/>
      <c r="W847" s="93"/>
      <c r="X847" s="93"/>
      <c r="Y847" s="93"/>
      <c r="Z847" s="93"/>
    </row>
    <row r="848" ht="14.25" customHeight="1">
      <c r="A848" s="93"/>
      <c r="B848" s="93"/>
      <c r="C848" s="93"/>
      <c r="D848" s="93"/>
      <c r="E848" s="110"/>
      <c r="F848" s="110"/>
      <c r="G848" s="93"/>
      <c r="H848" s="93"/>
      <c r="I848" s="93"/>
      <c r="J848" s="93"/>
      <c r="K848" s="93"/>
      <c r="L848" s="93"/>
      <c r="M848" s="93"/>
      <c r="N848" s="93"/>
      <c r="O848" s="93"/>
      <c r="P848" s="93"/>
      <c r="Q848" s="93"/>
      <c r="R848" s="93"/>
      <c r="S848" s="93"/>
      <c r="T848" s="93"/>
      <c r="U848" s="93"/>
      <c r="V848" s="93"/>
      <c r="W848" s="93"/>
      <c r="X848" s="93"/>
      <c r="Y848" s="93"/>
      <c r="Z848" s="93"/>
    </row>
    <row r="849" ht="14.25" customHeight="1">
      <c r="A849" s="93"/>
      <c r="B849" s="93"/>
      <c r="C849" s="93"/>
      <c r="D849" s="93"/>
      <c r="E849" s="110"/>
      <c r="F849" s="110"/>
      <c r="G849" s="93"/>
      <c r="H849" s="93"/>
      <c r="I849" s="93"/>
      <c r="J849" s="93"/>
      <c r="K849" s="93"/>
      <c r="L849" s="93"/>
      <c r="M849" s="93"/>
      <c r="N849" s="93"/>
      <c r="O849" s="93"/>
      <c r="P849" s="93"/>
      <c r="Q849" s="93"/>
      <c r="R849" s="93"/>
      <c r="S849" s="93"/>
      <c r="T849" s="93"/>
      <c r="U849" s="93"/>
      <c r="V849" s="93"/>
      <c r="W849" s="93"/>
      <c r="X849" s="93"/>
      <c r="Y849" s="93"/>
      <c r="Z849" s="93"/>
    </row>
    <row r="850" ht="14.25" customHeight="1">
      <c r="A850" s="93"/>
      <c r="B850" s="93"/>
      <c r="C850" s="93"/>
      <c r="D850" s="93"/>
      <c r="E850" s="110"/>
      <c r="F850" s="110"/>
      <c r="G850" s="93"/>
      <c r="H850" s="93"/>
      <c r="I850" s="93"/>
      <c r="J850" s="93"/>
      <c r="K850" s="93"/>
      <c r="L850" s="93"/>
      <c r="M850" s="93"/>
      <c r="N850" s="93"/>
      <c r="O850" s="93"/>
      <c r="P850" s="93"/>
      <c r="Q850" s="93"/>
      <c r="R850" s="93"/>
      <c r="S850" s="93"/>
      <c r="T850" s="93"/>
      <c r="U850" s="93"/>
      <c r="V850" s="93"/>
      <c r="W850" s="93"/>
      <c r="X850" s="93"/>
      <c r="Y850" s="93"/>
      <c r="Z850" s="93"/>
    </row>
    <row r="851" ht="14.25" customHeight="1">
      <c r="A851" s="93"/>
      <c r="B851" s="93"/>
      <c r="C851" s="93"/>
      <c r="D851" s="93"/>
      <c r="E851" s="110"/>
      <c r="F851" s="110"/>
      <c r="G851" s="93"/>
      <c r="H851" s="93"/>
      <c r="I851" s="93"/>
      <c r="J851" s="93"/>
      <c r="K851" s="93"/>
      <c r="L851" s="93"/>
      <c r="M851" s="93"/>
      <c r="N851" s="93"/>
      <c r="O851" s="93"/>
      <c r="P851" s="93"/>
      <c r="Q851" s="93"/>
      <c r="R851" s="93"/>
      <c r="S851" s="93"/>
      <c r="T851" s="93"/>
      <c r="U851" s="93"/>
      <c r="V851" s="93"/>
      <c r="W851" s="93"/>
      <c r="X851" s="93"/>
      <c r="Y851" s="93"/>
      <c r="Z851" s="93"/>
    </row>
    <row r="852" ht="14.25" customHeight="1">
      <c r="A852" s="93"/>
      <c r="B852" s="93"/>
      <c r="C852" s="93"/>
      <c r="D852" s="93"/>
      <c r="E852" s="110"/>
      <c r="F852" s="110"/>
      <c r="G852" s="93"/>
      <c r="H852" s="93"/>
      <c r="I852" s="93"/>
      <c r="J852" s="93"/>
      <c r="K852" s="93"/>
      <c r="L852" s="93"/>
      <c r="M852" s="93"/>
      <c r="N852" s="93"/>
      <c r="O852" s="93"/>
      <c r="P852" s="93"/>
      <c r="Q852" s="93"/>
      <c r="R852" s="93"/>
      <c r="S852" s="93"/>
      <c r="T852" s="93"/>
      <c r="U852" s="93"/>
      <c r="V852" s="93"/>
      <c r="W852" s="93"/>
      <c r="X852" s="93"/>
      <c r="Y852" s="93"/>
      <c r="Z852" s="93"/>
    </row>
    <row r="853" ht="14.25" customHeight="1">
      <c r="A853" s="93"/>
      <c r="B853" s="93"/>
      <c r="C853" s="93"/>
      <c r="D853" s="93"/>
      <c r="E853" s="110"/>
      <c r="F853" s="110"/>
      <c r="G853" s="93"/>
      <c r="H853" s="93"/>
      <c r="I853" s="93"/>
      <c r="J853" s="93"/>
      <c r="K853" s="93"/>
      <c r="L853" s="93"/>
      <c r="M853" s="93"/>
      <c r="N853" s="93"/>
      <c r="O853" s="93"/>
      <c r="P853" s="93"/>
      <c r="Q853" s="93"/>
      <c r="R853" s="93"/>
      <c r="S853" s="93"/>
      <c r="T853" s="93"/>
      <c r="U853" s="93"/>
      <c r="V853" s="93"/>
      <c r="W853" s="93"/>
      <c r="X853" s="93"/>
      <c r="Y853" s="93"/>
      <c r="Z853" s="93"/>
    </row>
    <row r="854" ht="14.25" customHeight="1">
      <c r="A854" s="93"/>
      <c r="B854" s="93"/>
      <c r="C854" s="93"/>
      <c r="D854" s="93"/>
      <c r="E854" s="110"/>
      <c r="F854" s="110"/>
      <c r="G854" s="93"/>
      <c r="H854" s="93"/>
      <c r="I854" s="93"/>
      <c r="J854" s="93"/>
      <c r="K854" s="93"/>
      <c r="L854" s="93"/>
      <c r="M854" s="93"/>
      <c r="N854" s="93"/>
      <c r="O854" s="93"/>
      <c r="P854" s="93"/>
      <c r="Q854" s="93"/>
      <c r="R854" s="93"/>
      <c r="S854" s="93"/>
      <c r="T854" s="93"/>
      <c r="U854" s="93"/>
      <c r="V854" s="93"/>
      <c r="W854" s="93"/>
      <c r="X854" s="93"/>
      <c r="Y854" s="93"/>
      <c r="Z854" s="93"/>
    </row>
    <row r="855" ht="14.25" customHeight="1">
      <c r="A855" s="93"/>
      <c r="B855" s="93"/>
      <c r="C855" s="93"/>
      <c r="D855" s="93"/>
      <c r="E855" s="110"/>
      <c r="F855" s="110"/>
      <c r="G855" s="93"/>
      <c r="H855" s="93"/>
      <c r="I855" s="93"/>
      <c r="J855" s="93"/>
      <c r="K855" s="93"/>
      <c r="L855" s="93"/>
      <c r="M855" s="93"/>
      <c r="N855" s="93"/>
      <c r="O855" s="93"/>
      <c r="P855" s="93"/>
      <c r="Q855" s="93"/>
      <c r="R855" s="93"/>
      <c r="S855" s="93"/>
      <c r="T855" s="93"/>
      <c r="U855" s="93"/>
      <c r="V855" s="93"/>
      <c r="W855" s="93"/>
      <c r="X855" s="93"/>
      <c r="Y855" s="93"/>
      <c r="Z855" s="93"/>
    </row>
    <row r="856" ht="14.25" customHeight="1">
      <c r="A856" s="93"/>
      <c r="B856" s="93"/>
      <c r="C856" s="93"/>
      <c r="D856" s="93"/>
      <c r="E856" s="110"/>
      <c r="F856" s="110"/>
      <c r="G856" s="93"/>
      <c r="H856" s="93"/>
      <c r="I856" s="93"/>
      <c r="J856" s="93"/>
      <c r="K856" s="93"/>
      <c r="L856" s="93"/>
      <c r="M856" s="93"/>
      <c r="N856" s="93"/>
      <c r="O856" s="93"/>
      <c r="P856" s="93"/>
      <c r="Q856" s="93"/>
      <c r="R856" s="93"/>
      <c r="S856" s="93"/>
      <c r="T856" s="93"/>
      <c r="U856" s="93"/>
      <c r="V856" s="93"/>
      <c r="W856" s="93"/>
      <c r="X856" s="93"/>
      <c r="Y856" s="93"/>
      <c r="Z856" s="93"/>
    </row>
    <row r="857" ht="14.25" customHeight="1">
      <c r="A857" s="93"/>
      <c r="B857" s="93"/>
      <c r="C857" s="93"/>
      <c r="D857" s="93"/>
      <c r="E857" s="110"/>
      <c r="F857" s="110"/>
      <c r="G857" s="93"/>
      <c r="H857" s="93"/>
      <c r="I857" s="93"/>
      <c r="J857" s="93"/>
      <c r="K857" s="93"/>
      <c r="L857" s="93"/>
      <c r="M857" s="93"/>
      <c r="N857" s="93"/>
      <c r="O857" s="93"/>
      <c r="P857" s="93"/>
      <c r="Q857" s="93"/>
      <c r="R857" s="93"/>
      <c r="S857" s="93"/>
      <c r="T857" s="93"/>
      <c r="U857" s="93"/>
      <c r="V857" s="93"/>
      <c r="W857" s="93"/>
      <c r="X857" s="93"/>
      <c r="Y857" s="93"/>
      <c r="Z857" s="93"/>
    </row>
    <row r="858" ht="14.25" customHeight="1">
      <c r="A858" s="93"/>
      <c r="B858" s="93"/>
      <c r="C858" s="93"/>
      <c r="D858" s="93"/>
      <c r="E858" s="110"/>
      <c r="F858" s="110"/>
      <c r="G858" s="93"/>
      <c r="H858" s="93"/>
      <c r="I858" s="93"/>
      <c r="J858" s="93"/>
      <c r="K858" s="93"/>
      <c r="L858" s="93"/>
      <c r="M858" s="93"/>
      <c r="N858" s="93"/>
      <c r="O858" s="93"/>
      <c r="P858" s="93"/>
      <c r="Q858" s="93"/>
      <c r="R858" s="93"/>
      <c r="S858" s="93"/>
      <c r="T858" s="93"/>
      <c r="U858" s="93"/>
      <c r="V858" s="93"/>
      <c r="W858" s="93"/>
      <c r="X858" s="93"/>
      <c r="Y858" s="93"/>
      <c r="Z858" s="93"/>
    </row>
    <row r="859" ht="14.25" customHeight="1">
      <c r="A859" s="93"/>
      <c r="B859" s="93"/>
      <c r="C859" s="93"/>
      <c r="D859" s="93"/>
      <c r="E859" s="110"/>
      <c r="F859" s="110"/>
      <c r="G859" s="93"/>
      <c r="H859" s="93"/>
      <c r="I859" s="93"/>
      <c r="J859" s="93"/>
      <c r="K859" s="93"/>
      <c r="L859" s="93"/>
      <c r="M859" s="93"/>
      <c r="N859" s="93"/>
      <c r="O859" s="93"/>
      <c r="P859" s="93"/>
      <c r="Q859" s="93"/>
      <c r="R859" s="93"/>
      <c r="S859" s="93"/>
      <c r="T859" s="93"/>
      <c r="U859" s="93"/>
      <c r="V859" s="93"/>
      <c r="W859" s="93"/>
      <c r="X859" s="93"/>
      <c r="Y859" s="93"/>
      <c r="Z859" s="93"/>
    </row>
    <row r="860" ht="14.25" customHeight="1">
      <c r="A860" s="93"/>
      <c r="B860" s="93"/>
      <c r="C860" s="93"/>
      <c r="D860" s="93"/>
      <c r="E860" s="110"/>
      <c r="F860" s="110"/>
      <c r="G860" s="93"/>
      <c r="H860" s="93"/>
      <c r="I860" s="93"/>
      <c r="J860" s="93"/>
      <c r="K860" s="93"/>
      <c r="L860" s="93"/>
      <c r="M860" s="93"/>
      <c r="N860" s="93"/>
      <c r="O860" s="93"/>
      <c r="P860" s="93"/>
      <c r="Q860" s="93"/>
      <c r="R860" s="93"/>
      <c r="S860" s="93"/>
      <c r="T860" s="93"/>
      <c r="U860" s="93"/>
      <c r="V860" s="93"/>
      <c r="W860" s="93"/>
      <c r="X860" s="93"/>
      <c r="Y860" s="93"/>
      <c r="Z860" s="93"/>
    </row>
    <row r="861" ht="14.25" customHeight="1">
      <c r="A861" s="93"/>
      <c r="B861" s="93"/>
      <c r="C861" s="93"/>
      <c r="D861" s="93"/>
      <c r="E861" s="110"/>
      <c r="F861" s="110"/>
      <c r="G861" s="93"/>
      <c r="H861" s="93"/>
      <c r="I861" s="93"/>
      <c r="J861" s="93"/>
      <c r="K861" s="93"/>
      <c r="L861" s="93"/>
      <c r="M861" s="93"/>
      <c r="N861" s="93"/>
      <c r="O861" s="93"/>
      <c r="P861" s="93"/>
      <c r="Q861" s="93"/>
      <c r="R861" s="93"/>
      <c r="S861" s="93"/>
      <c r="T861" s="93"/>
      <c r="U861" s="93"/>
      <c r="V861" s="93"/>
      <c r="W861" s="93"/>
      <c r="X861" s="93"/>
      <c r="Y861" s="93"/>
      <c r="Z861" s="93"/>
    </row>
    <row r="862" ht="14.25" customHeight="1">
      <c r="A862" s="93"/>
      <c r="B862" s="93"/>
      <c r="C862" s="93"/>
      <c r="D862" s="93"/>
      <c r="E862" s="110"/>
      <c r="F862" s="110"/>
      <c r="G862" s="93"/>
      <c r="H862" s="93"/>
      <c r="I862" s="93"/>
      <c r="J862" s="93"/>
      <c r="K862" s="93"/>
      <c r="L862" s="93"/>
      <c r="M862" s="93"/>
      <c r="N862" s="93"/>
      <c r="O862" s="93"/>
      <c r="P862" s="93"/>
      <c r="Q862" s="93"/>
      <c r="R862" s="93"/>
      <c r="S862" s="93"/>
      <c r="T862" s="93"/>
      <c r="U862" s="93"/>
      <c r="V862" s="93"/>
      <c r="W862" s="93"/>
      <c r="X862" s="93"/>
      <c r="Y862" s="93"/>
      <c r="Z862" s="93"/>
    </row>
    <row r="863" ht="14.25" customHeight="1">
      <c r="A863" s="93"/>
      <c r="B863" s="93"/>
      <c r="C863" s="93"/>
      <c r="D863" s="93"/>
      <c r="E863" s="110"/>
      <c r="F863" s="110"/>
      <c r="G863" s="93"/>
      <c r="H863" s="93"/>
      <c r="I863" s="93"/>
      <c r="J863" s="93"/>
      <c r="K863" s="93"/>
      <c r="L863" s="93"/>
      <c r="M863" s="93"/>
      <c r="N863" s="93"/>
      <c r="O863" s="93"/>
      <c r="P863" s="93"/>
      <c r="Q863" s="93"/>
      <c r="R863" s="93"/>
      <c r="S863" s="93"/>
      <c r="T863" s="93"/>
      <c r="U863" s="93"/>
      <c r="V863" s="93"/>
      <c r="W863" s="93"/>
      <c r="X863" s="93"/>
      <c r="Y863" s="93"/>
      <c r="Z863" s="93"/>
    </row>
    <row r="864" ht="14.25" customHeight="1">
      <c r="A864" s="93"/>
      <c r="B864" s="93"/>
      <c r="C864" s="93"/>
      <c r="D864" s="93"/>
      <c r="E864" s="110"/>
      <c r="F864" s="110"/>
      <c r="G864" s="93"/>
      <c r="H864" s="93"/>
      <c r="I864" s="93"/>
      <c r="J864" s="93"/>
      <c r="K864" s="93"/>
      <c r="L864" s="93"/>
      <c r="M864" s="93"/>
      <c r="N864" s="93"/>
      <c r="O864" s="93"/>
      <c r="P864" s="93"/>
      <c r="Q864" s="93"/>
      <c r="R864" s="93"/>
      <c r="S864" s="93"/>
      <c r="T864" s="93"/>
      <c r="U864" s="93"/>
      <c r="V864" s="93"/>
      <c r="W864" s="93"/>
      <c r="X864" s="93"/>
      <c r="Y864" s="93"/>
      <c r="Z864" s="93"/>
    </row>
    <row r="865" ht="14.25" customHeight="1">
      <c r="A865" s="93"/>
      <c r="B865" s="93"/>
      <c r="C865" s="93"/>
      <c r="D865" s="93"/>
      <c r="E865" s="110"/>
      <c r="F865" s="110"/>
      <c r="G865" s="93"/>
      <c r="H865" s="93"/>
      <c r="I865" s="93"/>
      <c r="J865" s="93"/>
      <c r="K865" s="93"/>
      <c r="L865" s="93"/>
      <c r="M865" s="93"/>
      <c r="N865" s="93"/>
      <c r="O865" s="93"/>
      <c r="P865" s="93"/>
      <c r="Q865" s="93"/>
      <c r="R865" s="93"/>
      <c r="S865" s="93"/>
      <c r="T865" s="93"/>
      <c r="U865" s="93"/>
      <c r="V865" s="93"/>
      <c r="W865" s="93"/>
      <c r="X865" s="93"/>
      <c r="Y865" s="93"/>
      <c r="Z865" s="93"/>
    </row>
    <row r="866" ht="14.25" customHeight="1">
      <c r="A866" s="93"/>
      <c r="B866" s="93"/>
      <c r="C866" s="93"/>
      <c r="D866" s="93"/>
      <c r="E866" s="110"/>
      <c r="F866" s="110"/>
      <c r="G866" s="93"/>
      <c r="H866" s="93"/>
      <c r="I866" s="93"/>
      <c r="J866" s="93"/>
      <c r="K866" s="93"/>
      <c r="L866" s="93"/>
      <c r="M866" s="93"/>
      <c r="N866" s="93"/>
      <c r="O866" s="93"/>
      <c r="P866" s="93"/>
      <c r="Q866" s="93"/>
      <c r="R866" s="93"/>
      <c r="S866" s="93"/>
      <c r="T866" s="93"/>
      <c r="U866" s="93"/>
      <c r="V866" s="93"/>
      <c r="W866" s="93"/>
      <c r="X866" s="93"/>
      <c r="Y866" s="93"/>
      <c r="Z866" s="93"/>
    </row>
    <row r="867" ht="14.25" customHeight="1">
      <c r="A867" s="93"/>
      <c r="B867" s="93"/>
      <c r="C867" s="93"/>
      <c r="D867" s="93"/>
      <c r="E867" s="110"/>
      <c r="F867" s="110"/>
      <c r="G867" s="93"/>
      <c r="H867" s="93"/>
      <c r="I867" s="93"/>
      <c r="J867" s="93"/>
      <c r="K867" s="93"/>
      <c r="L867" s="93"/>
      <c r="M867" s="93"/>
      <c r="N867" s="93"/>
      <c r="O867" s="93"/>
      <c r="P867" s="93"/>
      <c r="Q867" s="93"/>
      <c r="R867" s="93"/>
      <c r="S867" s="93"/>
      <c r="T867" s="93"/>
      <c r="U867" s="93"/>
      <c r="V867" s="93"/>
      <c r="W867" s="93"/>
      <c r="X867" s="93"/>
      <c r="Y867" s="93"/>
      <c r="Z867" s="93"/>
    </row>
    <row r="868" ht="14.25" customHeight="1">
      <c r="A868" s="93"/>
      <c r="B868" s="93"/>
      <c r="C868" s="93"/>
      <c r="D868" s="93"/>
      <c r="E868" s="110"/>
      <c r="F868" s="110"/>
      <c r="G868" s="93"/>
      <c r="H868" s="93"/>
      <c r="I868" s="93"/>
      <c r="J868" s="93"/>
      <c r="K868" s="93"/>
      <c r="L868" s="93"/>
      <c r="M868" s="93"/>
      <c r="N868" s="93"/>
      <c r="O868" s="93"/>
      <c r="P868" s="93"/>
      <c r="Q868" s="93"/>
      <c r="R868" s="93"/>
      <c r="S868" s="93"/>
      <c r="T868" s="93"/>
      <c r="U868" s="93"/>
      <c r="V868" s="93"/>
      <c r="W868" s="93"/>
      <c r="X868" s="93"/>
      <c r="Y868" s="93"/>
      <c r="Z868" s="93"/>
    </row>
    <row r="869" ht="14.25" customHeight="1">
      <c r="A869" s="93"/>
      <c r="B869" s="93"/>
      <c r="C869" s="93"/>
      <c r="D869" s="93"/>
      <c r="E869" s="110"/>
      <c r="F869" s="110"/>
      <c r="G869" s="93"/>
      <c r="H869" s="93"/>
      <c r="I869" s="93"/>
      <c r="J869" s="93"/>
      <c r="K869" s="93"/>
      <c r="L869" s="93"/>
      <c r="M869" s="93"/>
      <c r="N869" s="93"/>
      <c r="O869" s="93"/>
      <c r="P869" s="93"/>
      <c r="Q869" s="93"/>
      <c r="R869" s="93"/>
      <c r="S869" s="93"/>
      <c r="T869" s="93"/>
      <c r="U869" s="93"/>
      <c r="V869" s="93"/>
      <c r="W869" s="93"/>
      <c r="X869" s="93"/>
      <c r="Y869" s="93"/>
      <c r="Z869" s="93"/>
    </row>
    <row r="870" ht="14.25" customHeight="1">
      <c r="A870" s="93"/>
      <c r="B870" s="93"/>
      <c r="C870" s="93"/>
      <c r="D870" s="93"/>
      <c r="E870" s="110"/>
      <c r="F870" s="110"/>
      <c r="G870" s="93"/>
      <c r="H870" s="93"/>
      <c r="I870" s="93"/>
      <c r="J870" s="93"/>
      <c r="K870" s="93"/>
      <c r="L870" s="93"/>
      <c r="M870" s="93"/>
      <c r="N870" s="93"/>
      <c r="O870" s="93"/>
      <c r="P870" s="93"/>
      <c r="Q870" s="93"/>
      <c r="R870" s="93"/>
      <c r="S870" s="93"/>
      <c r="T870" s="93"/>
      <c r="U870" s="93"/>
      <c r="V870" s="93"/>
      <c r="W870" s="93"/>
      <c r="X870" s="93"/>
      <c r="Y870" s="93"/>
      <c r="Z870" s="93"/>
    </row>
    <row r="871" ht="14.25" customHeight="1">
      <c r="A871" s="93"/>
      <c r="B871" s="93"/>
      <c r="C871" s="93"/>
      <c r="D871" s="93"/>
      <c r="E871" s="110"/>
      <c r="F871" s="110"/>
      <c r="G871" s="93"/>
      <c r="H871" s="93"/>
      <c r="I871" s="93"/>
      <c r="J871" s="93"/>
      <c r="K871" s="93"/>
      <c r="L871" s="93"/>
      <c r="M871" s="93"/>
      <c r="N871" s="93"/>
      <c r="O871" s="93"/>
      <c r="P871" s="93"/>
      <c r="Q871" s="93"/>
      <c r="R871" s="93"/>
      <c r="S871" s="93"/>
      <c r="T871" s="93"/>
      <c r="U871" s="93"/>
      <c r="V871" s="93"/>
      <c r="W871" s="93"/>
      <c r="X871" s="93"/>
      <c r="Y871" s="93"/>
      <c r="Z871" s="93"/>
    </row>
    <row r="872" ht="14.25" customHeight="1">
      <c r="A872" s="93"/>
      <c r="B872" s="93"/>
      <c r="C872" s="93"/>
      <c r="D872" s="93"/>
      <c r="E872" s="110"/>
      <c r="F872" s="110"/>
      <c r="G872" s="93"/>
      <c r="H872" s="93"/>
      <c r="I872" s="93"/>
      <c r="J872" s="93"/>
      <c r="K872" s="93"/>
      <c r="L872" s="93"/>
      <c r="M872" s="93"/>
      <c r="N872" s="93"/>
      <c r="O872" s="93"/>
      <c r="P872" s="93"/>
      <c r="Q872" s="93"/>
      <c r="R872" s="93"/>
      <c r="S872" s="93"/>
      <c r="T872" s="93"/>
      <c r="U872" s="93"/>
      <c r="V872" s="93"/>
      <c r="W872" s="93"/>
      <c r="X872" s="93"/>
      <c r="Y872" s="93"/>
      <c r="Z872" s="93"/>
    </row>
    <row r="873" ht="14.25" customHeight="1">
      <c r="A873" s="93"/>
      <c r="B873" s="93"/>
      <c r="C873" s="93"/>
      <c r="D873" s="93"/>
      <c r="E873" s="110"/>
      <c r="F873" s="110"/>
      <c r="G873" s="93"/>
      <c r="H873" s="93"/>
      <c r="I873" s="93"/>
      <c r="J873" s="93"/>
      <c r="K873" s="93"/>
      <c r="L873" s="93"/>
      <c r="M873" s="93"/>
      <c r="N873" s="93"/>
      <c r="O873" s="93"/>
      <c r="P873" s="93"/>
      <c r="Q873" s="93"/>
      <c r="R873" s="93"/>
      <c r="S873" s="93"/>
      <c r="T873" s="93"/>
      <c r="U873" s="93"/>
      <c r="V873" s="93"/>
      <c r="W873" s="93"/>
      <c r="X873" s="93"/>
      <c r="Y873" s="93"/>
      <c r="Z873" s="93"/>
    </row>
    <row r="874" ht="14.25" customHeight="1">
      <c r="A874" s="93"/>
      <c r="B874" s="93"/>
      <c r="C874" s="93"/>
      <c r="D874" s="93"/>
      <c r="E874" s="110"/>
      <c r="F874" s="110"/>
      <c r="G874" s="93"/>
      <c r="H874" s="93"/>
      <c r="I874" s="93"/>
      <c r="J874" s="93"/>
      <c r="K874" s="93"/>
      <c r="L874" s="93"/>
      <c r="M874" s="93"/>
      <c r="N874" s="93"/>
      <c r="O874" s="93"/>
      <c r="P874" s="93"/>
      <c r="Q874" s="93"/>
      <c r="R874" s="93"/>
      <c r="S874" s="93"/>
      <c r="T874" s="93"/>
      <c r="U874" s="93"/>
      <c r="V874" s="93"/>
      <c r="W874" s="93"/>
      <c r="X874" s="93"/>
      <c r="Y874" s="93"/>
      <c r="Z874" s="93"/>
    </row>
    <row r="875" ht="14.25" customHeight="1">
      <c r="A875" s="93"/>
      <c r="B875" s="93"/>
      <c r="C875" s="93"/>
      <c r="D875" s="93"/>
      <c r="E875" s="110"/>
      <c r="F875" s="110"/>
      <c r="G875" s="93"/>
      <c r="H875" s="93"/>
      <c r="I875" s="93"/>
      <c r="J875" s="93"/>
      <c r="K875" s="93"/>
      <c r="L875" s="93"/>
      <c r="M875" s="93"/>
      <c r="N875" s="93"/>
      <c r="O875" s="93"/>
      <c r="P875" s="93"/>
      <c r="Q875" s="93"/>
      <c r="R875" s="93"/>
      <c r="S875" s="93"/>
      <c r="T875" s="93"/>
      <c r="U875" s="93"/>
      <c r="V875" s="93"/>
      <c r="W875" s="93"/>
      <c r="X875" s="93"/>
      <c r="Y875" s="93"/>
      <c r="Z875" s="93"/>
    </row>
    <row r="876" ht="14.25" customHeight="1">
      <c r="A876" s="93"/>
      <c r="B876" s="93"/>
      <c r="C876" s="93"/>
      <c r="D876" s="93"/>
      <c r="E876" s="110"/>
      <c r="F876" s="110"/>
      <c r="G876" s="93"/>
      <c r="H876" s="93"/>
      <c r="I876" s="93"/>
      <c r="J876" s="93"/>
      <c r="K876" s="93"/>
      <c r="L876" s="93"/>
      <c r="M876" s="93"/>
      <c r="N876" s="93"/>
      <c r="O876" s="93"/>
      <c r="P876" s="93"/>
      <c r="Q876" s="93"/>
      <c r="R876" s="93"/>
      <c r="S876" s="93"/>
      <c r="T876" s="93"/>
      <c r="U876" s="93"/>
      <c r="V876" s="93"/>
      <c r="W876" s="93"/>
      <c r="X876" s="93"/>
      <c r="Y876" s="93"/>
      <c r="Z876" s="93"/>
    </row>
    <row r="877" ht="14.25" customHeight="1">
      <c r="A877" s="93"/>
      <c r="B877" s="93"/>
      <c r="C877" s="93"/>
      <c r="D877" s="93"/>
      <c r="E877" s="110"/>
      <c r="F877" s="110"/>
      <c r="G877" s="93"/>
      <c r="H877" s="93"/>
      <c r="I877" s="93"/>
      <c r="J877" s="93"/>
      <c r="K877" s="93"/>
      <c r="L877" s="93"/>
      <c r="M877" s="93"/>
      <c r="N877" s="93"/>
      <c r="O877" s="93"/>
      <c r="P877" s="93"/>
      <c r="Q877" s="93"/>
      <c r="R877" s="93"/>
      <c r="S877" s="93"/>
      <c r="T877" s="93"/>
      <c r="U877" s="93"/>
      <c r="V877" s="93"/>
      <c r="W877" s="93"/>
      <c r="X877" s="93"/>
      <c r="Y877" s="93"/>
      <c r="Z877" s="93"/>
    </row>
    <row r="878" ht="14.25" customHeight="1">
      <c r="A878" s="93"/>
      <c r="B878" s="93"/>
      <c r="C878" s="93"/>
      <c r="D878" s="93"/>
      <c r="E878" s="110"/>
      <c r="F878" s="110"/>
      <c r="G878" s="93"/>
      <c r="H878" s="93"/>
      <c r="I878" s="93"/>
      <c r="J878" s="93"/>
      <c r="K878" s="93"/>
      <c r="L878" s="93"/>
      <c r="M878" s="93"/>
      <c r="N878" s="93"/>
      <c r="O878" s="93"/>
      <c r="P878" s="93"/>
      <c r="Q878" s="93"/>
      <c r="R878" s="93"/>
      <c r="S878" s="93"/>
      <c r="T878" s="93"/>
      <c r="U878" s="93"/>
      <c r="V878" s="93"/>
      <c r="W878" s="93"/>
      <c r="X878" s="93"/>
      <c r="Y878" s="93"/>
      <c r="Z878" s="93"/>
    </row>
    <row r="879" ht="14.25" customHeight="1">
      <c r="A879" s="93"/>
      <c r="B879" s="93"/>
      <c r="C879" s="93"/>
      <c r="D879" s="93"/>
      <c r="E879" s="110"/>
      <c r="F879" s="110"/>
      <c r="G879" s="93"/>
      <c r="H879" s="93"/>
      <c r="I879" s="93"/>
      <c r="J879" s="93"/>
      <c r="K879" s="93"/>
      <c r="L879" s="93"/>
      <c r="M879" s="93"/>
      <c r="N879" s="93"/>
      <c r="O879" s="93"/>
      <c r="P879" s="93"/>
      <c r="Q879" s="93"/>
      <c r="R879" s="93"/>
      <c r="S879" s="93"/>
      <c r="T879" s="93"/>
      <c r="U879" s="93"/>
      <c r="V879" s="93"/>
      <c r="W879" s="93"/>
      <c r="X879" s="93"/>
      <c r="Y879" s="93"/>
      <c r="Z879" s="93"/>
    </row>
    <row r="880" ht="14.25" customHeight="1">
      <c r="A880" s="93"/>
      <c r="B880" s="93"/>
      <c r="C880" s="93"/>
      <c r="D880" s="93"/>
      <c r="E880" s="110"/>
      <c r="F880" s="110"/>
      <c r="G880" s="93"/>
      <c r="H880" s="93"/>
      <c r="I880" s="93"/>
      <c r="J880" s="93"/>
      <c r="K880" s="93"/>
      <c r="L880" s="93"/>
      <c r="M880" s="93"/>
      <c r="N880" s="93"/>
      <c r="O880" s="93"/>
      <c r="P880" s="93"/>
      <c r="Q880" s="93"/>
      <c r="R880" s="93"/>
      <c r="S880" s="93"/>
      <c r="T880" s="93"/>
      <c r="U880" s="93"/>
      <c r="V880" s="93"/>
      <c r="W880" s="93"/>
      <c r="X880" s="93"/>
      <c r="Y880" s="93"/>
      <c r="Z880" s="93"/>
    </row>
    <row r="881" ht="14.25" customHeight="1">
      <c r="A881" s="93"/>
      <c r="B881" s="93"/>
      <c r="C881" s="93"/>
      <c r="D881" s="93"/>
      <c r="E881" s="110"/>
      <c r="F881" s="110"/>
      <c r="G881" s="93"/>
      <c r="H881" s="93"/>
      <c r="I881" s="93"/>
      <c r="J881" s="93"/>
      <c r="K881" s="93"/>
      <c r="L881" s="93"/>
      <c r="M881" s="93"/>
      <c r="N881" s="93"/>
      <c r="O881" s="93"/>
      <c r="P881" s="93"/>
      <c r="Q881" s="93"/>
      <c r="R881" s="93"/>
      <c r="S881" s="93"/>
      <c r="T881" s="93"/>
      <c r="U881" s="93"/>
      <c r="V881" s="93"/>
      <c r="W881" s="93"/>
      <c r="X881" s="93"/>
      <c r="Y881" s="93"/>
      <c r="Z881" s="93"/>
    </row>
    <row r="882" ht="14.25" customHeight="1">
      <c r="A882" s="93"/>
      <c r="B882" s="93"/>
      <c r="C882" s="93"/>
      <c r="D882" s="93"/>
      <c r="E882" s="110"/>
      <c r="F882" s="110"/>
      <c r="G882" s="93"/>
      <c r="H882" s="93"/>
      <c r="I882" s="93"/>
      <c r="J882" s="93"/>
      <c r="K882" s="93"/>
      <c r="L882" s="93"/>
      <c r="M882" s="93"/>
      <c r="N882" s="93"/>
      <c r="O882" s="93"/>
      <c r="P882" s="93"/>
      <c r="Q882" s="93"/>
      <c r="R882" s="93"/>
      <c r="S882" s="93"/>
      <c r="T882" s="93"/>
      <c r="U882" s="93"/>
      <c r="V882" s="93"/>
      <c r="W882" s="93"/>
      <c r="X882" s="93"/>
      <c r="Y882" s="93"/>
      <c r="Z882" s="93"/>
    </row>
    <row r="883" ht="14.25" customHeight="1">
      <c r="A883" s="93"/>
      <c r="B883" s="93"/>
      <c r="C883" s="93"/>
      <c r="D883" s="93"/>
      <c r="E883" s="110"/>
      <c r="F883" s="110"/>
      <c r="G883" s="93"/>
      <c r="H883" s="93"/>
      <c r="I883" s="93"/>
      <c r="J883" s="93"/>
      <c r="K883" s="93"/>
      <c r="L883" s="93"/>
      <c r="M883" s="93"/>
      <c r="N883" s="93"/>
      <c r="O883" s="93"/>
      <c r="P883" s="93"/>
      <c r="Q883" s="93"/>
      <c r="R883" s="93"/>
      <c r="S883" s="93"/>
      <c r="T883" s="93"/>
      <c r="U883" s="93"/>
      <c r="V883" s="93"/>
      <c r="W883" s="93"/>
      <c r="X883" s="93"/>
      <c r="Y883" s="93"/>
      <c r="Z883" s="93"/>
    </row>
    <row r="884" ht="14.25" customHeight="1">
      <c r="A884" s="93"/>
      <c r="B884" s="93"/>
      <c r="C884" s="93"/>
      <c r="D884" s="93"/>
      <c r="E884" s="110"/>
      <c r="F884" s="110"/>
      <c r="G884" s="93"/>
      <c r="H884" s="93"/>
      <c r="I884" s="93"/>
      <c r="J884" s="93"/>
      <c r="K884" s="93"/>
      <c r="L884" s="93"/>
      <c r="M884" s="93"/>
      <c r="N884" s="93"/>
      <c r="O884" s="93"/>
      <c r="P884" s="93"/>
      <c r="Q884" s="93"/>
      <c r="R884" s="93"/>
      <c r="S884" s="93"/>
      <c r="T884" s="93"/>
      <c r="U884" s="93"/>
      <c r="V884" s="93"/>
      <c r="W884" s="93"/>
      <c r="X884" s="93"/>
      <c r="Y884" s="93"/>
      <c r="Z884" s="93"/>
    </row>
    <row r="885" ht="14.25" customHeight="1">
      <c r="A885" s="93"/>
      <c r="B885" s="93"/>
      <c r="C885" s="93"/>
      <c r="D885" s="93"/>
      <c r="E885" s="110"/>
      <c r="F885" s="110"/>
      <c r="G885" s="93"/>
      <c r="H885" s="93"/>
      <c r="I885" s="93"/>
      <c r="J885" s="93"/>
      <c r="K885" s="93"/>
      <c r="L885" s="93"/>
      <c r="M885" s="93"/>
      <c r="N885" s="93"/>
      <c r="O885" s="93"/>
      <c r="P885" s="93"/>
      <c r="Q885" s="93"/>
      <c r="R885" s="93"/>
      <c r="S885" s="93"/>
      <c r="T885" s="93"/>
      <c r="U885" s="93"/>
      <c r="V885" s="93"/>
      <c r="W885" s="93"/>
      <c r="X885" s="93"/>
      <c r="Y885" s="93"/>
      <c r="Z885" s="93"/>
    </row>
    <row r="886" ht="14.25" customHeight="1">
      <c r="A886" s="93"/>
      <c r="B886" s="93"/>
      <c r="C886" s="93"/>
      <c r="D886" s="93"/>
      <c r="E886" s="110"/>
      <c r="F886" s="110"/>
      <c r="G886" s="93"/>
      <c r="H886" s="93"/>
      <c r="I886" s="93"/>
      <c r="J886" s="93"/>
      <c r="K886" s="93"/>
      <c r="L886" s="93"/>
      <c r="M886" s="93"/>
      <c r="N886" s="93"/>
      <c r="O886" s="93"/>
      <c r="P886" s="93"/>
      <c r="Q886" s="93"/>
      <c r="R886" s="93"/>
      <c r="S886" s="93"/>
      <c r="T886" s="93"/>
      <c r="U886" s="93"/>
      <c r="V886" s="93"/>
      <c r="W886" s="93"/>
      <c r="X886" s="93"/>
      <c r="Y886" s="93"/>
      <c r="Z886" s="93"/>
    </row>
    <row r="887" ht="14.25" customHeight="1">
      <c r="A887" s="93"/>
      <c r="B887" s="93"/>
      <c r="C887" s="93"/>
      <c r="D887" s="93"/>
      <c r="E887" s="110"/>
      <c r="F887" s="110"/>
      <c r="G887" s="93"/>
      <c r="H887" s="93"/>
      <c r="I887" s="93"/>
      <c r="J887" s="93"/>
      <c r="K887" s="93"/>
      <c r="L887" s="93"/>
      <c r="M887" s="93"/>
      <c r="N887" s="93"/>
      <c r="O887" s="93"/>
      <c r="P887" s="93"/>
      <c r="Q887" s="93"/>
      <c r="R887" s="93"/>
      <c r="S887" s="93"/>
      <c r="T887" s="93"/>
      <c r="U887" s="93"/>
      <c r="V887" s="93"/>
      <c r="W887" s="93"/>
      <c r="X887" s="93"/>
      <c r="Y887" s="93"/>
      <c r="Z887" s="93"/>
    </row>
    <row r="888" ht="14.25" customHeight="1">
      <c r="A888" s="93"/>
      <c r="B888" s="93"/>
      <c r="C888" s="93"/>
      <c r="D888" s="93"/>
      <c r="E888" s="110"/>
      <c r="F888" s="110"/>
      <c r="G888" s="93"/>
      <c r="H888" s="93"/>
      <c r="I888" s="93"/>
      <c r="J888" s="93"/>
      <c r="K888" s="93"/>
      <c r="L888" s="93"/>
      <c r="M888" s="93"/>
      <c r="N888" s="93"/>
      <c r="O888" s="93"/>
      <c r="P888" s="93"/>
      <c r="Q888" s="93"/>
      <c r="R888" s="93"/>
      <c r="S888" s="93"/>
      <c r="T888" s="93"/>
      <c r="U888" s="93"/>
      <c r="V888" s="93"/>
      <c r="W888" s="93"/>
      <c r="X888" s="93"/>
      <c r="Y888" s="93"/>
      <c r="Z888" s="93"/>
    </row>
    <row r="889" ht="14.25" customHeight="1">
      <c r="A889" s="93"/>
      <c r="B889" s="93"/>
      <c r="C889" s="93"/>
      <c r="D889" s="93"/>
      <c r="E889" s="110"/>
      <c r="F889" s="110"/>
      <c r="G889" s="93"/>
      <c r="H889" s="93"/>
      <c r="I889" s="93"/>
      <c r="J889" s="93"/>
      <c r="K889" s="93"/>
      <c r="L889" s="93"/>
      <c r="M889" s="93"/>
      <c r="N889" s="93"/>
      <c r="O889" s="93"/>
      <c r="P889" s="93"/>
      <c r="Q889" s="93"/>
      <c r="R889" s="93"/>
      <c r="S889" s="93"/>
      <c r="T889" s="93"/>
      <c r="U889" s="93"/>
      <c r="V889" s="93"/>
      <c r="W889" s="93"/>
      <c r="X889" s="93"/>
      <c r="Y889" s="93"/>
      <c r="Z889" s="93"/>
    </row>
    <row r="890" ht="14.25" customHeight="1">
      <c r="A890" s="93"/>
      <c r="B890" s="93"/>
      <c r="C890" s="93"/>
      <c r="D890" s="93"/>
      <c r="E890" s="110"/>
      <c r="F890" s="110"/>
      <c r="G890" s="93"/>
      <c r="H890" s="93"/>
      <c r="I890" s="93"/>
      <c r="J890" s="93"/>
      <c r="K890" s="93"/>
      <c r="L890" s="93"/>
      <c r="M890" s="93"/>
      <c r="N890" s="93"/>
      <c r="O890" s="93"/>
      <c r="P890" s="93"/>
      <c r="Q890" s="93"/>
      <c r="R890" s="93"/>
      <c r="S890" s="93"/>
      <c r="T890" s="93"/>
      <c r="U890" s="93"/>
      <c r="V890" s="93"/>
      <c r="W890" s="93"/>
      <c r="X890" s="93"/>
      <c r="Y890" s="93"/>
      <c r="Z890" s="93"/>
    </row>
    <row r="891" ht="14.25" customHeight="1">
      <c r="A891" s="93"/>
      <c r="B891" s="93"/>
      <c r="C891" s="93"/>
      <c r="D891" s="93"/>
      <c r="E891" s="110"/>
      <c r="F891" s="110"/>
      <c r="G891" s="93"/>
      <c r="H891" s="93"/>
      <c r="I891" s="93"/>
      <c r="J891" s="93"/>
      <c r="K891" s="93"/>
      <c r="L891" s="93"/>
      <c r="M891" s="93"/>
      <c r="N891" s="93"/>
      <c r="O891" s="93"/>
      <c r="P891" s="93"/>
      <c r="Q891" s="93"/>
      <c r="R891" s="93"/>
      <c r="S891" s="93"/>
      <c r="T891" s="93"/>
      <c r="U891" s="93"/>
      <c r="V891" s="93"/>
      <c r="W891" s="93"/>
      <c r="X891" s="93"/>
      <c r="Y891" s="93"/>
      <c r="Z891" s="93"/>
    </row>
    <row r="892" ht="14.25" customHeight="1">
      <c r="A892" s="93"/>
      <c r="B892" s="93"/>
      <c r="C892" s="93"/>
      <c r="D892" s="93"/>
      <c r="E892" s="110"/>
      <c r="F892" s="110"/>
      <c r="G892" s="93"/>
      <c r="H892" s="93"/>
      <c r="I892" s="93"/>
      <c r="J892" s="93"/>
      <c r="K892" s="93"/>
      <c r="L892" s="93"/>
      <c r="M892" s="93"/>
      <c r="N892" s="93"/>
      <c r="O892" s="93"/>
      <c r="P892" s="93"/>
      <c r="Q892" s="93"/>
      <c r="R892" s="93"/>
      <c r="S892" s="93"/>
      <c r="T892" s="93"/>
      <c r="U892" s="93"/>
      <c r="V892" s="93"/>
      <c r="W892" s="93"/>
      <c r="X892" s="93"/>
      <c r="Y892" s="93"/>
      <c r="Z892" s="93"/>
    </row>
    <row r="893" ht="14.25" customHeight="1">
      <c r="A893" s="93"/>
      <c r="B893" s="93"/>
      <c r="C893" s="93"/>
      <c r="D893" s="93"/>
      <c r="E893" s="110"/>
      <c r="F893" s="110"/>
      <c r="G893" s="93"/>
      <c r="H893" s="93"/>
      <c r="I893" s="93"/>
      <c r="J893" s="93"/>
      <c r="K893" s="93"/>
      <c r="L893" s="93"/>
      <c r="M893" s="93"/>
      <c r="N893" s="93"/>
      <c r="O893" s="93"/>
      <c r="P893" s="93"/>
      <c r="Q893" s="93"/>
      <c r="R893" s="93"/>
      <c r="S893" s="93"/>
      <c r="T893" s="93"/>
      <c r="U893" s="93"/>
      <c r="V893" s="93"/>
      <c r="W893" s="93"/>
      <c r="X893" s="93"/>
      <c r="Y893" s="93"/>
      <c r="Z893" s="93"/>
    </row>
    <row r="894" ht="14.25" customHeight="1">
      <c r="A894" s="93"/>
      <c r="B894" s="93"/>
      <c r="C894" s="93"/>
      <c r="D894" s="93"/>
      <c r="E894" s="110"/>
      <c r="F894" s="110"/>
      <c r="G894" s="93"/>
      <c r="H894" s="93"/>
      <c r="I894" s="93"/>
      <c r="J894" s="93"/>
      <c r="K894" s="93"/>
      <c r="L894" s="93"/>
      <c r="M894" s="93"/>
      <c r="N894" s="93"/>
      <c r="O894" s="93"/>
      <c r="P894" s="93"/>
      <c r="Q894" s="93"/>
      <c r="R894" s="93"/>
      <c r="S894" s="93"/>
      <c r="T894" s="93"/>
      <c r="U894" s="93"/>
      <c r="V894" s="93"/>
      <c r="W894" s="93"/>
      <c r="X894" s="93"/>
      <c r="Y894" s="93"/>
      <c r="Z894" s="93"/>
    </row>
    <row r="895" ht="14.25" customHeight="1">
      <c r="A895" s="93"/>
      <c r="B895" s="93"/>
      <c r="C895" s="93"/>
      <c r="D895" s="93"/>
      <c r="E895" s="110"/>
      <c r="F895" s="110"/>
      <c r="G895" s="93"/>
      <c r="H895" s="93"/>
      <c r="I895" s="93"/>
      <c r="J895" s="93"/>
      <c r="K895" s="93"/>
      <c r="L895" s="93"/>
      <c r="M895" s="93"/>
      <c r="N895" s="93"/>
      <c r="O895" s="93"/>
      <c r="P895" s="93"/>
      <c r="Q895" s="93"/>
      <c r="R895" s="93"/>
      <c r="S895" s="93"/>
      <c r="T895" s="93"/>
      <c r="U895" s="93"/>
      <c r="V895" s="93"/>
      <c r="W895" s="93"/>
      <c r="X895" s="93"/>
      <c r="Y895" s="93"/>
      <c r="Z895" s="93"/>
    </row>
    <row r="896" ht="14.25" customHeight="1">
      <c r="A896" s="93"/>
      <c r="B896" s="93"/>
      <c r="C896" s="93"/>
      <c r="D896" s="93"/>
      <c r="E896" s="110"/>
      <c r="F896" s="110"/>
      <c r="G896" s="93"/>
      <c r="H896" s="93"/>
      <c r="I896" s="93"/>
      <c r="J896" s="93"/>
      <c r="K896" s="93"/>
      <c r="L896" s="93"/>
      <c r="M896" s="93"/>
      <c r="N896" s="93"/>
      <c r="O896" s="93"/>
      <c r="P896" s="93"/>
      <c r="Q896" s="93"/>
      <c r="R896" s="93"/>
      <c r="S896" s="93"/>
      <c r="T896" s="93"/>
      <c r="U896" s="93"/>
      <c r="V896" s="93"/>
      <c r="W896" s="93"/>
      <c r="X896" s="93"/>
      <c r="Y896" s="93"/>
      <c r="Z896" s="93"/>
    </row>
    <row r="897" ht="14.25" customHeight="1">
      <c r="A897" s="93"/>
      <c r="B897" s="93"/>
      <c r="C897" s="93"/>
      <c r="D897" s="93"/>
      <c r="E897" s="110"/>
      <c r="F897" s="110"/>
      <c r="G897" s="93"/>
      <c r="H897" s="93"/>
      <c r="I897" s="93"/>
      <c r="J897" s="93"/>
      <c r="K897" s="93"/>
      <c r="L897" s="93"/>
      <c r="M897" s="93"/>
      <c r="N897" s="93"/>
      <c r="O897" s="93"/>
      <c r="P897" s="93"/>
      <c r="Q897" s="93"/>
      <c r="R897" s="93"/>
      <c r="S897" s="93"/>
      <c r="T897" s="93"/>
      <c r="U897" s="93"/>
      <c r="V897" s="93"/>
      <c r="W897" s="93"/>
      <c r="X897" s="93"/>
      <c r="Y897" s="93"/>
      <c r="Z897" s="93"/>
    </row>
    <row r="898" ht="14.25" customHeight="1">
      <c r="A898" s="93"/>
      <c r="B898" s="93"/>
      <c r="C898" s="93"/>
      <c r="D898" s="93"/>
      <c r="E898" s="110"/>
      <c r="F898" s="110"/>
      <c r="G898" s="93"/>
      <c r="H898" s="93"/>
      <c r="I898" s="93"/>
      <c r="J898" s="93"/>
      <c r="K898" s="93"/>
      <c r="L898" s="93"/>
      <c r="M898" s="93"/>
      <c r="N898" s="93"/>
      <c r="O898" s="93"/>
      <c r="P898" s="93"/>
      <c r="Q898" s="93"/>
      <c r="R898" s="93"/>
      <c r="S898" s="93"/>
      <c r="T898" s="93"/>
      <c r="U898" s="93"/>
      <c r="V898" s="93"/>
      <c r="W898" s="93"/>
      <c r="X898" s="93"/>
      <c r="Y898" s="93"/>
      <c r="Z898" s="93"/>
    </row>
    <row r="899" ht="14.25" customHeight="1">
      <c r="A899" s="93"/>
      <c r="B899" s="93"/>
      <c r="C899" s="93"/>
      <c r="D899" s="93"/>
      <c r="E899" s="110"/>
      <c r="F899" s="110"/>
      <c r="G899" s="93"/>
      <c r="H899" s="93"/>
      <c r="I899" s="93"/>
      <c r="J899" s="93"/>
      <c r="K899" s="93"/>
      <c r="L899" s="93"/>
      <c r="M899" s="93"/>
      <c r="N899" s="93"/>
      <c r="O899" s="93"/>
      <c r="P899" s="93"/>
      <c r="Q899" s="93"/>
      <c r="R899" s="93"/>
      <c r="S899" s="93"/>
      <c r="T899" s="93"/>
      <c r="U899" s="93"/>
      <c r="V899" s="93"/>
      <c r="W899" s="93"/>
      <c r="X899" s="93"/>
      <c r="Y899" s="93"/>
      <c r="Z899" s="93"/>
    </row>
    <row r="900" ht="14.25" customHeight="1">
      <c r="A900" s="93"/>
      <c r="B900" s="93"/>
      <c r="C900" s="93"/>
      <c r="D900" s="93"/>
      <c r="E900" s="110"/>
      <c r="F900" s="110"/>
      <c r="G900" s="93"/>
      <c r="H900" s="93"/>
      <c r="I900" s="93"/>
      <c r="J900" s="93"/>
      <c r="K900" s="93"/>
      <c r="L900" s="93"/>
      <c r="M900" s="93"/>
      <c r="N900" s="93"/>
      <c r="O900" s="93"/>
      <c r="P900" s="93"/>
      <c r="Q900" s="93"/>
      <c r="R900" s="93"/>
      <c r="S900" s="93"/>
      <c r="T900" s="93"/>
      <c r="U900" s="93"/>
      <c r="V900" s="93"/>
      <c r="W900" s="93"/>
      <c r="X900" s="93"/>
      <c r="Y900" s="93"/>
      <c r="Z900" s="93"/>
    </row>
    <row r="901" ht="14.25" customHeight="1">
      <c r="A901" s="93"/>
      <c r="B901" s="93"/>
      <c r="C901" s="93"/>
      <c r="D901" s="93"/>
      <c r="E901" s="110"/>
      <c r="F901" s="110"/>
      <c r="G901" s="93"/>
      <c r="H901" s="93"/>
      <c r="I901" s="93"/>
      <c r="J901" s="93"/>
      <c r="K901" s="93"/>
      <c r="L901" s="93"/>
      <c r="M901" s="93"/>
      <c r="N901" s="93"/>
      <c r="O901" s="93"/>
      <c r="P901" s="93"/>
      <c r="Q901" s="93"/>
      <c r="R901" s="93"/>
      <c r="S901" s="93"/>
      <c r="T901" s="93"/>
      <c r="U901" s="93"/>
      <c r="V901" s="93"/>
      <c r="W901" s="93"/>
      <c r="X901" s="93"/>
      <c r="Y901" s="93"/>
      <c r="Z901" s="93"/>
    </row>
    <row r="902" ht="14.25" customHeight="1">
      <c r="A902" s="93"/>
      <c r="B902" s="93"/>
      <c r="C902" s="93"/>
      <c r="D902" s="93"/>
      <c r="E902" s="110"/>
      <c r="F902" s="110"/>
      <c r="G902" s="93"/>
      <c r="H902" s="93"/>
      <c r="I902" s="93"/>
      <c r="J902" s="93"/>
      <c r="K902" s="93"/>
      <c r="L902" s="93"/>
      <c r="M902" s="93"/>
      <c r="N902" s="93"/>
      <c r="O902" s="93"/>
      <c r="P902" s="93"/>
      <c r="Q902" s="93"/>
      <c r="R902" s="93"/>
      <c r="S902" s="93"/>
      <c r="T902" s="93"/>
      <c r="U902" s="93"/>
      <c r="V902" s="93"/>
      <c r="W902" s="93"/>
      <c r="X902" s="93"/>
      <c r="Y902" s="93"/>
      <c r="Z902" s="93"/>
    </row>
    <row r="903" ht="14.25" customHeight="1">
      <c r="A903" s="93"/>
      <c r="B903" s="93"/>
      <c r="C903" s="93"/>
      <c r="D903" s="93"/>
      <c r="E903" s="110"/>
      <c r="F903" s="110"/>
      <c r="G903" s="93"/>
      <c r="H903" s="93"/>
      <c r="I903" s="93"/>
      <c r="J903" s="93"/>
      <c r="K903" s="93"/>
      <c r="L903" s="93"/>
      <c r="M903" s="93"/>
      <c r="N903" s="93"/>
      <c r="O903" s="93"/>
      <c r="P903" s="93"/>
      <c r="Q903" s="93"/>
      <c r="R903" s="93"/>
      <c r="S903" s="93"/>
      <c r="T903" s="93"/>
      <c r="U903" s="93"/>
      <c r="V903" s="93"/>
      <c r="W903" s="93"/>
      <c r="X903" s="93"/>
      <c r="Y903" s="93"/>
      <c r="Z903" s="93"/>
    </row>
    <row r="904" ht="14.25" customHeight="1">
      <c r="A904" s="93"/>
      <c r="B904" s="93"/>
      <c r="C904" s="93"/>
      <c r="D904" s="93"/>
      <c r="E904" s="110"/>
      <c r="F904" s="110"/>
      <c r="G904" s="93"/>
      <c r="H904" s="93"/>
      <c r="I904" s="93"/>
      <c r="J904" s="93"/>
      <c r="K904" s="93"/>
      <c r="L904" s="93"/>
      <c r="M904" s="93"/>
      <c r="N904" s="93"/>
      <c r="O904" s="93"/>
      <c r="P904" s="93"/>
      <c r="Q904" s="93"/>
      <c r="R904" s="93"/>
      <c r="S904" s="93"/>
      <c r="T904" s="93"/>
      <c r="U904" s="93"/>
      <c r="V904" s="93"/>
      <c r="W904" s="93"/>
      <c r="X904" s="93"/>
      <c r="Y904" s="93"/>
      <c r="Z904" s="93"/>
    </row>
    <row r="905" ht="14.25" customHeight="1">
      <c r="A905" s="93"/>
      <c r="B905" s="93"/>
      <c r="C905" s="93"/>
      <c r="D905" s="93"/>
      <c r="E905" s="110"/>
      <c r="F905" s="110"/>
      <c r="G905" s="93"/>
      <c r="H905" s="93"/>
      <c r="I905" s="93"/>
      <c r="J905" s="93"/>
      <c r="K905" s="93"/>
      <c r="L905" s="93"/>
      <c r="M905" s="93"/>
      <c r="N905" s="93"/>
      <c r="O905" s="93"/>
      <c r="P905" s="93"/>
      <c r="Q905" s="93"/>
      <c r="R905" s="93"/>
      <c r="S905" s="93"/>
      <c r="T905" s="93"/>
      <c r="U905" s="93"/>
      <c r="V905" s="93"/>
      <c r="W905" s="93"/>
      <c r="X905" s="93"/>
      <c r="Y905" s="93"/>
      <c r="Z905" s="93"/>
    </row>
    <row r="906" ht="14.25" customHeight="1">
      <c r="A906" s="93"/>
      <c r="B906" s="93"/>
      <c r="C906" s="93"/>
      <c r="D906" s="93"/>
      <c r="E906" s="110"/>
      <c r="F906" s="110"/>
      <c r="G906" s="93"/>
      <c r="H906" s="93"/>
      <c r="I906" s="93"/>
      <c r="J906" s="93"/>
      <c r="K906" s="93"/>
      <c r="L906" s="93"/>
      <c r="M906" s="93"/>
      <c r="N906" s="93"/>
      <c r="O906" s="93"/>
      <c r="P906" s="93"/>
      <c r="Q906" s="93"/>
      <c r="R906" s="93"/>
      <c r="S906" s="93"/>
      <c r="T906" s="93"/>
      <c r="U906" s="93"/>
      <c r="V906" s="93"/>
      <c r="W906" s="93"/>
      <c r="X906" s="93"/>
      <c r="Y906" s="93"/>
      <c r="Z906" s="93"/>
    </row>
    <row r="907" ht="14.25" customHeight="1">
      <c r="A907" s="93"/>
      <c r="B907" s="93"/>
      <c r="C907" s="93"/>
      <c r="D907" s="93"/>
      <c r="E907" s="110"/>
      <c r="F907" s="110"/>
      <c r="G907" s="93"/>
      <c r="H907" s="93"/>
      <c r="I907" s="93"/>
      <c r="J907" s="93"/>
      <c r="K907" s="93"/>
      <c r="L907" s="93"/>
      <c r="M907" s="93"/>
      <c r="N907" s="93"/>
      <c r="O907" s="93"/>
      <c r="P907" s="93"/>
      <c r="Q907" s="93"/>
      <c r="R907" s="93"/>
      <c r="S907" s="93"/>
      <c r="T907" s="93"/>
      <c r="U907" s="93"/>
      <c r="V907" s="93"/>
      <c r="W907" s="93"/>
      <c r="X907" s="93"/>
      <c r="Y907" s="93"/>
      <c r="Z907" s="93"/>
    </row>
    <row r="908" ht="14.25" customHeight="1">
      <c r="A908" s="93"/>
      <c r="B908" s="93"/>
      <c r="C908" s="93"/>
      <c r="D908" s="93"/>
      <c r="E908" s="110"/>
      <c r="F908" s="110"/>
      <c r="G908" s="93"/>
      <c r="H908" s="93"/>
      <c r="I908" s="93"/>
      <c r="J908" s="93"/>
      <c r="K908" s="93"/>
      <c r="L908" s="93"/>
      <c r="M908" s="93"/>
      <c r="N908" s="93"/>
      <c r="O908" s="93"/>
      <c r="P908" s="93"/>
      <c r="Q908" s="93"/>
      <c r="R908" s="93"/>
      <c r="S908" s="93"/>
      <c r="T908" s="93"/>
      <c r="U908" s="93"/>
      <c r="V908" s="93"/>
      <c r="W908" s="93"/>
      <c r="X908" s="93"/>
      <c r="Y908" s="93"/>
      <c r="Z908" s="93"/>
    </row>
    <row r="909" ht="14.25" customHeight="1">
      <c r="A909" s="93"/>
      <c r="B909" s="93"/>
      <c r="C909" s="93"/>
      <c r="D909" s="93"/>
      <c r="E909" s="110"/>
      <c r="F909" s="110"/>
      <c r="G909" s="93"/>
      <c r="H909" s="93"/>
      <c r="I909" s="93"/>
      <c r="J909" s="93"/>
      <c r="K909" s="93"/>
      <c r="L909" s="93"/>
      <c r="M909" s="93"/>
      <c r="N909" s="93"/>
      <c r="O909" s="93"/>
      <c r="P909" s="93"/>
      <c r="Q909" s="93"/>
      <c r="R909" s="93"/>
      <c r="S909" s="93"/>
      <c r="T909" s="93"/>
      <c r="U909" s="93"/>
      <c r="V909" s="93"/>
      <c r="W909" s="93"/>
      <c r="X909" s="93"/>
      <c r="Y909" s="93"/>
      <c r="Z909" s="93"/>
    </row>
    <row r="910" ht="14.25" customHeight="1">
      <c r="A910" s="93"/>
      <c r="B910" s="93"/>
      <c r="C910" s="93"/>
      <c r="D910" s="93"/>
      <c r="E910" s="110"/>
      <c r="F910" s="110"/>
      <c r="G910" s="93"/>
      <c r="H910" s="93"/>
      <c r="I910" s="93"/>
      <c r="J910" s="93"/>
      <c r="K910" s="93"/>
      <c r="L910" s="93"/>
      <c r="M910" s="93"/>
      <c r="N910" s="93"/>
      <c r="O910" s="93"/>
      <c r="P910" s="93"/>
      <c r="Q910" s="93"/>
      <c r="R910" s="93"/>
      <c r="S910" s="93"/>
      <c r="T910" s="93"/>
      <c r="U910" s="93"/>
      <c r="V910" s="93"/>
      <c r="W910" s="93"/>
      <c r="X910" s="93"/>
      <c r="Y910" s="93"/>
      <c r="Z910" s="93"/>
    </row>
    <row r="911" ht="14.25" customHeight="1">
      <c r="A911" s="93"/>
      <c r="B911" s="93"/>
      <c r="C911" s="93"/>
      <c r="D911" s="93"/>
      <c r="E911" s="110"/>
      <c r="F911" s="110"/>
      <c r="G911" s="93"/>
      <c r="H911" s="93"/>
      <c r="I911" s="93"/>
      <c r="J911" s="93"/>
      <c r="K911" s="93"/>
      <c r="L911" s="93"/>
      <c r="M911" s="93"/>
      <c r="N911" s="93"/>
      <c r="O911" s="93"/>
      <c r="P911" s="93"/>
      <c r="Q911" s="93"/>
      <c r="R911" s="93"/>
      <c r="S911" s="93"/>
      <c r="T911" s="93"/>
      <c r="U911" s="93"/>
      <c r="V911" s="93"/>
      <c r="W911" s="93"/>
      <c r="X911" s="93"/>
      <c r="Y911" s="93"/>
      <c r="Z911" s="93"/>
    </row>
    <row r="912" ht="14.25" customHeight="1">
      <c r="A912" s="93"/>
      <c r="B912" s="93"/>
      <c r="C912" s="93"/>
      <c r="D912" s="93"/>
      <c r="E912" s="110"/>
      <c r="F912" s="110"/>
      <c r="G912" s="93"/>
      <c r="H912" s="93"/>
      <c r="I912" s="93"/>
      <c r="J912" s="93"/>
      <c r="K912" s="93"/>
      <c r="L912" s="93"/>
      <c r="M912" s="93"/>
      <c r="N912" s="93"/>
      <c r="O912" s="93"/>
      <c r="P912" s="93"/>
      <c r="Q912" s="93"/>
      <c r="R912" s="93"/>
      <c r="S912" s="93"/>
      <c r="T912" s="93"/>
      <c r="U912" s="93"/>
      <c r="V912" s="93"/>
      <c r="W912" s="93"/>
      <c r="X912" s="93"/>
      <c r="Y912" s="93"/>
      <c r="Z912" s="93"/>
    </row>
    <row r="913" ht="14.25" customHeight="1">
      <c r="A913" s="93"/>
      <c r="B913" s="93"/>
      <c r="C913" s="93"/>
      <c r="D913" s="93"/>
      <c r="E913" s="110"/>
      <c r="F913" s="110"/>
      <c r="G913" s="93"/>
      <c r="H913" s="93"/>
      <c r="I913" s="93"/>
      <c r="J913" s="93"/>
      <c r="K913" s="93"/>
      <c r="L913" s="93"/>
      <c r="M913" s="93"/>
      <c r="N913" s="93"/>
      <c r="O913" s="93"/>
      <c r="P913" s="93"/>
      <c r="Q913" s="93"/>
      <c r="R913" s="93"/>
      <c r="S913" s="93"/>
      <c r="T913" s="93"/>
      <c r="U913" s="93"/>
      <c r="V913" s="93"/>
      <c r="W913" s="93"/>
      <c r="X913" s="93"/>
      <c r="Y913" s="93"/>
      <c r="Z913" s="93"/>
    </row>
    <row r="914" ht="14.25" customHeight="1">
      <c r="A914" s="93"/>
      <c r="B914" s="93"/>
      <c r="C914" s="93"/>
      <c r="D914" s="93"/>
      <c r="E914" s="110"/>
      <c r="F914" s="110"/>
      <c r="G914" s="93"/>
      <c r="H914" s="93"/>
      <c r="I914" s="93"/>
      <c r="J914" s="93"/>
      <c r="K914" s="93"/>
      <c r="L914" s="93"/>
      <c r="M914" s="93"/>
      <c r="N914" s="93"/>
      <c r="O914" s="93"/>
      <c r="P914" s="93"/>
      <c r="Q914" s="93"/>
      <c r="R914" s="93"/>
      <c r="S914" s="93"/>
      <c r="T914" s="93"/>
      <c r="U914" s="93"/>
      <c r="V914" s="93"/>
      <c r="W914" s="93"/>
      <c r="X914" s="93"/>
      <c r="Y914" s="93"/>
      <c r="Z914" s="93"/>
    </row>
    <row r="915" ht="14.25" customHeight="1">
      <c r="A915" s="93"/>
      <c r="B915" s="93"/>
      <c r="C915" s="93"/>
      <c r="D915" s="93"/>
      <c r="E915" s="110"/>
      <c r="F915" s="110"/>
      <c r="G915" s="93"/>
      <c r="H915" s="93"/>
      <c r="I915" s="93"/>
      <c r="J915" s="93"/>
      <c r="K915" s="93"/>
      <c r="L915" s="93"/>
      <c r="M915" s="93"/>
      <c r="N915" s="93"/>
      <c r="O915" s="93"/>
      <c r="P915" s="93"/>
      <c r="Q915" s="93"/>
      <c r="R915" s="93"/>
      <c r="S915" s="93"/>
      <c r="T915" s="93"/>
      <c r="U915" s="93"/>
      <c r="V915" s="93"/>
      <c r="W915" s="93"/>
      <c r="X915" s="93"/>
      <c r="Y915" s="93"/>
      <c r="Z915" s="93"/>
    </row>
    <row r="916" ht="14.25" customHeight="1">
      <c r="A916" s="93"/>
      <c r="B916" s="93"/>
      <c r="C916" s="93"/>
      <c r="D916" s="93"/>
      <c r="E916" s="110"/>
      <c r="F916" s="110"/>
      <c r="G916" s="93"/>
      <c r="H916" s="93"/>
      <c r="I916" s="93"/>
      <c r="J916" s="93"/>
      <c r="K916" s="93"/>
      <c r="L916" s="93"/>
      <c r="M916" s="93"/>
      <c r="N916" s="93"/>
      <c r="O916" s="93"/>
      <c r="P916" s="93"/>
      <c r="Q916" s="93"/>
      <c r="R916" s="93"/>
      <c r="S916" s="93"/>
      <c r="T916" s="93"/>
      <c r="U916" s="93"/>
      <c r="V916" s="93"/>
      <c r="W916" s="93"/>
      <c r="X916" s="93"/>
      <c r="Y916" s="93"/>
      <c r="Z916" s="93"/>
    </row>
    <row r="917" ht="14.25" customHeight="1">
      <c r="A917" s="93"/>
      <c r="B917" s="93"/>
      <c r="C917" s="93"/>
      <c r="D917" s="93"/>
      <c r="E917" s="110"/>
      <c r="F917" s="110"/>
      <c r="G917" s="93"/>
      <c r="H917" s="93"/>
      <c r="I917" s="93"/>
      <c r="J917" s="93"/>
      <c r="K917" s="93"/>
      <c r="L917" s="93"/>
      <c r="M917" s="93"/>
      <c r="N917" s="93"/>
      <c r="O917" s="93"/>
      <c r="P917" s="93"/>
      <c r="Q917" s="93"/>
      <c r="R917" s="93"/>
      <c r="S917" s="93"/>
      <c r="T917" s="93"/>
      <c r="U917" s="93"/>
      <c r="V917" s="93"/>
      <c r="W917" s="93"/>
      <c r="X917" s="93"/>
      <c r="Y917" s="93"/>
      <c r="Z917" s="93"/>
    </row>
    <row r="918" ht="14.25" customHeight="1">
      <c r="A918" s="93"/>
      <c r="B918" s="93"/>
      <c r="C918" s="93"/>
      <c r="D918" s="93"/>
      <c r="E918" s="110"/>
      <c r="F918" s="110"/>
      <c r="G918" s="93"/>
      <c r="H918" s="93"/>
      <c r="I918" s="93"/>
      <c r="J918" s="93"/>
      <c r="K918" s="93"/>
      <c r="L918" s="93"/>
      <c r="M918" s="93"/>
      <c r="N918" s="93"/>
      <c r="O918" s="93"/>
      <c r="P918" s="93"/>
      <c r="Q918" s="93"/>
      <c r="R918" s="93"/>
      <c r="S918" s="93"/>
      <c r="T918" s="93"/>
      <c r="U918" s="93"/>
      <c r="V918" s="93"/>
      <c r="W918" s="93"/>
      <c r="X918" s="93"/>
      <c r="Y918" s="93"/>
      <c r="Z918" s="93"/>
    </row>
    <row r="919" ht="14.25" customHeight="1">
      <c r="A919" s="93"/>
      <c r="B919" s="93"/>
      <c r="C919" s="93"/>
      <c r="D919" s="93"/>
      <c r="E919" s="110"/>
      <c r="F919" s="110"/>
      <c r="G919" s="93"/>
      <c r="H919" s="93"/>
      <c r="I919" s="93"/>
      <c r="J919" s="93"/>
      <c r="K919" s="93"/>
      <c r="L919" s="93"/>
      <c r="M919" s="93"/>
      <c r="N919" s="93"/>
      <c r="O919" s="93"/>
      <c r="P919" s="93"/>
      <c r="Q919" s="93"/>
      <c r="R919" s="93"/>
      <c r="S919" s="93"/>
      <c r="T919" s="93"/>
      <c r="U919" s="93"/>
      <c r="V919" s="93"/>
      <c r="W919" s="93"/>
      <c r="X919" s="93"/>
      <c r="Y919" s="93"/>
      <c r="Z919" s="93"/>
    </row>
    <row r="920" ht="14.25" customHeight="1">
      <c r="A920" s="93"/>
      <c r="B920" s="93"/>
      <c r="C920" s="93"/>
      <c r="D920" s="93"/>
      <c r="E920" s="110"/>
      <c r="F920" s="110"/>
      <c r="G920" s="93"/>
      <c r="H920" s="93"/>
      <c r="I920" s="93"/>
      <c r="J920" s="93"/>
      <c r="K920" s="93"/>
      <c r="L920" s="93"/>
      <c r="M920" s="93"/>
      <c r="N920" s="93"/>
      <c r="O920" s="93"/>
      <c r="P920" s="93"/>
      <c r="Q920" s="93"/>
      <c r="R920" s="93"/>
      <c r="S920" s="93"/>
      <c r="T920" s="93"/>
      <c r="U920" s="93"/>
      <c r="V920" s="93"/>
      <c r="W920" s="93"/>
      <c r="X920" s="93"/>
      <c r="Y920" s="93"/>
      <c r="Z920" s="93"/>
    </row>
    <row r="921" ht="14.25" customHeight="1">
      <c r="A921" s="93"/>
      <c r="B921" s="93"/>
      <c r="C921" s="93"/>
      <c r="D921" s="93"/>
      <c r="E921" s="110"/>
      <c r="F921" s="110"/>
      <c r="G921" s="93"/>
      <c r="H921" s="93"/>
      <c r="I921" s="93"/>
      <c r="J921" s="93"/>
      <c r="K921" s="93"/>
      <c r="L921" s="93"/>
      <c r="M921" s="93"/>
      <c r="N921" s="93"/>
      <c r="O921" s="93"/>
      <c r="P921" s="93"/>
      <c r="Q921" s="93"/>
      <c r="R921" s="93"/>
      <c r="S921" s="93"/>
      <c r="T921" s="93"/>
      <c r="U921" s="93"/>
      <c r="V921" s="93"/>
      <c r="W921" s="93"/>
      <c r="X921" s="93"/>
      <c r="Y921" s="93"/>
      <c r="Z921" s="93"/>
    </row>
    <row r="922" ht="14.25" customHeight="1">
      <c r="A922" s="93"/>
      <c r="B922" s="93"/>
      <c r="C922" s="93"/>
      <c r="D922" s="93"/>
      <c r="E922" s="110"/>
      <c r="F922" s="110"/>
      <c r="G922" s="93"/>
      <c r="H922" s="93"/>
      <c r="I922" s="93"/>
      <c r="J922" s="93"/>
      <c r="K922" s="93"/>
      <c r="L922" s="93"/>
      <c r="M922" s="93"/>
      <c r="N922" s="93"/>
      <c r="O922" s="93"/>
      <c r="P922" s="93"/>
      <c r="Q922" s="93"/>
      <c r="R922" s="93"/>
      <c r="S922" s="93"/>
      <c r="T922" s="93"/>
      <c r="U922" s="93"/>
      <c r="V922" s="93"/>
      <c r="W922" s="93"/>
      <c r="X922" s="93"/>
      <c r="Y922" s="93"/>
      <c r="Z922" s="93"/>
    </row>
    <row r="923" ht="14.25" customHeight="1">
      <c r="A923" s="93"/>
      <c r="B923" s="93"/>
      <c r="C923" s="93"/>
      <c r="D923" s="93"/>
      <c r="E923" s="110"/>
      <c r="F923" s="110"/>
      <c r="G923" s="93"/>
      <c r="H923" s="93"/>
      <c r="I923" s="93"/>
      <c r="J923" s="93"/>
      <c r="K923" s="93"/>
      <c r="L923" s="93"/>
      <c r="M923" s="93"/>
      <c r="N923" s="93"/>
      <c r="O923" s="93"/>
      <c r="P923" s="93"/>
      <c r="Q923" s="93"/>
      <c r="R923" s="93"/>
      <c r="S923" s="93"/>
      <c r="T923" s="93"/>
      <c r="U923" s="93"/>
      <c r="V923" s="93"/>
      <c r="W923" s="93"/>
      <c r="X923" s="93"/>
      <c r="Y923" s="93"/>
      <c r="Z923" s="93"/>
    </row>
    <row r="924" ht="14.25" customHeight="1">
      <c r="A924" s="93"/>
      <c r="B924" s="93"/>
      <c r="C924" s="93"/>
      <c r="D924" s="93"/>
      <c r="E924" s="110"/>
      <c r="F924" s="110"/>
      <c r="G924" s="93"/>
      <c r="H924" s="93"/>
      <c r="I924" s="93"/>
      <c r="J924" s="93"/>
      <c r="K924" s="93"/>
      <c r="L924" s="93"/>
      <c r="M924" s="93"/>
      <c r="N924" s="93"/>
      <c r="O924" s="93"/>
      <c r="P924" s="93"/>
      <c r="Q924" s="93"/>
      <c r="R924" s="93"/>
      <c r="S924" s="93"/>
      <c r="T924" s="93"/>
      <c r="U924" s="93"/>
      <c r="V924" s="93"/>
      <c r="W924" s="93"/>
      <c r="X924" s="93"/>
      <c r="Y924" s="93"/>
      <c r="Z924" s="93"/>
    </row>
    <row r="925" ht="14.25" customHeight="1">
      <c r="A925" s="93"/>
      <c r="B925" s="93"/>
      <c r="C925" s="93"/>
      <c r="D925" s="93"/>
      <c r="E925" s="110"/>
      <c r="F925" s="110"/>
      <c r="G925" s="93"/>
      <c r="H925" s="93"/>
      <c r="I925" s="93"/>
      <c r="J925" s="93"/>
      <c r="K925" s="93"/>
      <c r="L925" s="93"/>
      <c r="M925" s="93"/>
      <c r="N925" s="93"/>
      <c r="O925" s="93"/>
      <c r="P925" s="93"/>
      <c r="Q925" s="93"/>
      <c r="R925" s="93"/>
      <c r="S925" s="93"/>
      <c r="T925" s="93"/>
      <c r="U925" s="93"/>
      <c r="V925" s="93"/>
      <c r="W925" s="93"/>
      <c r="X925" s="93"/>
      <c r="Y925" s="93"/>
      <c r="Z925" s="93"/>
    </row>
    <row r="926" ht="14.25" customHeight="1">
      <c r="A926" s="93"/>
      <c r="B926" s="93"/>
      <c r="C926" s="93"/>
      <c r="D926" s="93"/>
      <c r="E926" s="110"/>
      <c r="F926" s="110"/>
      <c r="G926" s="93"/>
      <c r="H926" s="93"/>
      <c r="I926" s="93"/>
      <c r="J926" s="93"/>
      <c r="K926" s="93"/>
      <c r="L926" s="93"/>
      <c r="M926" s="93"/>
      <c r="N926" s="93"/>
      <c r="O926" s="93"/>
      <c r="P926" s="93"/>
      <c r="Q926" s="93"/>
      <c r="R926" s="93"/>
      <c r="S926" s="93"/>
      <c r="T926" s="93"/>
      <c r="U926" s="93"/>
      <c r="V926" s="93"/>
      <c r="W926" s="93"/>
      <c r="X926" s="93"/>
      <c r="Y926" s="93"/>
      <c r="Z926" s="93"/>
    </row>
    <row r="927" ht="14.25" customHeight="1">
      <c r="A927" s="93"/>
      <c r="B927" s="93"/>
      <c r="C927" s="93"/>
      <c r="D927" s="93"/>
      <c r="E927" s="110"/>
      <c r="F927" s="110"/>
      <c r="G927" s="93"/>
      <c r="H927" s="93"/>
      <c r="I927" s="93"/>
      <c r="J927" s="93"/>
      <c r="K927" s="93"/>
      <c r="L927" s="93"/>
      <c r="M927" s="93"/>
      <c r="N927" s="93"/>
      <c r="O927" s="93"/>
      <c r="P927" s="93"/>
      <c r="Q927" s="93"/>
      <c r="R927" s="93"/>
      <c r="S927" s="93"/>
      <c r="T927" s="93"/>
      <c r="U927" s="93"/>
      <c r="V927" s="93"/>
      <c r="W927" s="93"/>
      <c r="X927" s="93"/>
      <c r="Y927" s="93"/>
      <c r="Z927" s="93"/>
    </row>
    <row r="928" ht="14.25" customHeight="1">
      <c r="A928" s="93"/>
      <c r="B928" s="93"/>
      <c r="C928" s="93"/>
      <c r="D928" s="93"/>
      <c r="E928" s="110"/>
      <c r="F928" s="110"/>
      <c r="G928" s="93"/>
      <c r="H928" s="93"/>
      <c r="I928" s="93"/>
      <c r="J928" s="93"/>
      <c r="K928" s="93"/>
      <c r="L928" s="93"/>
      <c r="M928" s="93"/>
      <c r="N928" s="93"/>
      <c r="O928" s="93"/>
      <c r="P928" s="93"/>
      <c r="Q928" s="93"/>
      <c r="R928" s="93"/>
      <c r="S928" s="93"/>
      <c r="T928" s="93"/>
      <c r="U928" s="93"/>
      <c r="V928" s="93"/>
      <c r="W928" s="93"/>
      <c r="X928" s="93"/>
      <c r="Y928" s="93"/>
      <c r="Z928" s="93"/>
    </row>
    <row r="929" ht="14.25" customHeight="1">
      <c r="A929" s="93"/>
      <c r="B929" s="93"/>
      <c r="C929" s="93"/>
      <c r="D929" s="93"/>
      <c r="E929" s="110"/>
      <c r="F929" s="110"/>
      <c r="G929" s="93"/>
      <c r="H929" s="93"/>
      <c r="I929" s="93"/>
      <c r="J929" s="93"/>
      <c r="K929" s="93"/>
      <c r="L929" s="93"/>
      <c r="M929" s="93"/>
      <c r="N929" s="93"/>
      <c r="O929" s="93"/>
      <c r="P929" s="93"/>
      <c r="Q929" s="93"/>
      <c r="R929" s="93"/>
      <c r="S929" s="93"/>
      <c r="T929" s="93"/>
      <c r="U929" s="93"/>
      <c r="V929" s="93"/>
      <c r="W929" s="93"/>
      <c r="X929" s="93"/>
      <c r="Y929" s="93"/>
      <c r="Z929" s="93"/>
    </row>
    <row r="930" ht="14.25" customHeight="1">
      <c r="A930" s="93"/>
      <c r="B930" s="93"/>
      <c r="C930" s="93"/>
      <c r="D930" s="93"/>
      <c r="E930" s="110"/>
      <c r="F930" s="110"/>
      <c r="G930" s="93"/>
      <c r="H930" s="93"/>
      <c r="I930" s="93"/>
      <c r="J930" s="93"/>
      <c r="K930" s="93"/>
      <c r="L930" s="93"/>
      <c r="M930" s="93"/>
      <c r="N930" s="93"/>
      <c r="O930" s="93"/>
      <c r="P930" s="93"/>
      <c r="Q930" s="93"/>
      <c r="R930" s="93"/>
      <c r="S930" s="93"/>
      <c r="T930" s="93"/>
      <c r="U930" s="93"/>
      <c r="V930" s="93"/>
      <c r="W930" s="93"/>
      <c r="X930" s="93"/>
      <c r="Y930" s="93"/>
      <c r="Z930" s="93"/>
    </row>
    <row r="931" ht="14.25" customHeight="1">
      <c r="A931" s="93"/>
      <c r="B931" s="93"/>
      <c r="C931" s="93"/>
      <c r="D931" s="93"/>
      <c r="E931" s="110"/>
      <c r="F931" s="110"/>
      <c r="G931" s="93"/>
      <c r="H931" s="93"/>
      <c r="I931" s="93"/>
      <c r="J931" s="93"/>
      <c r="K931" s="93"/>
      <c r="L931" s="93"/>
      <c r="M931" s="93"/>
      <c r="N931" s="93"/>
      <c r="O931" s="93"/>
      <c r="P931" s="93"/>
      <c r="Q931" s="93"/>
      <c r="R931" s="93"/>
      <c r="S931" s="93"/>
      <c r="T931" s="93"/>
      <c r="U931" s="93"/>
      <c r="V931" s="93"/>
      <c r="W931" s="93"/>
      <c r="X931" s="93"/>
      <c r="Y931" s="93"/>
      <c r="Z931" s="93"/>
    </row>
    <row r="932" ht="14.25" customHeight="1">
      <c r="A932" s="93"/>
      <c r="B932" s="93"/>
      <c r="C932" s="93"/>
      <c r="D932" s="93"/>
      <c r="E932" s="110"/>
      <c r="F932" s="110"/>
      <c r="G932" s="93"/>
      <c r="H932" s="93"/>
      <c r="I932" s="93"/>
      <c r="J932" s="93"/>
      <c r="K932" s="93"/>
      <c r="L932" s="93"/>
      <c r="M932" s="93"/>
      <c r="N932" s="93"/>
      <c r="O932" s="93"/>
      <c r="P932" s="93"/>
      <c r="Q932" s="93"/>
      <c r="R932" s="93"/>
      <c r="S932" s="93"/>
      <c r="T932" s="93"/>
      <c r="U932" s="93"/>
      <c r="V932" s="93"/>
      <c r="W932" s="93"/>
      <c r="X932" s="93"/>
      <c r="Y932" s="93"/>
      <c r="Z932" s="93"/>
    </row>
    <row r="933" ht="14.25" customHeight="1">
      <c r="A933" s="93"/>
      <c r="B933" s="93"/>
      <c r="C933" s="93"/>
      <c r="D933" s="93"/>
      <c r="E933" s="110"/>
      <c r="F933" s="110"/>
      <c r="G933" s="93"/>
      <c r="H933" s="93"/>
      <c r="I933" s="93"/>
      <c r="J933" s="93"/>
      <c r="K933" s="93"/>
      <c r="L933" s="93"/>
      <c r="M933" s="93"/>
      <c r="N933" s="93"/>
      <c r="O933" s="93"/>
      <c r="P933" s="93"/>
      <c r="Q933" s="93"/>
      <c r="R933" s="93"/>
      <c r="S933" s="93"/>
      <c r="T933" s="93"/>
      <c r="U933" s="93"/>
      <c r="V933" s="93"/>
      <c r="W933" s="93"/>
      <c r="X933" s="93"/>
      <c r="Y933" s="93"/>
      <c r="Z933" s="93"/>
    </row>
    <row r="934" ht="14.25" customHeight="1">
      <c r="A934" s="93"/>
      <c r="B934" s="93"/>
      <c r="C934" s="93"/>
      <c r="D934" s="93"/>
      <c r="E934" s="110"/>
      <c r="F934" s="110"/>
      <c r="G934" s="93"/>
      <c r="H934" s="93"/>
      <c r="I934" s="93"/>
      <c r="J934" s="93"/>
      <c r="K934" s="93"/>
      <c r="L934" s="93"/>
      <c r="M934" s="93"/>
      <c r="N934" s="93"/>
      <c r="O934" s="93"/>
      <c r="P934" s="93"/>
      <c r="Q934" s="93"/>
      <c r="R934" s="93"/>
      <c r="S934" s="93"/>
      <c r="T934" s="93"/>
      <c r="U934" s="93"/>
      <c r="V934" s="93"/>
      <c r="W934" s="93"/>
      <c r="X934" s="93"/>
      <c r="Y934" s="93"/>
      <c r="Z934" s="93"/>
    </row>
    <row r="935" ht="14.25" customHeight="1">
      <c r="A935" s="93"/>
      <c r="B935" s="93"/>
      <c r="C935" s="93"/>
      <c r="D935" s="93"/>
      <c r="E935" s="110"/>
      <c r="F935" s="110"/>
      <c r="G935" s="93"/>
      <c r="H935" s="93"/>
      <c r="I935" s="93"/>
      <c r="J935" s="93"/>
      <c r="K935" s="93"/>
      <c r="L935" s="93"/>
      <c r="M935" s="93"/>
      <c r="N935" s="93"/>
      <c r="O935" s="93"/>
      <c r="P935" s="93"/>
      <c r="Q935" s="93"/>
      <c r="R935" s="93"/>
      <c r="S935" s="93"/>
      <c r="T935" s="93"/>
      <c r="U935" s="93"/>
      <c r="V935" s="93"/>
      <c r="W935" s="93"/>
      <c r="X935" s="93"/>
      <c r="Y935" s="93"/>
      <c r="Z935" s="93"/>
    </row>
    <row r="936" ht="14.25" customHeight="1">
      <c r="A936" s="93"/>
      <c r="B936" s="93"/>
      <c r="C936" s="93"/>
      <c r="D936" s="93"/>
      <c r="E936" s="110"/>
      <c r="F936" s="110"/>
      <c r="G936" s="93"/>
      <c r="H936" s="93"/>
      <c r="I936" s="93"/>
      <c r="J936" s="93"/>
      <c r="K936" s="93"/>
      <c r="L936" s="93"/>
      <c r="M936" s="93"/>
      <c r="N936" s="93"/>
      <c r="O936" s="93"/>
      <c r="P936" s="93"/>
      <c r="Q936" s="93"/>
      <c r="R936" s="93"/>
      <c r="S936" s="93"/>
      <c r="T936" s="93"/>
      <c r="U936" s="93"/>
      <c r="V936" s="93"/>
      <c r="W936" s="93"/>
      <c r="X936" s="93"/>
      <c r="Y936" s="93"/>
      <c r="Z936" s="93"/>
    </row>
    <row r="937" ht="14.25" customHeight="1">
      <c r="A937" s="93"/>
      <c r="B937" s="93"/>
      <c r="C937" s="93"/>
      <c r="D937" s="93"/>
      <c r="E937" s="110"/>
      <c r="F937" s="110"/>
      <c r="G937" s="93"/>
      <c r="H937" s="93"/>
      <c r="I937" s="93"/>
      <c r="J937" s="93"/>
      <c r="K937" s="93"/>
      <c r="L937" s="93"/>
      <c r="M937" s="93"/>
      <c r="N937" s="93"/>
      <c r="O937" s="93"/>
      <c r="P937" s="93"/>
      <c r="Q937" s="93"/>
      <c r="R937" s="93"/>
      <c r="S937" s="93"/>
      <c r="T937" s="93"/>
      <c r="U937" s="93"/>
      <c r="V937" s="93"/>
      <c r="W937" s="93"/>
      <c r="X937" s="93"/>
      <c r="Y937" s="93"/>
      <c r="Z937" s="93"/>
    </row>
    <row r="938" ht="14.25" customHeight="1">
      <c r="A938" s="93"/>
      <c r="B938" s="93"/>
      <c r="C938" s="93"/>
      <c r="D938" s="93"/>
      <c r="E938" s="110"/>
      <c r="F938" s="110"/>
      <c r="G938" s="93"/>
      <c r="H938" s="93"/>
      <c r="I938" s="93"/>
      <c r="J938" s="93"/>
      <c r="K938" s="93"/>
      <c r="L938" s="93"/>
      <c r="M938" s="93"/>
      <c r="N938" s="93"/>
      <c r="O938" s="93"/>
      <c r="P938" s="93"/>
      <c r="Q938" s="93"/>
      <c r="R938" s="93"/>
      <c r="S938" s="93"/>
      <c r="T938" s="93"/>
      <c r="U938" s="93"/>
      <c r="V938" s="93"/>
      <c r="W938" s="93"/>
      <c r="X938" s="93"/>
      <c r="Y938" s="93"/>
      <c r="Z938" s="93"/>
    </row>
    <row r="939" ht="14.25" customHeight="1">
      <c r="A939" s="93"/>
      <c r="B939" s="93"/>
      <c r="C939" s="93"/>
      <c r="D939" s="93"/>
      <c r="E939" s="110"/>
      <c r="F939" s="110"/>
      <c r="G939" s="93"/>
      <c r="H939" s="93"/>
      <c r="I939" s="93"/>
      <c r="J939" s="93"/>
      <c r="K939" s="93"/>
      <c r="L939" s="93"/>
      <c r="M939" s="93"/>
      <c r="N939" s="93"/>
      <c r="O939" s="93"/>
      <c r="P939" s="93"/>
      <c r="Q939" s="93"/>
      <c r="R939" s="93"/>
      <c r="S939" s="93"/>
      <c r="T939" s="93"/>
      <c r="U939" s="93"/>
      <c r="V939" s="93"/>
      <c r="W939" s="93"/>
      <c r="X939" s="93"/>
      <c r="Y939" s="93"/>
      <c r="Z939" s="93"/>
    </row>
    <row r="940" ht="14.25" customHeight="1">
      <c r="A940" s="93"/>
      <c r="B940" s="93"/>
      <c r="C940" s="93"/>
      <c r="D940" s="93"/>
      <c r="E940" s="110"/>
      <c r="F940" s="110"/>
      <c r="G940" s="93"/>
      <c r="H940" s="93"/>
      <c r="I940" s="93"/>
      <c r="J940" s="93"/>
      <c r="K940" s="93"/>
      <c r="L940" s="93"/>
      <c r="M940" s="93"/>
      <c r="N940" s="93"/>
      <c r="O940" s="93"/>
      <c r="P940" s="93"/>
      <c r="Q940" s="93"/>
      <c r="R940" s="93"/>
      <c r="S940" s="93"/>
      <c r="T940" s="93"/>
      <c r="U940" s="93"/>
      <c r="V940" s="93"/>
      <c r="W940" s="93"/>
      <c r="X940" s="93"/>
      <c r="Y940" s="93"/>
      <c r="Z940" s="93"/>
    </row>
    <row r="941" ht="14.25" customHeight="1">
      <c r="A941" s="93"/>
      <c r="B941" s="93"/>
      <c r="C941" s="93"/>
      <c r="D941" s="93"/>
      <c r="E941" s="110"/>
      <c r="F941" s="110"/>
      <c r="G941" s="93"/>
      <c r="H941" s="93"/>
      <c r="I941" s="93"/>
      <c r="J941" s="93"/>
      <c r="K941" s="93"/>
      <c r="L941" s="93"/>
      <c r="M941" s="93"/>
      <c r="N941" s="93"/>
      <c r="O941" s="93"/>
      <c r="P941" s="93"/>
      <c r="Q941" s="93"/>
      <c r="R941" s="93"/>
      <c r="S941" s="93"/>
      <c r="T941" s="93"/>
      <c r="U941" s="93"/>
      <c r="V941" s="93"/>
      <c r="W941" s="93"/>
      <c r="X941" s="93"/>
      <c r="Y941" s="93"/>
      <c r="Z941" s="93"/>
    </row>
    <row r="942" ht="14.25" customHeight="1">
      <c r="A942" s="93"/>
      <c r="B942" s="93"/>
      <c r="C942" s="93"/>
      <c r="D942" s="93"/>
      <c r="E942" s="110"/>
      <c r="F942" s="110"/>
      <c r="G942" s="93"/>
      <c r="H942" s="93"/>
      <c r="I942" s="93"/>
      <c r="J942" s="93"/>
      <c r="K942" s="93"/>
      <c r="L942" s="93"/>
      <c r="M942" s="93"/>
      <c r="N942" s="93"/>
      <c r="O942" s="93"/>
      <c r="P942" s="93"/>
      <c r="Q942" s="93"/>
      <c r="R942" s="93"/>
      <c r="S942" s="93"/>
      <c r="T942" s="93"/>
      <c r="U942" s="93"/>
      <c r="V942" s="93"/>
      <c r="W942" s="93"/>
      <c r="X942" s="93"/>
      <c r="Y942" s="93"/>
      <c r="Z942" s="93"/>
    </row>
    <row r="943" ht="14.25" customHeight="1">
      <c r="A943" s="93"/>
      <c r="B943" s="93"/>
      <c r="C943" s="93"/>
      <c r="D943" s="93"/>
      <c r="E943" s="110"/>
      <c r="F943" s="110"/>
      <c r="G943" s="93"/>
      <c r="H943" s="93"/>
      <c r="I943" s="93"/>
      <c r="J943" s="93"/>
      <c r="K943" s="93"/>
      <c r="L943" s="93"/>
      <c r="M943" s="93"/>
      <c r="N943" s="93"/>
      <c r="O943" s="93"/>
      <c r="P943" s="93"/>
      <c r="Q943" s="93"/>
      <c r="R943" s="93"/>
      <c r="S943" s="93"/>
      <c r="T943" s="93"/>
      <c r="U943" s="93"/>
      <c r="V943" s="93"/>
      <c r="W943" s="93"/>
      <c r="X943" s="93"/>
      <c r="Y943" s="93"/>
      <c r="Z943" s="93"/>
    </row>
    <row r="944" ht="14.25" customHeight="1">
      <c r="A944" s="93"/>
      <c r="B944" s="93"/>
      <c r="C944" s="93"/>
      <c r="D944" s="93"/>
      <c r="E944" s="110"/>
      <c r="F944" s="110"/>
      <c r="G944" s="93"/>
      <c r="H944" s="93"/>
      <c r="I944" s="93"/>
      <c r="J944" s="93"/>
      <c r="K944" s="93"/>
      <c r="L944" s="93"/>
      <c r="M944" s="93"/>
      <c r="N944" s="93"/>
      <c r="O944" s="93"/>
      <c r="P944" s="93"/>
      <c r="Q944" s="93"/>
      <c r="R944" s="93"/>
      <c r="S944" s="93"/>
      <c r="T944" s="93"/>
      <c r="U944" s="93"/>
      <c r="V944" s="93"/>
      <c r="W944" s="93"/>
      <c r="X944" s="93"/>
      <c r="Y944" s="93"/>
      <c r="Z944" s="93"/>
    </row>
    <row r="945" ht="14.25" customHeight="1">
      <c r="A945" s="93"/>
      <c r="B945" s="93"/>
      <c r="C945" s="93"/>
      <c r="D945" s="93"/>
      <c r="E945" s="110"/>
      <c r="F945" s="110"/>
      <c r="G945" s="93"/>
      <c r="H945" s="93"/>
      <c r="I945" s="93"/>
      <c r="J945" s="93"/>
      <c r="K945" s="93"/>
      <c r="L945" s="93"/>
      <c r="M945" s="93"/>
      <c r="N945" s="93"/>
      <c r="O945" s="93"/>
      <c r="P945" s="93"/>
      <c r="Q945" s="93"/>
      <c r="R945" s="93"/>
      <c r="S945" s="93"/>
      <c r="T945" s="93"/>
      <c r="U945" s="93"/>
      <c r="V945" s="93"/>
      <c r="W945" s="93"/>
      <c r="X945" s="93"/>
      <c r="Y945" s="93"/>
      <c r="Z945" s="93"/>
    </row>
    <row r="946" ht="14.25" customHeight="1">
      <c r="A946" s="93"/>
      <c r="B946" s="93"/>
      <c r="C946" s="93"/>
      <c r="D946" s="93"/>
      <c r="E946" s="110"/>
      <c r="F946" s="110"/>
      <c r="G946" s="93"/>
      <c r="H946" s="93"/>
      <c r="I946" s="93"/>
      <c r="J946" s="93"/>
      <c r="K946" s="93"/>
      <c r="L946" s="93"/>
      <c r="M946" s="93"/>
      <c r="N946" s="93"/>
      <c r="O946" s="93"/>
      <c r="P946" s="93"/>
      <c r="Q946" s="93"/>
      <c r="R946" s="93"/>
      <c r="S946" s="93"/>
      <c r="T946" s="93"/>
      <c r="U946" s="93"/>
      <c r="V946" s="93"/>
      <c r="W946" s="93"/>
      <c r="X946" s="93"/>
      <c r="Y946" s="93"/>
      <c r="Z946" s="93"/>
    </row>
    <row r="947" ht="14.25" customHeight="1">
      <c r="A947" s="93"/>
      <c r="B947" s="93"/>
      <c r="C947" s="93"/>
      <c r="D947" s="93"/>
      <c r="E947" s="110"/>
      <c r="F947" s="110"/>
      <c r="G947" s="93"/>
      <c r="H947" s="93"/>
      <c r="I947" s="93"/>
      <c r="J947" s="93"/>
      <c r="K947" s="93"/>
      <c r="L947" s="93"/>
      <c r="M947" s="93"/>
      <c r="N947" s="93"/>
      <c r="O947" s="93"/>
      <c r="P947" s="93"/>
      <c r="Q947" s="93"/>
      <c r="R947" s="93"/>
      <c r="S947" s="93"/>
      <c r="T947" s="93"/>
      <c r="U947" s="93"/>
      <c r="V947" s="93"/>
      <c r="W947" s="93"/>
      <c r="X947" s="93"/>
      <c r="Y947" s="93"/>
      <c r="Z947" s="93"/>
    </row>
    <row r="948" ht="14.25" customHeight="1">
      <c r="A948" s="93"/>
      <c r="B948" s="93"/>
      <c r="C948" s="93"/>
      <c r="D948" s="93"/>
      <c r="E948" s="110"/>
      <c r="F948" s="110"/>
      <c r="G948" s="93"/>
      <c r="H948" s="93"/>
      <c r="I948" s="93"/>
      <c r="J948" s="93"/>
      <c r="K948" s="93"/>
      <c r="L948" s="93"/>
      <c r="M948" s="93"/>
      <c r="N948" s="93"/>
      <c r="O948" s="93"/>
      <c r="P948" s="93"/>
      <c r="Q948" s="93"/>
      <c r="R948" s="93"/>
      <c r="S948" s="93"/>
      <c r="T948" s="93"/>
      <c r="U948" s="93"/>
      <c r="V948" s="93"/>
      <c r="W948" s="93"/>
      <c r="X948" s="93"/>
      <c r="Y948" s="93"/>
      <c r="Z948" s="93"/>
    </row>
    <row r="949" ht="14.25" customHeight="1">
      <c r="A949" s="93"/>
      <c r="B949" s="93"/>
      <c r="C949" s="93"/>
      <c r="D949" s="93"/>
      <c r="E949" s="110"/>
      <c r="F949" s="110"/>
      <c r="G949" s="93"/>
      <c r="H949" s="93"/>
      <c r="I949" s="93"/>
      <c r="J949" s="93"/>
      <c r="K949" s="93"/>
      <c r="L949" s="93"/>
      <c r="M949" s="93"/>
      <c r="N949" s="93"/>
      <c r="O949" s="93"/>
      <c r="P949" s="93"/>
      <c r="Q949" s="93"/>
      <c r="R949" s="93"/>
      <c r="S949" s="93"/>
      <c r="T949" s="93"/>
      <c r="U949" s="93"/>
      <c r="V949" s="93"/>
      <c r="W949" s="93"/>
      <c r="X949" s="93"/>
      <c r="Y949" s="93"/>
      <c r="Z949" s="93"/>
    </row>
    <row r="950" ht="14.25" customHeight="1">
      <c r="A950" s="93"/>
      <c r="B950" s="93"/>
      <c r="C950" s="93"/>
      <c r="D950" s="93"/>
      <c r="E950" s="110"/>
      <c r="F950" s="110"/>
      <c r="G950" s="93"/>
      <c r="H950" s="93"/>
      <c r="I950" s="93"/>
      <c r="J950" s="93"/>
      <c r="K950" s="93"/>
      <c r="L950" s="93"/>
      <c r="M950" s="93"/>
      <c r="N950" s="93"/>
      <c r="O950" s="93"/>
      <c r="P950" s="93"/>
      <c r="Q950" s="93"/>
      <c r="R950" s="93"/>
      <c r="S950" s="93"/>
      <c r="T950" s="93"/>
      <c r="U950" s="93"/>
      <c r="V950" s="93"/>
      <c r="W950" s="93"/>
      <c r="X950" s="93"/>
      <c r="Y950" s="93"/>
      <c r="Z950" s="93"/>
    </row>
    <row r="951" ht="14.25" customHeight="1">
      <c r="A951" s="93"/>
      <c r="B951" s="93"/>
      <c r="C951" s="93"/>
      <c r="D951" s="93"/>
      <c r="E951" s="110"/>
      <c r="F951" s="110"/>
      <c r="G951" s="93"/>
      <c r="H951" s="93"/>
      <c r="I951" s="93"/>
      <c r="J951" s="93"/>
      <c r="K951" s="93"/>
      <c r="L951" s="93"/>
      <c r="M951" s="93"/>
      <c r="N951" s="93"/>
      <c r="O951" s="93"/>
      <c r="P951" s="93"/>
      <c r="Q951" s="93"/>
      <c r="R951" s="93"/>
      <c r="S951" s="93"/>
      <c r="T951" s="93"/>
      <c r="U951" s="93"/>
      <c r="V951" s="93"/>
      <c r="W951" s="93"/>
      <c r="X951" s="93"/>
      <c r="Y951" s="93"/>
      <c r="Z951" s="93"/>
    </row>
    <row r="952" ht="14.25" customHeight="1">
      <c r="A952" s="93"/>
      <c r="B952" s="93"/>
      <c r="C952" s="93"/>
      <c r="D952" s="93"/>
      <c r="E952" s="110"/>
      <c r="F952" s="110"/>
      <c r="G952" s="93"/>
      <c r="H952" s="93"/>
      <c r="I952" s="93"/>
      <c r="J952" s="93"/>
      <c r="K952" s="93"/>
      <c r="L952" s="93"/>
      <c r="M952" s="93"/>
      <c r="N952" s="93"/>
      <c r="O952" s="93"/>
      <c r="P952" s="93"/>
      <c r="Q952" s="93"/>
      <c r="R952" s="93"/>
      <c r="S952" s="93"/>
      <c r="T952" s="93"/>
      <c r="U952" s="93"/>
      <c r="V952" s="93"/>
      <c r="W952" s="93"/>
      <c r="X952" s="93"/>
      <c r="Y952" s="93"/>
      <c r="Z952" s="93"/>
    </row>
    <row r="953" ht="14.25" customHeight="1">
      <c r="A953" s="93"/>
      <c r="B953" s="93"/>
      <c r="C953" s="93"/>
      <c r="D953" s="93"/>
      <c r="E953" s="110"/>
      <c r="F953" s="110"/>
      <c r="G953" s="93"/>
      <c r="H953" s="93"/>
      <c r="I953" s="93"/>
      <c r="J953" s="93"/>
      <c r="K953" s="93"/>
      <c r="L953" s="93"/>
      <c r="M953" s="93"/>
      <c r="N953" s="93"/>
      <c r="O953" s="93"/>
      <c r="P953" s="93"/>
      <c r="Q953" s="93"/>
      <c r="R953" s="93"/>
      <c r="S953" s="93"/>
      <c r="T953" s="93"/>
      <c r="U953" s="93"/>
      <c r="V953" s="93"/>
      <c r="W953" s="93"/>
      <c r="X953" s="93"/>
      <c r="Y953" s="93"/>
      <c r="Z953" s="93"/>
    </row>
    <row r="954" ht="14.25" customHeight="1">
      <c r="A954" s="93"/>
      <c r="B954" s="93"/>
      <c r="C954" s="93"/>
      <c r="D954" s="93"/>
      <c r="E954" s="110"/>
      <c r="F954" s="110"/>
      <c r="G954" s="93"/>
      <c r="H954" s="93"/>
      <c r="I954" s="93"/>
      <c r="J954" s="93"/>
      <c r="K954" s="93"/>
      <c r="L954" s="93"/>
      <c r="M954" s="93"/>
      <c r="N954" s="93"/>
      <c r="O954" s="93"/>
      <c r="P954" s="93"/>
      <c r="Q954" s="93"/>
      <c r="R954" s="93"/>
      <c r="S954" s="93"/>
      <c r="T954" s="93"/>
      <c r="U954" s="93"/>
      <c r="V954" s="93"/>
      <c r="W954" s="93"/>
      <c r="X954" s="93"/>
      <c r="Y954" s="93"/>
      <c r="Z954" s="93"/>
    </row>
    <row r="955" ht="14.25" customHeight="1">
      <c r="A955" s="93"/>
      <c r="B955" s="93"/>
      <c r="C955" s="93"/>
      <c r="D955" s="93"/>
      <c r="E955" s="110"/>
      <c r="F955" s="110"/>
      <c r="G955" s="93"/>
      <c r="H955" s="93"/>
      <c r="I955" s="93"/>
      <c r="J955" s="93"/>
      <c r="K955" s="93"/>
      <c r="L955" s="93"/>
      <c r="M955" s="93"/>
      <c r="N955" s="93"/>
      <c r="O955" s="93"/>
      <c r="P955" s="93"/>
      <c r="Q955" s="93"/>
      <c r="R955" s="93"/>
      <c r="S955" s="93"/>
      <c r="T955" s="93"/>
      <c r="U955" s="93"/>
      <c r="V955" s="93"/>
      <c r="W955" s="93"/>
      <c r="X955" s="93"/>
      <c r="Y955" s="93"/>
      <c r="Z955" s="93"/>
    </row>
    <row r="956" ht="14.25" customHeight="1">
      <c r="A956" s="93"/>
      <c r="B956" s="93"/>
      <c r="C956" s="93"/>
      <c r="D956" s="93"/>
      <c r="E956" s="110"/>
      <c r="F956" s="110"/>
      <c r="G956" s="93"/>
      <c r="H956" s="93"/>
      <c r="I956" s="93"/>
      <c r="J956" s="93"/>
      <c r="K956" s="93"/>
      <c r="L956" s="93"/>
      <c r="M956" s="93"/>
      <c r="N956" s="93"/>
      <c r="O956" s="93"/>
      <c r="P956" s="93"/>
      <c r="Q956" s="93"/>
      <c r="R956" s="93"/>
      <c r="S956" s="93"/>
      <c r="T956" s="93"/>
      <c r="U956" s="93"/>
      <c r="V956" s="93"/>
      <c r="W956" s="93"/>
      <c r="X956" s="93"/>
      <c r="Y956" s="93"/>
      <c r="Z956" s="93"/>
    </row>
    <row r="957" ht="14.25" customHeight="1">
      <c r="A957" s="93"/>
      <c r="B957" s="93"/>
      <c r="C957" s="93"/>
      <c r="D957" s="93"/>
      <c r="E957" s="110"/>
      <c r="F957" s="110"/>
      <c r="G957" s="93"/>
      <c r="H957" s="93"/>
      <c r="I957" s="93"/>
      <c r="J957" s="93"/>
      <c r="K957" s="93"/>
      <c r="L957" s="93"/>
      <c r="M957" s="93"/>
      <c r="N957" s="93"/>
      <c r="O957" s="93"/>
      <c r="P957" s="93"/>
      <c r="Q957" s="93"/>
      <c r="R957" s="93"/>
      <c r="S957" s="93"/>
      <c r="T957" s="93"/>
      <c r="U957" s="93"/>
      <c r="V957" s="93"/>
      <c r="W957" s="93"/>
      <c r="X957" s="93"/>
      <c r="Y957" s="93"/>
      <c r="Z957" s="93"/>
    </row>
    <row r="958" ht="14.25" customHeight="1">
      <c r="A958" s="93"/>
      <c r="B958" s="93"/>
      <c r="C958" s="93"/>
      <c r="D958" s="93"/>
      <c r="E958" s="110"/>
      <c r="F958" s="110"/>
      <c r="G958" s="93"/>
      <c r="H958" s="93"/>
      <c r="I958" s="93"/>
      <c r="J958" s="93"/>
      <c r="K958" s="93"/>
      <c r="L958" s="93"/>
      <c r="M958" s="93"/>
      <c r="N958" s="93"/>
      <c r="O958" s="93"/>
      <c r="P958" s="93"/>
      <c r="Q958" s="93"/>
      <c r="R958" s="93"/>
      <c r="S958" s="93"/>
      <c r="T958" s="93"/>
      <c r="U958" s="93"/>
      <c r="V958" s="93"/>
      <c r="W958" s="93"/>
      <c r="X958" s="93"/>
      <c r="Y958" s="93"/>
      <c r="Z958" s="93"/>
    </row>
    <row r="959" ht="14.25" customHeight="1">
      <c r="A959" s="93"/>
      <c r="B959" s="93"/>
      <c r="C959" s="93"/>
      <c r="D959" s="93"/>
      <c r="E959" s="110"/>
      <c r="F959" s="110"/>
      <c r="G959" s="93"/>
      <c r="H959" s="93"/>
      <c r="I959" s="93"/>
      <c r="J959" s="93"/>
      <c r="K959" s="93"/>
      <c r="L959" s="93"/>
      <c r="M959" s="93"/>
      <c r="N959" s="93"/>
      <c r="O959" s="93"/>
      <c r="P959" s="93"/>
      <c r="Q959" s="93"/>
      <c r="R959" s="93"/>
      <c r="S959" s="93"/>
      <c r="T959" s="93"/>
      <c r="U959" s="93"/>
      <c r="V959" s="93"/>
      <c r="W959" s="93"/>
      <c r="X959" s="93"/>
      <c r="Y959" s="93"/>
      <c r="Z959" s="93"/>
    </row>
    <row r="960" ht="14.25" customHeight="1">
      <c r="A960" s="93"/>
      <c r="B960" s="93"/>
      <c r="C960" s="93"/>
      <c r="D960" s="93"/>
      <c r="E960" s="110"/>
      <c r="F960" s="110"/>
      <c r="G960" s="93"/>
      <c r="H960" s="93"/>
      <c r="I960" s="93"/>
      <c r="J960" s="93"/>
      <c r="K960" s="93"/>
      <c r="L960" s="93"/>
      <c r="M960" s="93"/>
      <c r="N960" s="93"/>
      <c r="O960" s="93"/>
      <c r="P960" s="93"/>
      <c r="Q960" s="93"/>
      <c r="R960" s="93"/>
      <c r="S960" s="93"/>
      <c r="T960" s="93"/>
      <c r="U960" s="93"/>
      <c r="V960" s="93"/>
      <c r="W960" s="93"/>
      <c r="X960" s="93"/>
      <c r="Y960" s="93"/>
      <c r="Z960" s="93"/>
    </row>
    <row r="961" ht="14.25" customHeight="1">
      <c r="A961" s="93"/>
      <c r="B961" s="93"/>
      <c r="C961" s="93"/>
      <c r="D961" s="93"/>
      <c r="E961" s="110"/>
      <c r="F961" s="110"/>
      <c r="G961" s="93"/>
      <c r="H961" s="93"/>
      <c r="I961" s="93"/>
      <c r="J961" s="93"/>
      <c r="K961" s="93"/>
      <c r="L961" s="93"/>
      <c r="M961" s="93"/>
      <c r="N961" s="93"/>
      <c r="O961" s="93"/>
      <c r="P961" s="93"/>
      <c r="Q961" s="93"/>
      <c r="R961" s="93"/>
      <c r="S961" s="93"/>
      <c r="T961" s="93"/>
      <c r="U961" s="93"/>
      <c r="V961" s="93"/>
      <c r="W961" s="93"/>
      <c r="X961" s="93"/>
      <c r="Y961" s="93"/>
      <c r="Z961" s="93"/>
    </row>
    <row r="962" ht="14.25" customHeight="1">
      <c r="A962" s="93"/>
      <c r="B962" s="93"/>
      <c r="C962" s="93"/>
      <c r="D962" s="93"/>
      <c r="E962" s="110"/>
      <c r="F962" s="110"/>
      <c r="G962" s="93"/>
      <c r="H962" s="93"/>
      <c r="I962" s="93"/>
      <c r="J962" s="93"/>
      <c r="K962" s="93"/>
      <c r="L962" s="93"/>
      <c r="M962" s="93"/>
      <c r="N962" s="93"/>
      <c r="O962" s="93"/>
      <c r="P962" s="93"/>
      <c r="Q962" s="93"/>
      <c r="R962" s="93"/>
      <c r="S962" s="93"/>
      <c r="T962" s="93"/>
      <c r="U962" s="93"/>
      <c r="V962" s="93"/>
      <c r="W962" s="93"/>
      <c r="X962" s="93"/>
      <c r="Y962" s="93"/>
      <c r="Z962" s="93"/>
    </row>
    <row r="963" ht="14.25" customHeight="1">
      <c r="A963" s="93"/>
      <c r="B963" s="93"/>
      <c r="C963" s="93"/>
      <c r="D963" s="93"/>
      <c r="E963" s="110"/>
      <c r="F963" s="110"/>
      <c r="G963" s="93"/>
      <c r="H963" s="93"/>
      <c r="I963" s="93"/>
      <c r="J963" s="93"/>
      <c r="K963" s="93"/>
      <c r="L963" s="93"/>
      <c r="M963" s="93"/>
      <c r="N963" s="93"/>
      <c r="O963" s="93"/>
      <c r="P963" s="93"/>
      <c r="Q963" s="93"/>
      <c r="R963" s="93"/>
      <c r="S963" s="93"/>
      <c r="T963" s="93"/>
      <c r="U963" s="93"/>
      <c r="V963" s="93"/>
      <c r="W963" s="93"/>
      <c r="X963" s="93"/>
      <c r="Y963" s="93"/>
      <c r="Z963" s="93"/>
    </row>
    <row r="964" ht="14.25" customHeight="1">
      <c r="A964" s="93"/>
      <c r="B964" s="93"/>
      <c r="C964" s="93"/>
      <c r="D964" s="93"/>
      <c r="E964" s="110"/>
      <c r="F964" s="110"/>
      <c r="G964" s="93"/>
      <c r="H964" s="93"/>
      <c r="I964" s="93"/>
      <c r="J964" s="93"/>
      <c r="K964" s="93"/>
      <c r="L964" s="93"/>
      <c r="M964" s="93"/>
      <c r="N964" s="93"/>
      <c r="O964" s="93"/>
      <c r="P964" s="93"/>
      <c r="Q964" s="93"/>
      <c r="R964" s="93"/>
      <c r="S964" s="93"/>
      <c r="T964" s="93"/>
      <c r="U964" s="93"/>
      <c r="V964" s="93"/>
      <c r="W964" s="93"/>
      <c r="X964" s="93"/>
      <c r="Y964" s="93"/>
      <c r="Z964" s="93"/>
    </row>
    <row r="965" ht="14.25" customHeight="1">
      <c r="A965" s="93"/>
      <c r="B965" s="93"/>
      <c r="C965" s="93"/>
      <c r="D965" s="93"/>
      <c r="E965" s="110"/>
      <c r="F965" s="110"/>
      <c r="G965" s="93"/>
      <c r="H965" s="93"/>
      <c r="I965" s="93"/>
      <c r="J965" s="93"/>
      <c r="K965" s="93"/>
      <c r="L965" s="93"/>
      <c r="M965" s="93"/>
      <c r="N965" s="93"/>
      <c r="O965" s="93"/>
      <c r="P965" s="93"/>
      <c r="Q965" s="93"/>
      <c r="R965" s="93"/>
      <c r="S965" s="93"/>
      <c r="T965" s="93"/>
      <c r="U965" s="93"/>
      <c r="V965" s="93"/>
      <c r="W965" s="93"/>
      <c r="X965" s="93"/>
      <c r="Y965" s="93"/>
      <c r="Z965" s="93"/>
    </row>
    <row r="966" ht="14.25" customHeight="1">
      <c r="A966" s="93"/>
      <c r="B966" s="93"/>
      <c r="C966" s="93"/>
      <c r="D966" s="93"/>
      <c r="E966" s="110"/>
      <c r="F966" s="110"/>
      <c r="G966" s="93"/>
      <c r="H966" s="93"/>
      <c r="I966" s="93"/>
      <c r="J966" s="93"/>
      <c r="K966" s="93"/>
      <c r="L966" s="93"/>
      <c r="M966" s="93"/>
      <c r="N966" s="93"/>
      <c r="O966" s="93"/>
      <c r="P966" s="93"/>
      <c r="Q966" s="93"/>
      <c r="R966" s="93"/>
      <c r="S966" s="93"/>
      <c r="T966" s="93"/>
      <c r="U966" s="93"/>
      <c r="V966" s="93"/>
      <c r="W966" s="93"/>
      <c r="X966" s="93"/>
      <c r="Y966" s="93"/>
      <c r="Z966" s="93"/>
    </row>
    <row r="967" ht="14.25" customHeight="1">
      <c r="A967" s="93"/>
      <c r="B967" s="93"/>
      <c r="C967" s="93"/>
      <c r="D967" s="93"/>
      <c r="E967" s="110"/>
      <c r="F967" s="110"/>
      <c r="G967" s="93"/>
      <c r="H967" s="93"/>
      <c r="I967" s="93"/>
      <c r="J967" s="93"/>
      <c r="K967" s="93"/>
      <c r="L967" s="93"/>
      <c r="M967" s="93"/>
      <c r="N967" s="93"/>
      <c r="O967" s="93"/>
      <c r="P967" s="93"/>
      <c r="Q967" s="93"/>
      <c r="R967" s="93"/>
      <c r="S967" s="93"/>
      <c r="T967" s="93"/>
      <c r="U967" s="93"/>
      <c r="V967" s="93"/>
      <c r="W967" s="93"/>
      <c r="X967" s="93"/>
      <c r="Y967" s="93"/>
      <c r="Z967" s="93"/>
    </row>
    <row r="968" ht="14.25" customHeight="1">
      <c r="A968" s="93"/>
      <c r="B968" s="93"/>
      <c r="C968" s="93"/>
      <c r="D968" s="93"/>
      <c r="E968" s="110"/>
      <c r="F968" s="110"/>
      <c r="G968" s="93"/>
      <c r="H968" s="93"/>
      <c r="I968" s="93"/>
      <c r="J968" s="93"/>
      <c r="K968" s="93"/>
      <c r="L968" s="93"/>
      <c r="M968" s="93"/>
      <c r="N968" s="93"/>
      <c r="O968" s="93"/>
      <c r="P968" s="93"/>
      <c r="Q968" s="93"/>
      <c r="R968" s="93"/>
      <c r="S968" s="93"/>
      <c r="T968" s="93"/>
      <c r="U968" s="93"/>
      <c r="V968" s="93"/>
      <c r="W968" s="93"/>
      <c r="X968" s="93"/>
      <c r="Y968" s="93"/>
      <c r="Z968" s="93"/>
    </row>
    <row r="969" ht="14.25" customHeight="1">
      <c r="A969" s="93"/>
      <c r="B969" s="93"/>
      <c r="C969" s="93"/>
      <c r="D969" s="93"/>
      <c r="E969" s="110"/>
      <c r="F969" s="110"/>
      <c r="G969" s="93"/>
      <c r="H969" s="93"/>
      <c r="I969" s="93"/>
      <c r="J969" s="93"/>
      <c r="K969" s="93"/>
      <c r="L969" s="93"/>
      <c r="M969" s="93"/>
      <c r="N969" s="93"/>
      <c r="O969" s="93"/>
      <c r="P969" s="93"/>
      <c r="Q969" s="93"/>
      <c r="R969" s="93"/>
      <c r="S969" s="93"/>
      <c r="T969" s="93"/>
      <c r="U969" s="93"/>
      <c r="V969" s="93"/>
      <c r="W969" s="93"/>
      <c r="X969" s="93"/>
      <c r="Y969" s="93"/>
      <c r="Z969" s="93"/>
    </row>
    <row r="970" ht="14.25" customHeight="1">
      <c r="A970" s="93"/>
      <c r="B970" s="93"/>
      <c r="C970" s="93"/>
      <c r="D970" s="93"/>
      <c r="E970" s="110"/>
      <c r="F970" s="110"/>
      <c r="G970" s="93"/>
      <c r="H970" s="93"/>
      <c r="I970" s="93"/>
      <c r="J970" s="93"/>
      <c r="K970" s="93"/>
      <c r="L970" s="93"/>
      <c r="M970" s="93"/>
      <c r="N970" s="93"/>
      <c r="O970" s="93"/>
      <c r="P970" s="93"/>
      <c r="Q970" s="93"/>
      <c r="R970" s="93"/>
      <c r="S970" s="93"/>
      <c r="T970" s="93"/>
      <c r="U970" s="93"/>
      <c r="V970" s="93"/>
      <c r="W970" s="93"/>
      <c r="X970" s="93"/>
      <c r="Y970" s="93"/>
      <c r="Z970" s="93"/>
    </row>
    <row r="971" ht="14.25" customHeight="1">
      <c r="A971" s="93"/>
      <c r="B971" s="93"/>
      <c r="C971" s="93"/>
      <c r="D971" s="93"/>
      <c r="E971" s="110"/>
      <c r="F971" s="110"/>
      <c r="G971" s="93"/>
      <c r="H971" s="93"/>
      <c r="I971" s="93"/>
      <c r="J971" s="93"/>
      <c r="K971" s="93"/>
      <c r="L971" s="93"/>
      <c r="M971" s="93"/>
      <c r="N971" s="93"/>
      <c r="O971" s="93"/>
      <c r="P971" s="93"/>
      <c r="Q971" s="93"/>
      <c r="R971" s="93"/>
      <c r="S971" s="93"/>
      <c r="T971" s="93"/>
      <c r="U971" s="93"/>
      <c r="V971" s="93"/>
      <c r="W971" s="93"/>
      <c r="X971" s="93"/>
      <c r="Y971" s="93"/>
      <c r="Z971" s="93"/>
    </row>
    <row r="972" ht="14.25" customHeight="1">
      <c r="A972" s="93"/>
      <c r="B972" s="93"/>
      <c r="C972" s="93"/>
      <c r="D972" s="93"/>
      <c r="E972" s="110"/>
      <c r="F972" s="110"/>
      <c r="G972" s="93"/>
      <c r="H972" s="93"/>
      <c r="I972" s="93"/>
      <c r="J972" s="93"/>
      <c r="K972" s="93"/>
      <c r="L972" s="93"/>
      <c r="M972" s="93"/>
      <c r="N972" s="93"/>
      <c r="O972" s="93"/>
      <c r="P972" s="93"/>
      <c r="Q972" s="93"/>
      <c r="R972" s="93"/>
      <c r="S972" s="93"/>
      <c r="T972" s="93"/>
      <c r="U972" s="93"/>
      <c r="V972" s="93"/>
      <c r="W972" s="93"/>
      <c r="X972" s="93"/>
      <c r="Y972" s="93"/>
      <c r="Z972" s="93"/>
    </row>
    <row r="973" ht="14.25" customHeight="1">
      <c r="A973" s="93"/>
      <c r="B973" s="93"/>
      <c r="C973" s="93"/>
      <c r="D973" s="93"/>
      <c r="E973" s="110"/>
      <c r="F973" s="110"/>
      <c r="G973" s="93"/>
      <c r="H973" s="93"/>
      <c r="I973" s="93"/>
      <c r="J973" s="93"/>
      <c r="K973" s="93"/>
      <c r="L973" s="93"/>
      <c r="M973" s="93"/>
      <c r="N973" s="93"/>
      <c r="O973" s="93"/>
      <c r="P973" s="93"/>
      <c r="Q973" s="93"/>
      <c r="R973" s="93"/>
      <c r="S973" s="93"/>
      <c r="T973" s="93"/>
      <c r="U973" s="93"/>
      <c r="V973" s="93"/>
      <c r="W973" s="93"/>
      <c r="X973" s="93"/>
      <c r="Y973" s="93"/>
      <c r="Z973" s="93"/>
    </row>
    <row r="974" ht="14.25" customHeight="1">
      <c r="A974" s="93"/>
      <c r="B974" s="93"/>
      <c r="C974" s="93"/>
      <c r="D974" s="93"/>
      <c r="E974" s="110"/>
      <c r="F974" s="110"/>
      <c r="G974" s="93"/>
      <c r="H974" s="93"/>
      <c r="I974" s="93"/>
      <c r="J974" s="93"/>
      <c r="K974" s="93"/>
      <c r="L974" s="93"/>
      <c r="M974" s="93"/>
      <c r="N974" s="93"/>
      <c r="O974" s="93"/>
      <c r="P974" s="93"/>
      <c r="Q974" s="93"/>
      <c r="R974" s="93"/>
      <c r="S974" s="93"/>
      <c r="T974" s="93"/>
      <c r="U974" s="93"/>
      <c r="V974" s="93"/>
      <c r="W974" s="93"/>
      <c r="X974" s="93"/>
      <c r="Y974" s="93"/>
      <c r="Z974" s="93"/>
    </row>
    <row r="975" ht="14.25" customHeight="1">
      <c r="A975" s="93"/>
      <c r="B975" s="93"/>
      <c r="C975" s="93"/>
      <c r="D975" s="93"/>
      <c r="E975" s="110"/>
      <c r="F975" s="110"/>
      <c r="G975" s="93"/>
      <c r="H975" s="93"/>
      <c r="I975" s="93"/>
      <c r="J975" s="93"/>
      <c r="K975" s="93"/>
      <c r="L975" s="93"/>
      <c r="M975" s="93"/>
      <c r="N975" s="93"/>
      <c r="O975" s="93"/>
      <c r="P975" s="93"/>
      <c r="Q975" s="93"/>
      <c r="R975" s="93"/>
      <c r="S975" s="93"/>
      <c r="T975" s="93"/>
      <c r="U975" s="93"/>
      <c r="V975" s="93"/>
      <c r="W975" s="93"/>
      <c r="X975" s="93"/>
      <c r="Y975" s="93"/>
      <c r="Z975" s="93"/>
    </row>
    <row r="976" ht="14.25" customHeight="1">
      <c r="A976" s="93"/>
      <c r="B976" s="93"/>
      <c r="C976" s="93"/>
      <c r="D976" s="93"/>
      <c r="E976" s="110"/>
      <c r="F976" s="110"/>
      <c r="G976" s="93"/>
      <c r="H976" s="93"/>
      <c r="I976" s="93"/>
      <c r="J976" s="93"/>
      <c r="K976" s="93"/>
      <c r="L976" s="93"/>
      <c r="M976" s="93"/>
      <c r="N976" s="93"/>
      <c r="O976" s="93"/>
      <c r="P976" s="93"/>
      <c r="Q976" s="93"/>
      <c r="R976" s="93"/>
      <c r="S976" s="93"/>
      <c r="T976" s="93"/>
      <c r="U976" s="93"/>
      <c r="V976" s="93"/>
      <c r="W976" s="93"/>
      <c r="X976" s="93"/>
      <c r="Y976" s="93"/>
      <c r="Z976" s="93"/>
    </row>
    <row r="977" ht="14.25" customHeight="1">
      <c r="A977" s="93"/>
      <c r="B977" s="93"/>
      <c r="C977" s="93"/>
      <c r="D977" s="93"/>
      <c r="E977" s="110"/>
      <c r="F977" s="110"/>
      <c r="G977" s="93"/>
      <c r="H977" s="93"/>
      <c r="I977" s="93"/>
      <c r="J977" s="93"/>
      <c r="K977" s="93"/>
      <c r="L977" s="93"/>
      <c r="M977" s="93"/>
      <c r="N977" s="93"/>
      <c r="O977" s="93"/>
      <c r="P977" s="93"/>
      <c r="Q977" s="93"/>
      <c r="R977" s="93"/>
      <c r="S977" s="93"/>
      <c r="T977" s="93"/>
      <c r="U977" s="93"/>
      <c r="V977" s="93"/>
      <c r="W977" s="93"/>
      <c r="X977" s="93"/>
      <c r="Y977" s="93"/>
      <c r="Z977" s="93"/>
    </row>
    <row r="978" ht="14.25" customHeight="1">
      <c r="A978" s="93"/>
      <c r="B978" s="93"/>
      <c r="C978" s="93"/>
      <c r="D978" s="93"/>
      <c r="E978" s="110"/>
      <c r="F978" s="110"/>
      <c r="G978" s="93"/>
      <c r="H978" s="93"/>
      <c r="I978" s="93"/>
      <c r="J978" s="93"/>
      <c r="K978" s="93"/>
      <c r="L978" s="93"/>
      <c r="M978" s="93"/>
      <c r="N978" s="93"/>
      <c r="O978" s="93"/>
      <c r="P978" s="93"/>
      <c r="Q978" s="93"/>
      <c r="R978" s="93"/>
      <c r="S978" s="93"/>
      <c r="T978" s="93"/>
      <c r="U978" s="93"/>
      <c r="V978" s="93"/>
      <c r="W978" s="93"/>
      <c r="X978" s="93"/>
      <c r="Y978" s="93"/>
      <c r="Z978" s="93"/>
    </row>
    <row r="979" ht="14.25" customHeight="1">
      <c r="A979" s="93"/>
      <c r="B979" s="93"/>
      <c r="C979" s="93"/>
      <c r="D979" s="93"/>
      <c r="E979" s="110"/>
      <c r="F979" s="110"/>
      <c r="G979" s="93"/>
      <c r="H979" s="93"/>
      <c r="I979" s="93"/>
      <c r="J979" s="93"/>
      <c r="K979" s="93"/>
      <c r="L979" s="93"/>
      <c r="M979" s="93"/>
      <c r="N979" s="93"/>
      <c r="O979" s="93"/>
      <c r="P979" s="93"/>
      <c r="Q979" s="93"/>
      <c r="R979" s="93"/>
      <c r="S979" s="93"/>
      <c r="T979" s="93"/>
      <c r="U979" s="93"/>
      <c r="V979" s="93"/>
      <c r="W979" s="93"/>
      <c r="X979" s="93"/>
      <c r="Y979" s="93"/>
      <c r="Z979" s="93"/>
    </row>
    <row r="980" ht="14.25" customHeight="1">
      <c r="A980" s="93"/>
      <c r="B980" s="93"/>
      <c r="C980" s="93"/>
      <c r="D980" s="93"/>
      <c r="E980" s="110"/>
      <c r="F980" s="110"/>
      <c r="G980" s="93"/>
      <c r="H980" s="93"/>
      <c r="I980" s="93"/>
      <c r="J980" s="93"/>
      <c r="K980" s="93"/>
      <c r="L980" s="93"/>
      <c r="M980" s="93"/>
      <c r="N980" s="93"/>
      <c r="O980" s="93"/>
      <c r="P980" s="93"/>
      <c r="Q980" s="93"/>
      <c r="R980" s="93"/>
      <c r="S980" s="93"/>
      <c r="T980" s="93"/>
      <c r="U980" s="93"/>
      <c r="V980" s="93"/>
      <c r="W980" s="93"/>
      <c r="X980" s="93"/>
      <c r="Y980" s="93"/>
      <c r="Z980" s="93"/>
    </row>
    <row r="981" ht="14.25" customHeight="1">
      <c r="A981" s="93"/>
      <c r="B981" s="93"/>
      <c r="C981" s="93"/>
      <c r="D981" s="93"/>
      <c r="E981" s="110"/>
      <c r="F981" s="110"/>
      <c r="G981" s="93"/>
      <c r="H981" s="93"/>
      <c r="I981" s="93"/>
      <c r="J981" s="93"/>
      <c r="K981" s="93"/>
      <c r="L981" s="93"/>
      <c r="M981" s="93"/>
      <c r="N981" s="93"/>
      <c r="O981" s="93"/>
      <c r="P981" s="93"/>
      <c r="Q981" s="93"/>
      <c r="R981" s="93"/>
      <c r="S981" s="93"/>
      <c r="T981" s="93"/>
      <c r="U981" s="93"/>
      <c r="V981" s="93"/>
      <c r="W981" s="93"/>
      <c r="X981" s="93"/>
      <c r="Y981" s="93"/>
      <c r="Z981" s="93"/>
    </row>
    <row r="982" ht="14.25" customHeight="1">
      <c r="A982" s="93"/>
      <c r="B982" s="93"/>
      <c r="C982" s="93"/>
      <c r="D982" s="93"/>
      <c r="E982" s="110"/>
      <c r="F982" s="110"/>
      <c r="G982" s="93"/>
      <c r="H982" s="93"/>
      <c r="I982" s="93"/>
      <c r="J982" s="93"/>
      <c r="K982" s="93"/>
      <c r="L982" s="93"/>
      <c r="M982" s="93"/>
      <c r="N982" s="93"/>
      <c r="O982" s="93"/>
      <c r="P982" s="93"/>
      <c r="Q982" s="93"/>
      <c r="R982" s="93"/>
      <c r="S982" s="93"/>
      <c r="T982" s="93"/>
      <c r="U982" s="93"/>
      <c r="V982" s="93"/>
      <c r="W982" s="93"/>
      <c r="X982" s="93"/>
      <c r="Y982" s="93"/>
      <c r="Z982" s="93"/>
    </row>
    <row r="983" ht="14.25" customHeight="1">
      <c r="A983" s="93"/>
      <c r="B983" s="93"/>
      <c r="C983" s="93"/>
      <c r="D983" s="93"/>
      <c r="E983" s="110"/>
      <c r="F983" s="110"/>
      <c r="G983" s="93"/>
      <c r="H983" s="93"/>
      <c r="I983" s="93"/>
      <c r="J983" s="93"/>
      <c r="K983" s="93"/>
      <c r="L983" s="93"/>
      <c r="M983" s="93"/>
      <c r="N983" s="93"/>
      <c r="O983" s="93"/>
      <c r="P983" s="93"/>
      <c r="Q983" s="93"/>
      <c r="R983" s="93"/>
      <c r="S983" s="93"/>
      <c r="T983" s="93"/>
      <c r="U983" s="93"/>
      <c r="V983" s="93"/>
      <c r="W983" s="93"/>
      <c r="X983" s="93"/>
      <c r="Y983" s="93"/>
      <c r="Z983" s="93"/>
    </row>
    <row r="984" ht="14.25" customHeight="1">
      <c r="A984" s="93"/>
      <c r="B984" s="93"/>
      <c r="C984" s="93"/>
      <c r="D984" s="93"/>
      <c r="E984" s="110"/>
      <c r="F984" s="110"/>
      <c r="G984" s="93"/>
      <c r="H984" s="93"/>
      <c r="I984" s="93"/>
      <c r="J984" s="93"/>
      <c r="K984" s="93"/>
      <c r="L984" s="93"/>
      <c r="M984" s="93"/>
      <c r="N984" s="93"/>
      <c r="O984" s="93"/>
      <c r="P984" s="93"/>
      <c r="Q984" s="93"/>
      <c r="R984" s="93"/>
      <c r="S984" s="93"/>
      <c r="T984" s="93"/>
      <c r="U984" s="93"/>
      <c r="V984" s="93"/>
      <c r="W984" s="93"/>
      <c r="X984" s="93"/>
      <c r="Y984" s="93"/>
      <c r="Z984" s="93"/>
    </row>
    <row r="985" ht="14.25" customHeight="1">
      <c r="A985" s="93"/>
      <c r="B985" s="93"/>
      <c r="C985" s="93"/>
      <c r="D985" s="93"/>
      <c r="E985" s="110"/>
      <c r="F985" s="110"/>
      <c r="G985" s="93"/>
      <c r="H985" s="93"/>
      <c r="I985" s="93"/>
      <c r="J985" s="93"/>
      <c r="K985" s="93"/>
      <c r="L985" s="93"/>
      <c r="M985" s="93"/>
      <c r="N985" s="93"/>
      <c r="O985" s="93"/>
      <c r="P985" s="93"/>
      <c r="Q985" s="93"/>
      <c r="R985" s="93"/>
      <c r="S985" s="93"/>
      <c r="T985" s="93"/>
      <c r="U985" s="93"/>
      <c r="V985" s="93"/>
      <c r="W985" s="93"/>
      <c r="X985" s="93"/>
      <c r="Y985" s="93"/>
      <c r="Z985" s="93"/>
    </row>
    <row r="986" ht="14.25" customHeight="1">
      <c r="A986" s="93"/>
      <c r="B986" s="93"/>
      <c r="C986" s="93"/>
      <c r="D986" s="93"/>
      <c r="E986" s="110"/>
      <c r="F986" s="110"/>
      <c r="G986" s="93"/>
      <c r="H986" s="93"/>
      <c r="I986" s="93"/>
      <c r="J986" s="93"/>
      <c r="K986" s="93"/>
      <c r="L986" s="93"/>
      <c r="M986" s="93"/>
      <c r="N986" s="93"/>
      <c r="O986" s="93"/>
      <c r="P986" s="93"/>
      <c r="Q986" s="93"/>
      <c r="R986" s="93"/>
      <c r="S986" s="93"/>
      <c r="T986" s="93"/>
      <c r="U986" s="93"/>
      <c r="V986" s="93"/>
      <c r="W986" s="93"/>
      <c r="X986" s="93"/>
      <c r="Y986" s="93"/>
      <c r="Z986" s="93"/>
    </row>
    <row r="987" ht="14.25" customHeight="1">
      <c r="A987" s="93"/>
      <c r="B987" s="93"/>
      <c r="C987" s="93"/>
      <c r="D987" s="93"/>
      <c r="E987" s="110"/>
      <c r="F987" s="110"/>
      <c r="G987" s="93"/>
      <c r="H987" s="93"/>
      <c r="I987" s="93"/>
      <c r="J987" s="93"/>
      <c r="K987" s="93"/>
      <c r="L987" s="93"/>
      <c r="M987" s="93"/>
      <c r="N987" s="93"/>
      <c r="O987" s="93"/>
      <c r="P987" s="93"/>
      <c r="Q987" s="93"/>
      <c r="R987" s="93"/>
      <c r="S987" s="93"/>
      <c r="T987" s="93"/>
      <c r="U987" s="93"/>
      <c r="V987" s="93"/>
      <c r="W987" s="93"/>
      <c r="X987" s="93"/>
      <c r="Y987" s="93"/>
      <c r="Z987" s="93"/>
    </row>
    <row r="988" ht="14.25" customHeight="1">
      <c r="A988" s="93"/>
      <c r="B988" s="93"/>
      <c r="C988" s="93"/>
      <c r="D988" s="93"/>
      <c r="E988" s="110"/>
      <c r="F988" s="110"/>
      <c r="G988" s="93"/>
      <c r="H988" s="93"/>
      <c r="I988" s="93"/>
      <c r="J988" s="93"/>
      <c r="K988" s="93"/>
      <c r="L988" s="93"/>
      <c r="M988" s="93"/>
      <c r="N988" s="93"/>
      <c r="O988" s="93"/>
      <c r="P988" s="93"/>
      <c r="Q988" s="93"/>
      <c r="R988" s="93"/>
      <c r="S988" s="93"/>
      <c r="T988" s="93"/>
      <c r="U988" s="93"/>
      <c r="V988" s="93"/>
      <c r="W988" s="93"/>
      <c r="X988" s="93"/>
      <c r="Y988" s="93"/>
      <c r="Z988" s="93"/>
    </row>
    <row r="989" ht="14.25" customHeight="1">
      <c r="A989" s="93"/>
      <c r="B989" s="93"/>
      <c r="C989" s="93"/>
      <c r="D989" s="93"/>
      <c r="E989" s="110"/>
      <c r="F989" s="110"/>
      <c r="G989" s="93"/>
      <c r="H989" s="93"/>
      <c r="I989" s="93"/>
      <c r="J989" s="93"/>
      <c r="K989" s="93"/>
      <c r="L989" s="93"/>
      <c r="M989" s="93"/>
      <c r="N989" s="93"/>
      <c r="O989" s="93"/>
      <c r="P989" s="93"/>
      <c r="Q989" s="93"/>
      <c r="R989" s="93"/>
      <c r="S989" s="93"/>
      <c r="T989" s="93"/>
      <c r="U989" s="93"/>
      <c r="V989" s="93"/>
      <c r="W989" s="93"/>
      <c r="X989" s="93"/>
      <c r="Y989" s="93"/>
      <c r="Z989" s="93"/>
    </row>
    <row r="990" ht="14.25" customHeight="1">
      <c r="A990" s="93"/>
      <c r="B990" s="93"/>
      <c r="C990" s="93"/>
      <c r="D990" s="93"/>
      <c r="E990" s="110"/>
      <c r="F990" s="110"/>
      <c r="G990" s="93"/>
      <c r="H990" s="93"/>
      <c r="I990" s="93"/>
      <c r="J990" s="93"/>
      <c r="K990" s="93"/>
      <c r="L990" s="93"/>
      <c r="M990" s="93"/>
      <c r="N990" s="93"/>
      <c r="O990" s="93"/>
      <c r="P990" s="93"/>
      <c r="Q990" s="93"/>
      <c r="R990" s="93"/>
      <c r="S990" s="93"/>
      <c r="T990" s="93"/>
      <c r="U990" s="93"/>
      <c r="V990" s="93"/>
      <c r="W990" s="93"/>
      <c r="X990" s="93"/>
      <c r="Y990" s="93"/>
      <c r="Z990" s="93"/>
    </row>
    <row r="991" ht="14.25" customHeight="1">
      <c r="A991" s="93"/>
      <c r="B991" s="93"/>
      <c r="C991" s="93"/>
      <c r="D991" s="93"/>
      <c r="E991" s="110"/>
      <c r="F991" s="110"/>
      <c r="G991" s="93"/>
      <c r="H991" s="93"/>
      <c r="I991" s="93"/>
      <c r="J991" s="93"/>
      <c r="K991" s="93"/>
      <c r="L991" s="93"/>
      <c r="M991" s="93"/>
      <c r="N991" s="93"/>
      <c r="O991" s="93"/>
      <c r="P991" s="93"/>
      <c r="Q991" s="93"/>
      <c r="R991" s="93"/>
      <c r="S991" s="93"/>
      <c r="T991" s="93"/>
      <c r="U991" s="93"/>
      <c r="V991" s="93"/>
      <c r="W991" s="93"/>
      <c r="X991" s="93"/>
      <c r="Y991" s="93"/>
      <c r="Z991" s="93"/>
    </row>
    <row r="992" ht="14.25" customHeight="1">
      <c r="A992" s="93"/>
      <c r="B992" s="93"/>
      <c r="C992" s="93"/>
      <c r="D992" s="93"/>
      <c r="E992" s="110"/>
      <c r="F992" s="110"/>
      <c r="G992" s="93"/>
      <c r="H992" s="93"/>
      <c r="I992" s="93"/>
      <c r="J992" s="93"/>
      <c r="K992" s="93"/>
      <c r="L992" s="93"/>
      <c r="M992" s="93"/>
      <c r="N992" s="93"/>
      <c r="O992" s="93"/>
      <c r="P992" s="93"/>
      <c r="Q992" s="93"/>
      <c r="R992" s="93"/>
      <c r="S992" s="93"/>
      <c r="T992" s="93"/>
      <c r="U992" s="93"/>
      <c r="V992" s="93"/>
      <c r="W992" s="93"/>
      <c r="X992" s="93"/>
      <c r="Y992" s="93"/>
      <c r="Z992" s="93"/>
    </row>
    <row r="993" ht="14.25" customHeight="1">
      <c r="A993" s="93"/>
      <c r="B993" s="93"/>
      <c r="C993" s="93"/>
      <c r="D993" s="93"/>
      <c r="E993" s="110"/>
      <c r="F993" s="110"/>
      <c r="G993" s="93"/>
      <c r="H993" s="93"/>
      <c r="I993" s="93"/>
      <c r="J993" s="93"/>
      <c r="K993" s="93"/>
      <c r="L993" s="93"/>
      <c r="M993" s="93"/>
      <c r="N993" s="93"/>
      <c r="O993" s="93"/>
      <c r="P993" s="93"/>
      <c r="Q993" s="93"/>
      <c r="R993" s="93"/>
      <c r="S993" s="93"/>
      <c r="T993" s="93"/>
      <c r="U993" s="93"/>
      <c r="V993" s="93"/>
      <c r="W993" s="93"/>
      <c r="X993" s="93"/>
      <c r="Y993" s="93"/>
      <c r="Z993" s="93"/>
    </row>
    <row r="994" ht="14.25" customHeight="1">
      <c r="A994" s="93"/>
      <c r="B994" s="93"/>
      <c r="C994" s="93"/>
      <c r="D994" s="93"/>
      <c r="E994" s="110"/>
      <c r="F994" s="110"/>
      <c r="G994" s="93"/>
      <c r="H994" s="93"/>
      <c r="I994" s="93"/>
      <c r="J994" s="93"/>
      <c r="K994" s="93"/>
      <c r="L994" s="93"/>
      <c r="M994" s="93"/>
      <c r="N994" s="93"/>
      <c r="O994" s="93"/>
      <c r="P994" s="93"/>
      <c r="Q994" s="93"/>
      <c r="R994" s="93"/>
      <c r="S994" s="93"/>
      <c r="T994" s="93"/>
      <c r="U994" s="93"/>
      <c r="V994" s="93"/>
      <c r="W994" s="93"/>
      <c r="X994" s="93"/>
      <c r="Y994" s="93"/>
      <c r="Z994" s="93"/>
    </row>
    <row r="995" ht="14.25" customHeight="1">
      <c r="A995" s="93"/>
      <c r="B995" s="93"/>
      <c r="C995" s="93"/>
      <c r="D995" s="93"/>
      <c r="E995" s="110"/>
      <c r="F995" s="110"/>
      <c r="G995" s="93"/>
      <c r="H995" s="93"/>
      <c r="I995" s="93"/>
      <c r="J995" s="93"/>
      <c r="K995" s="93"/>
      <c r="L995" s="93"/>
      <c r="M995" s="93"/>
      <c r="N995" s="93"/>
      <c r="O995" s="93"/>
      <c r="P995" s="93"/>
      <c r="Q995" s="93"/>
      <c r="R995" s="93"/>
      <c r="S995" s="93"/>
      <c r="T995" s="93"/>
      <c r="U995" s="93"/>
      <c r="V995" s="93"/>
      <c r="W995" s="93"/>
      <c r="X995" s="93"/>
      <c r="Y995" s="93"/>
      <c r="Z995" s="93"/>
    </row>
    <row r="996" ht="14.25" customHeight="1">
      <c r="A996" s="93"/>
      <c r="B996" s="93"/>
      <c r="C996" s="93"/>
      <c r="D996" s="93"/>
      <c r="E996" s="110"/>
      <c r="F996" s="110"/>
      <c r="G996" s="93"/>
      <c r="H996" s="93"/>
      <c r="I996" s="93"/>
      <c r="J996" s="93"/>
      <c r="K996" s="93"/>
      <c r="L996" s="93"/>
      <c r="M996" s="93"/>
      <c r="N996" s="93"/>
      <c r="O996" s="93"/>
      <c r="P996" s="93"/>
      <c r="Q996" s="93"/>
      <c r="R996" s="93"/>
      <c r="S996" s="93"/>
      <c r="T996" s="93"/>
      <c r="U996" s="93"/>
      <c r="V996" s="93"/>
      <c r="W996" s="93"/>
      <c r="X996" s="93"/>
      <c r="Y996" s="93"/>
      <c r="Z996" s="93"/>
    </row>
    <row r="997" ht="14.25" customHeight="1">
      <c r="A997" s="93"/>
      <c r="B997" s="93"/>
      <c r="C997" s="93"/>
      <c r="D997" s="93"/>
      <c r="E997" s="110"/>
      <c r="F997" s="110"/>
      <c r="G997" s="93"/>
      <c r="H997" s="93"/>
      <c r="I997" s="93"/>
      <c r="J997" s="93"/>
      <c r="K997" s="93"/>
      <c r="L997" s="93"/>
      <c r="M997" s="93"/>
      <c r="N997" s="93"/>
      <c r="O997" s="93"/>
      <c r="P997" s="93"/>
      <c r="Q997" s="93"/>
      <c r="R997" s="93"/>
      <c r="S997" s="93"/>
      <c r="T997" s="93"/>
      <c r="U997" s="93"/>
      <c r="V997" s="93"/>
      <c r="W997" s="93"/>
      <c r="X997" s="93"/>
      <c r="Y997" s="93"/>
      <c r="Z997" s="93"/>
    </row>
    <row r="998" ht="14.25" customHeight="1">
      <c r="A998" s="93"/>
      <c r="B998" s="93"/>
      <c r="C998" s="93"/>
      <c r="D998" s="93"/>
      <c r="E998" s="110"/>
      <c r="F998" s="110"/>
      <c r="G998" s="93"/>
      <c r="H998" s="93"/>
      <c r="I998" s="93"/>
      <c r="J998" s="93"/>
      <c r="K998" s="93"/>
      <c r="L998" s="93"/>
      <c r="M998" s="93"/>
      <c r="N998" s="93"/>
      <c r="O998" s="93"/>
      <c r="P998" s="93"/>
      <c r="Q998" s="93"/>
      <c r="R998" s="93"/>
      <c r="S998" s="93"/>
      <c r="T998" s="93"/>
      <c r="U998" s="93"/>
      <c r="V998" s="93"/>
      <c r="W998" s="93"/>
      <c r="X998" s="93"/>
      <c r="Y998" s="93"/>
      <c r="Z998" s="93"/>
    </row>
    <row r="999" ht="14.25" customHeight="1">
      <c r="A999" s="93"/>
      <c r="B999" s="93"/>
      <c r="C999" s="93"/>
      <c r="D999" s="93"/>
      <c r="E999" s="110"/>
      <c r="F999" s="110"/>
      <c r="G999" s="93"/>
      <c r="H999" s="93"/>
      <c r="I999" s="93"/>
      <c r="J999" s="93"/>
      <c r="K999" s="93"/>
      <c r="L999" s="93"/>
      <c r="M999" s="93"/>
      <c r="N999" s="93"/>
      <c r="O999" s="93"/>
      <c r="P999" s="93"/>
      <c r="Q999" s="93"/>
      <c r="R999" s="93"/>
      <c r="S999" s="93"/>
      <c r="T999" s="93"/>
      <c r="U999" s="93"/>
      <c r="V999" s="93"/>
      <c r="W999" s="93"/>
      <c r="X999" s="93"/>
      <c r="Y999" s="93"/>
      <c r="Z999" s="93"/>
    </row>
    <row r="1000" ht="14.25" customHeight="1">
      <c r="A1000" s="93"/>
      <c r="B1000" s="93"/>
      <c r="C1000" s="93"/>
      <c r="D1000" s="93"/>
      <c r="E1000" s="110"/>
      <c r="F1000" s="110"/>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5">
    <mergeCell ref="A13:F13"/>
    <mergeCell ref="A25:F25"/>
    <mergeCell ref="A37:F37"/>
    <mergeCell ref="A49:F49"/>
    <mergeCell ref="A61:F61"/>
  </mergeCells>
  <hyperlinks>
    <hyperlink r:id="rId1" ref="I2"/>
    <hyperlink r:id="rId2" ref="I3"/>
    <hyperlink r:id="rId3" ref="I5"/>
    <hyperlink r:id="rId4" ref="I6"/>
    <hyperlink r:id="rId5" ref="I7"/>
    <hyperlink r:id="rId6" ref="I8"/>
    <hyperlink r:id="rId7" ref="I10"/>
    <hyperlink r:id="rId8" ref="I11"/>
    <hyperlink r:id="rId9" ref="I14"/>
    <hyperlink r:id="rId10" ref="I15"/>
    <hyperlink r:id="rId11" ref="I16"/>
    <hyperlink r:id="rId12" ref="I17"/>
    <hyperlink r:id="rId13" ref="I18"/>
    <hyperlink r:id="rId14" ref="I19"/>
    <hyperlink r:id="rId15" ref="I21"/>
    <hyperlink r:id="rId16" ref="I22"/>
    <hyperlink r:id="rId17" ref="I23"/>
    <hyperlink r:id="rId18" ref="I38"/>
    <hyperlink r:id="rId19" ref="I39"/>
    <hyperlink r:id="rId20" ref="I40"/>
    <hyperlink r:id="rId21" ref="I41"/>
    <hyperlink r:id="rId22" ref="I47"/>
    <hyperlink r:id="rId23" ref="I53"/>
    <hyperlink r:id="rId24" ref="I59"/>
  </hyperlinks>
  <printOptions/>
  <pageMargins bottom="0.75" footer="0.0" header="0.0" left="0.7" right="0.7" top="0.75"/>
  <pageSetup paperSize="9" orientation="portrait"/>
  <drawing r:id="rId2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2026-02-05T09:47:29Z</dcterms:created>
  <dc:creator>Viktoria Ilyhina</dc:creator>
</cp:coreProperties>
</file>